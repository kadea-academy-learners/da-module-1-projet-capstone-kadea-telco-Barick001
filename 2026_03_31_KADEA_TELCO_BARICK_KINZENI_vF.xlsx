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NZENI ALUNG Barick\Documents\"/>
    </mc:Choice>
  </mc:AlternateContent>
  <xr:revisionPtr revIDLastSave="0" documentId="8_{08E13110-0E40-4B6E-A9B3-55EADC465FAE}" xr6:coauthVersionLast="47" xr6:coauthVersionMax="47" xr10:uidLastSave="{00000000-0000-0000-0000-000000000000}"/>
  <bookViews>
    <workbookView xWindow="-120" yWindow="-120" windowWidth="20730" windowHeight="11040" firstSheet="2" activeTab="4" xr2:uid="{33A217F2-4907-44A4-9245-96930C337F60}"/>
  </bookViews>
  <sheets>
    <sheet name="CLIENT_CHURN" sheetId="1" r:id="rId1"/>
    <sheet name="LOGS" sheetId="3" r:id="rId2"/>
    <sheet name="REGISTRE" sheetId="2" r:id="rId3"/>
    <sheet name="MASTER" sheetId="6" r:id="rId4"/>
    <sheet name="TCD_Ind.Par.Region" sheetId="9" r:id="rId5"/>
    <sheet name="TCD_Technologie" sheetId="7" r:id="rId6"/>
    <sheet name="TCD_ClientImpacté" sheetId="13" r:id="rId7"/>
  </sheets>
  <definedNames>
    <definedName name="_xlcn.WorksheetConnection_KADEATELCO.xlsxLogs_Reseau61" hidden="1">Logs_Reseau6[]</definedName>
    <definedName name="DonnéesExternes_1" localSheetId="0" hidden="1">CLIENT_CHURN!$A$2:$H$750</definedName>
    <definedName name="DonnéesExternes_1" localSheetId="1" hidden="1">LOGS!$A$1:$E$1075</definedName>
    <definedName name="DonnéesExternes_1" localSheetId="3" hidden="1">MASTER!$A$1:$E$1075</definedName>
    <definedName name="DonnéesExternes_1" localSheetId="2" hidden="1">'REGISTRE'!$A$1:$F$499</definedName>
  </definedNames>
  <calcPr calcId="191029"/>
  <pivotCaches>
    <pivotCache cacheId="23" r:id="rId8"/>
    <pivotCache cacheId="15" r:id="rId9"/>
    <pivotCache cacheId="13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s_Reseau6" name="Logs_Reseau6" connection="WorksheetConnection_KADEA TELCO.xlsx!Logs_Reseau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74" i="6" l="1"/>
  <c r="P1071" i="6"/>
  <c r="P1070" i="6"/>
  <c r="P1069" i="6"/>
  <c r="P1068" i="6"/>
  <c r="P1067" i="6"/>
  <c r="P1066" i="6"/>
  <c r="P1065" i="6"/>
  <c r="P1064" i="6"/>
  <c r="P1063" i="6"/>
  <c r="P1062" i="6"/>
  <c r="P1061" i="6"/>
  <c r="P1060" i="6"/>
  <c r="P1059" i="6"/>
  <c r="P1058" i="6"/>
  <c r="P1056" i="6"/>
  <c r="P1055" i="6"/>
  <c r="P1046" i="6"/>
  <c r="P1043" i="6"/>
  <c r="P1038" i="6"/>
  <c r="P1037" i="6"/>
  <c r="P1032" i="6"/>
  <c r="P1031" i="6"/>
  <c r="P1027" i="6"/>
  <c r="P1025" i="6"/>
  <c r="P1024" i="6"/>
  <c r="P1023" i="6"/>
  <c r="P1019" i="6"/>
  <c r="P1018" i="6"/>
  <c r="P1016" i="6"/>
  <c r="P1015" i="6"/>
  <c r="P1013" i="6"/>
  <c r="P1012" i="6"/>
  <c r="P1011" i="6"/>
  <c r="P1010" i="6"/>
  <c r="P1009" i="6"/>
  <c r="P1008" i="6"/>
  <c r="P1007" i="6"/>
  <c r="P1006" i="6"/>
  <c r="P1000" i="6"/>
  <c r="P999" i="6"/>
  <c r="P997" i="6"/>
  <c r="P996" i="6"/>
  <c r="P995" i="6"/>
  <c r="P994" i="6"/>
  <c r="P992" i="6"/>
  <c r="P990" i="6"/>
  <c r="P989" i="6"/>
  <c r="P985" i="6"/>
  <c r="P984" i="6"/>
  <c r="P983" i="6"/>
  <c r="P982" i="6"/>
  <c r="P976" i="6"/>
  <c r="P975" i="6"/>
  <c r="P974" i="6"/>
  <c r="P973" i="6"/>
  <c r="P971" i="6"/>
  <c r="P970" i="6"/>
  <c r="P969" i="6"/>
  <c r="P962" i="6"/>
  <c r="P953" i="6"/>
  <c r="P952" i="6"/>
  <c r="P951" i="6"/>
  <c r="P950" i="6"/>
  <c r="P949" i="6"/>
  <c r="P948" i="6"/>
  <c r="P944" i="6"/>
  <c r="P943" i="6"/>
  <c r="P942" i="6"/>
  <c r="P941" i="6"/>
  <c r="P940" i="6"/>
  <c r="P939" i="6"/>
  <c r="P933" i="6"/>
  <c r="P932" i="6"/>
  <c r="P929" i="6"/>
  <c r="P923" i="6"/>
  <c r="P922" i="6"/>
  <c r="P921" i="6"/>
  <c r="P920" i="6"/>
  <c r="P919" i="6"/>
  <c r="P918" i="6"/>
  <c r="P914" i="6"/>
  <c r="P913" i="6"/>
  <c r="P911" i="6"/>
  <c r="P910" i="6"/>
  <c r="P909" i="6"/>
  <c r="P908" i="6"/>
  <c r="P907" i="6"/>
  <c r="P904" i="6"/>
  <c r="P902" i="6"/>
  <c r="P901" i="6"/>
  <c r="P900" i="6"/>
  <c r="P899" i="6"/>
  <c r="P898" i="6"/>
  <c r="P897" i="6"/>
  <c r="P896" i="6"/>
  <c r="P895" i="6"/>
  <c r="P893" i="6"/>
  <c r="P891" i="6"/>
  <c r="P889" i="6"/>
  <c r="P888" i="6"/>
  <c r="P887" i="6"/>
  <c r="P885" i="6"/>
  <c r="P884" i="6"/>
  <c r="P883" i="6"/>
  <c r="P875" i="6"/>
  <c r="P874" i="6"/>
  <c r="P873" i="6"/>
  <c r="P872" i="6"/>
  <c r="P871" i="6"/>
  <c r="P870" i="6"/>
  <c r="P866" i="6"/>
  <c r="P865" i="6"/>
  <c r="P856" i="6"/>
  <c r="P855" i="6"/>
  <c r="P854" i="6"/>
  <c r="P850" i="6"/>
  <c r="P849" i="6"/>
  <c r="P848" i="6"/>
  <c r="P847" i="6"/>
  <c r="P845" i="6"/>
  <c r="P844" i="6"/>
  <c r="P833" i="6"/>
  <c r="P832" i="6"/>
  <c r="P831" i="6"/>
  <c r="P830" i="6"/>
  <c r="P829" i="6"/>
  <c r="P826" i="6"/>
  <c r="P825" i="6"/>
  <c r="P824" i="6"/>
  <c r="P823" i="6"/>
  <c r="P815" i="6"/>
  <c r="P812" i="6"/>
  <c r="P811" i="6"/>
  <c r="P810" i="6"/>
  <c r="P809" i="6"/>
  <c r="P808" i="6"/>
  <c r="P807" i="6"/>
  <c r="P799" i="6"/>
  <c r="P798" i="6"/>
  <c r="P797" i="6"/>
  <c r="P796" i="6"/>
  <c r="P795" i="6"/>
  <c r="P794" i="6"/>
  <c r="P793" i="6"/>
  <c r="P791" i="6"/>
  <c r="P778" i="6"/>
  <c r="P777" i="6"/>
  <c r="P776" i="6"/>
  <c r="P775" i="6"/>
  <c r="P774" i="6"/>
  <c r="P773" i="6"/>
  <c r="P772" i="6"/>
  <c r="P771" i="6"/>
  <c r="P770" i="6"/>
  <c r="P769" i="6"/>
  <c r="P768" i="6"/>
  <c r="P767" i="6"/>
  <c r="P763" i="6"/>
  <c r="P762" i="6"/>
  <c r="P761" i="6"/>
  <c r="P757" i="6"/>
  <c r="P756" i="6"/>
  <c r="P755" i="6"/>
  <c r="P751" i="6"/>
  <c r="P750" i="6"/>
  <c r="P749" i="6"/>
  <c r="P748" i="6"/>
  <c r="P747" i="6"/>
  <c r="P746" i="6"/>
  <c r="P739" i="6"/>
  <c r="P737" i="6"/>
  <c r="P736" i="6"/>
  <c r="P735" i="6"/>
  <c r="P734" i="6"/>
  <c r="P733" i="6"/>
  <c r="P732" i="6"/>
  <c r="P731" i="6"/>
  <c r="P729" i="6"/>
  <c r="P726" i="6"/>
  <c r="P725" i="6"/>
  <c r="P724" i="6"/>
  <c r="P723" i="6"/>
  <c r="P721" i="6"/>
  <c r="P720" i="6"/>
  <c r="P718" i="6"/>
  <c r="P717" i="6"/>
  <c r="P716" i="6"/>
  <c r="P715" i="6"/>
  <c r="P714" i="6"/>
  <c r="P704" i="6"/>
  <c r="P703" i="6"/>
  <c r="P702" i="6"/>
  <c r="P701" i="6"/>
  <c r="P700" i="6"/>
  <c r="P697" i="6"/>
  <c r="P696" i="6"/>
  <c r="P695" i="6"/>
  <c r="P690" i="6"/>
  <c r="P689" i="6"/>
  <c r="P688" i="6"/>
  <c r="P687" i="6"/>
  <c r="P685" i="6"/>
  <c r="P676" i="6"/>
  <c r="P675" i="6"/>
  <c r="P674" i="6"/>
  <c r="P672" i="6"/>
  <c r="P671" i="6"/>
  <c r="P670" i="6"/>
  <c r="P666" i="6"/>
  <c r="P665" i="6"/>
  <c r="P664" i="6"/>
  <c r="P663" i="6"/>
  <c r="P662" i="6"/>
  <c r="P661" i="6"/>
  <c r="P659" i="6"/>
  <c r="P658" i="6"/>
  <c r="P657" i="6"/>
  <c r="P656" i="6"/>
  <c r="P652" i="6"/>
  <c r="P651" i="6"/>
  <c r="P650" i="6"/>
  <c r="P648" i="6"/>
  <c r="P647" i="6"/>
  <c r="P646" i="6"/>
  <c r="P642" i="6"/>
  <c r="P641" i="6"/>
  <c r="P637" i="6"/>
  <c r="P636" i="6"/>
  <c r="P635" i="6"/>
  <c r="P634" i="6"/>
  <c r="P633" i="6"/>
  <c r="P629" i="6"/>
  <c r="P628" i="6"/>
  <c r="P625" i="6"/>
  <c r="P624" i="6"/>
  <c r="P623" i="6"/>
  <c r="P622" i="6"/>
  <c r="P621" i="6"/>
  <c r="P615" i="6"/>
  <c r="P614" i="6"/>
  <c r="P611" i="6"/>
  <c r="P607" i="6"/>
  <c r="P606" i="6"/>
  <c r="P605" i="6"/>
  <c r="P604" i="6"/>
  <c r="P603" i="6"/>
  <c r="P602" i="6"/>
  <c r="P601" i="6"/>
  <c r="P600" i="6"/>
  <c r="P599" i="6"/>
  <c r="P598" i="6"/>
  <c r="P597" i="6"/>
  <c r="P596" i="6"/>
  <c r="P589" i="6"/>
  <c r="P588" i="6"/>
  <c r="P583" i="6"/>
  <c r="P582" i="6"/>
  <c r="P581" i="6"/>
  <c r="P580" i="6"/>
  <c r="P579" i="6"/>
  <c r="P578" i="6"/>
  <c r="P576" i="6"/>
  <c r="P575" i="6"/>
  <c r="P569" i="6"/>
  <c r="P568" i="6"/>
  <c r="P559" i="6"/>
  <c r="P558" i="6"/>
  <c r="P557" i="6"/>
  <c r="P556" i="6"/>
  <c r="P555" i="6"/>
  <c r="P554" i="6"/>
  <c r="P553" i="6"/>
  <c r="P552" i="6"/>
  <c r="P551" i="6"/>
  <c r="P550" i="6"/>
  <c r="P549" i="6"/>
  <c r="P547" i="6"/>
  <c r="P546" i="6"/>
  <c r="P545" i="6"/>
  <c r="P544" i="6"/>
  <c r="P543" i="6"/>
  <c r="P542" i="6"/>
  <c r="P541" i="6"/>
  <c r="P539" i="6"/>
  <c r="P538" i="6"/>
  <c r="P537" i="6"/>
  <c r="P532" i="6"/>
  <c r="P531" i="6"/>
  <c r="P530" i="6"/>
  <c r="P529" i="6"/>
  <c r="P528" i="6"/>
  <c r="P524" i="6"/>
  <c r="P523" i="6"/>
  <c r="P522" i="6"/>
  <c r="P519" i="6"/>
  <c r="P518" i="6"/>
  <c r="P516" i="6"/>
  <c r="P515" i="6"/>
  <c r="P514" i="6"/>
  <c r="P513" i="6"/>
  <c r="P509" i="6"/>
  <c r="P506" i="6"/>
  <c r="P505" i="6"/>
  <c r="P502" i="6"/>
  <c r="P501" i="6"/>
  <c r="P500" i="6"/>
  <c r="P499" i="6"/>
  <c r="P493" i="6"/>
  <c r="P492" i="6"/>
  <c r="P484" i="6"/>
  <c r="P483" i="6"/>
  <c r="P481" i="6"/>
  <c r="P477" i="6"/>
  <c r="P476" i="6"/>
  <c r="P475" i="6"/>
  <c r="P470" i="6"/>
  <c r="P469" i="6"/>
  <c r="P465" i="6"/>
  <c r="P459" i="6"/>
  <c r="P458" i="6"/>
  <c r="P452" i="6"/>
  <c r="P451" i="6"/>
  <c r="P450" i="6"/>
  <c r="P449" i="6"/>
  <c r="P448" i="6"/>
  <c r="P445" i="6"/>
  <c r="P444" i="6"/>
  <c r="P443" i="6"/>
  <c r="P441" i="6"/>
  <c r="P440" i="6"/>
  <c r="P439" i="6"/>
  <c r="P438" i="6"/>
  <c r="P431" i="6"/>
  <c r="P430" i="6"/>
  <c r="P429" i="6"/>
  <c r="P428" i="6"/>
  <c r="P427" i="6"/>
  <c r="P425" i="6"/>
  <c r="P424" i="6"/>
  <c r="P423" i="6"/>
  <c r="P422" i="6"/>
  <c r="P421" i="6"/>
  <c r="P420" i="6"/>
  <c r="P419" i="6"/>
  <c r="P418" i="6"/>
  <c r="P417" i="6"/>
  <c r="P416" i="6"/>
  <c r="P415" i="6"/>
  <c r="P414" i="6"/>
  <c r="P412" i="6"/>
  <c r="P407" i="6"/>
  <c r="P403" i="6"/>
  <c r="P402" i="6"/>
  <c r="P401" i="6"/>
  <c r="P398" i="6"/>
  <c r="P397" i="6"/>
  <c r="P392" i="6"/>
  <c r="P391" i="6"/>
  <c r="P387" i="6"/>
  <c r="P384" i="6"/>
  <c r="P383" i="6"/>
  <c r="P381" i="6"/>
  <c r="P380" i="6"/>
  <c r="P379" i="6"/>
  <c r="P378" i="6"/>
  <c r="P375" i="6"/>
  <c r="P374" i="6"/>
  <c r="P371" i="6"/>
  <c r="P370" i="6"/>
  <c r="P368" i="6"/>
  <c r="P367" i="6"/>
  <c r="P365" i="6"/>
  <c r="P360" i="6"/>
  <c r="P359" i="6"/>
  <c r="P358" i="6"/>
  <c r="P357" i="6"/>
  <c r="P350" i="6"/>
  <c r="P349" i="6"/>
  <c r="P335" i="6"/>
  <c r="P319" i="6"/>
  <c r="P318" i="6"/>
  <c r="P315" i="6"/>
  <c r="P314" i="6"/>
  <c r="P312" i="6"/>
  <c r="P311" i="6"/>
  <c r="P310" i="6"/>
  <c r="P309" i="6"/>
  <c r="P308" i="6"/>
  <c r="P307" i="6"/>
  <c r="P306" i="6"/>
  <c r="P305" i="6"/>
  <c r="P301" i="6"/>
  <c r="P300" i="6"/>
  <c r="P299" i="6"/>
  <c r="P297" i="6"/>
  <c r="P296" i="6"/>
  <c r="P295" i="6"/>
  <c r="P294" i="6"/>
  <c r="P293" i="6"/>
  <c r="P292" i="6"/>
  <c r="P291" i="6"/>
  <c r="P290" i="6"/>
  <c r="P289" i="6"/>
  <c r="P288" i="6"/>
  <c r="P287" i="6"/>
  <c r="P285" i="6"/>
  <c r="P284" i="6"/>
  <c r="P279" i="6"/>
  <c r="P278" i="6"/>
  <c r="P277" i="6"/>
  <c r="P276" i="6"/>
  <c r="P274" i="6"/>
  <c r="P273" i="6"/>
  <c r="P271" i="6"/>
  <c r="P265" i="6"/>
  <c r="P264" i="6"/>
  <c r="P263" i="6"/>
  <c r="P262" i="6"/>
  <c r="P257" i="6"/>
  <c r="P256" i="6"/>
  <c r="P255" i="6"/>
  <c r="P254" i="6"/>
  <c r="P253" i="6"/>
  <c r="P243" i="6"/>
  <c r="P238" i="6"/>
  <c r="P237" i="6"/>
  <c r="P236" i="6"/>
  <c r="P235" i="6"/>
  <c r="P234" i="6"/>
  <c r="P233" i="6"/>
  <c r="P231" i="6"/>
  <c r="P230" i="6"/>
  <c r="P228" i="6"/>
  <c r="P227" i="6"/>
  <c r="P224" i="6"/>
  <c r="P223" i="6"/>
  <c r="P222" i="6"/>
  <c r="P219" i="6"/>
  <c r="P218" i="6"/>
  <c r="P217" i="6"/>
  <c r="P216" i="6"/>
  <c r="P215" i="6"/>
  <c r="P214" i="6"/>
  <c r="P213" i="6"/>
  <c r="P212" i="6"/>
  <c r="P205" i="6"/>
  <c r="P204" i="6"/>
  <c r="P203" i="6"/>
  <c r="P197" i="6"/>
  <c r="P196" i="6"/>
  <c r="P195" i="6"/>
  <c r="P194" i="6"/>
  <c r="P193" i="6"/>
  <c r="P192" i="6"/>
  <c r="P187" i="6"/>
  <c r="P186" i="6"/>
  <c r="P185" i="6"/>
  <c r="P184" i="6"/>
  <c r="P183" i="6"/>
  <c r="P182" i="6"/>
  <c r="P181" i="6"/>
  <c r="P178" i="6"/>
  <c r="P177" i="6"/>
  <c r="P176" i="6"/>
  <c r="P171" i="6"/>
  <c r="P170" i="6"/>
  <c r="P169" i="6"/>
  <c r="P166" i="6"/>
  <c r="P162" i="6"/>
  <c r="P161" i="6"/>
  <c r="P156" i="6"/>
  <c r="P155" i="6"/>
  <c r="P152" i="6"/>
  <c r="P151" i="6"/>
  <c r="P150" i="6"/>
  <c r="P149" i="6"/>
  <c r="P148" i="6"/>
  <c r="P147" i="6"/>
  <c r="P140" i="6"/>
  <c r="P139" i="6"/>
  <c r="P138" i="6"/>
  <c r="P132" i="6"/>
  <c r="P131" i="6"/>
  <c r="P130" i="6"/>
  <c r="P122" i="6"/>
  <c r="P118" i="6"/>
  <c r="P117" i="6"/>
  <c r="P113" i="6"/>
  <c r="P112" i="6"/>
  <c r="P111" i="6"/>
  <c r="P109" i="6"/>
  <c r="P105" i="6"/>
  <c r="P103" i="6"/>
  <c r="P102" i="6"/>
  <c r="P100" i="6"/>
  <c r="P99" i="6"/>
  <c r="P98" i="6"/>
  <c r="P97" i="6"/>
  <c r="P95" i="6"/>
  <c r="P94" i="6"/>
  <c r="P93" i="6"/>
  <c r="P92" i="6"/>
  <c r="P90" i="6"/>
  <c r="P87" i="6"/>
  <c r="P86" i="6"/>
  <c r="P85" i="6"/>
  <c r="P84" i="6"/>
  <c r="P83" i="6"/>
  <c r="P82" i="6"/>
  <c r="P78" i="6"/>
  <c r="P77" i="6"/>
  <c r="P75" i="6"/>
  <c r="P74" i="6"/>
  <c r="P70" i="6"/>
  <c r="P63" i="6"/>
  <c r="P62" i="6"/>
  <c r="P61" i="6"/>
  <c r="P60" i="6"/>
  <c r="P59" i="6"/>
  <c r="P58" i="6"/>
  <c r="P57" i="6"/>
  <c r="P56" i="6"/>
  <c r="P55" i="6"/>
  <c r="P47" i="6"/>
  <c r="P46" i="6"/>
  <c r="P43" i="6"/>
  <c r="P42" i="6"/>
  <c r="P41" i="6"/>
  <c r="P40" i="6"/>
  <c r="P39" i="6"/>
  <c r="P38" i="6"/>
  <c r="P35" i="6"/>
  <c r="P32" i="6"/>
  <c r="P30" i="6"/>
  <c r="P22" i="6"/>
  <c r="P15" i="6"/>
  <c r="P14" i="6"/>
  <c r="P13" i="6"/>
  <c r="P12" i="6"/>
  <c r="P11" i="6"/>
  <c r="P10" i="6"/>
  <c r="P9" i="6"/>
  <c r="P5" i="6"/>
  <c r="P4" i="6"/>
  <c r="P3" i="6"/>
  <c r="P2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F244" i="6"/>
  <c r="G244" i="6" s="1"/>
  <c r="M244" i="6" s="1"/>
  <c r="F874" i="6"/>
  <c r="G874" i="6" s="1"/>
  <c r="J874" i="6" s="1"/>
  <c r="K874" i="6" s="1"/>
  <c r="F275" i="6"/>
  <c r="G275" i="6" s="1"/>
  <c r="M275" i="6" s="1"/>
  <c r="F273" i="6"/>
  <c r="G273" i="6" s="1"/>
  <c r="M273" i="6" s="1"/>
  <c r="F829" i="6"/>
  <c r="G829" i="6" s="1"/>
  <c r="M829" i="6" s="1"/>
  <c r="F683" i="6"/>
  <c r="G683" i="6" s="1"/>
  <c r="M683" i="6" s="1"/>
  <c r="F565" i="6"/>
  <c r="G565" i="6" s="1"/>
  <c r="M565" i="6" s="1"/>
  <c r="F219" i="6"/>
  <c r="G219" i="6" s="1"/>
  <c r="M219" i="6" s="1"/>
  <c r="F510" i="6"/>
  <c r="G510" i="6" s="1"/>
  <c r="M510" i="6" s="1"/>
  <c r="F412" i="6"/>
  <c r="G412" i="6" s="1"/>
  <c r="M412" i="6" s="1"/>
  <c r="F794" i="6"/>
  <c r="G794" i="6" s="1"/>
  <c r="J794" i="6" s="1"/>
  <c r="K794" i="6" s="1"/>
  <c r="F189" i="6"/>
  <c r="G189" i="6" s="1"/>
  <c r="M189" i="6" s="1"/>
  <c r="F1008" i="6"/>
  <c r="G1008" i="6" s="1"/>
  <c r="M1008" i="6" s="1"/>
  <c r="F497" i="6"/>
  <c r="G497" i="6" s="1"/>
  <c r="M497" i="6" s="1"/>
  <c r="F647" i="6"/>
  <c r="G647" i="6" s="1"/>
  <c r="M647" i="6" s="1"/>
  <c r="F438" i="6"/>
  <c r="G438" i="6" s="1"/>
  <c r="M438" i="6" s="1"/>
  <c r="F661" i="6"/>
  <c r="G661" i="6" s="1"/>
  <c r="M661" i="6" s="1"/>
  <c r="F633" i="6"/>
  <c r="G633" i="6" s="1"/>
  <c r="M633" i="6" s="1"/>
  <c r="F485" i="6"/>
  <c r="G485" i="6" s="1"/>
  <c r="M485" i="6" s="1"/>
  <c r="F483" i="6"/>
  <c r="G483" i="6" s="1"/>
  <c r="M483" i="6" s="1"/>
  <c r="F120" i="6"/>
  <c r="G120" i="6" s="1"/>
  <c r="M120" i="6" s="1"/>
  <c r="F133" i="6"/>
  <c r="G133" i="6" s="1"/>
  <c r="M133" i="6" s="1"/>
  <c r="F870" i="6"/>
  <c r="G870" i="6" s="1"/>
  <c r="J870" i="6" s="1"/>
  <c r="K870" i="6" s="1"/>
  <c r="F292" i="6"/>
  <c r="G292" i="6" s="1"/>
  <c r="M292" i="6" s="1"/>
  <c r="F759" i="6"/>
  <c r="G759" i="6" s="1"/>
  <c r="M759" i="6" s="1"/>
  <c r="F329" i="6"/>
  <c r="G329" i="6" s="1"/>
  <c r="M329" i="6" s="1"/>
  <c r="F299" i="6"/>
  <c r="G299" i="6" s="1"/>
  <c r="M299" i="6" s="1"/>
  <c r="F634" i="6"/>
  <c r="G634" i="6" s="1"/>
  <c r="M634" i="6" s="1"/>
  <c r="F323" i="6"/>
  <c r="G323" i="6" s="1"/>
  <c r="M323" i="6" s="1"/>
  <c r="F582" i="6"/>
  <c r="G582" i="6" s="1"/>
  <c r="M582" i="6" s="1"/>
  <c r="F820" i="6"/>
  <c r="G820" i="6" s="1"/>
  <c r="M820" i="6" s="1"/>
  <c r="F372" i="6"/>
  <c r="G372" i="6" s="1"/>
  <c r="M372" i="6" s="1"/>
  <c r="F208" i="6"/>
  <c r="G208" i="6" s="1"/>
  <c r="M208" i="6" s="1"/>
  <c r="F670" i="6"/>
  <c r="G670" i="6" s="1"/>
  <c r="M670" i="6" s="1"/>
  <c r="F1034" i="6"/>
  <c r="G1034" i="6" s="1"/>
  <c r="J1034" i="6" s="1"/>
  <c r="K1034" i="6" s="1"/>
  <c r="F57" i="6"/>
  <c r="G57" i="6" s="1"/>
  <c r="M57" i="6" s="1"/>
  <c r="F596" i="6"/>
  <c r="G596" i="6" s="1"/>
  <c r="M596" i="6" s="1"/>
  <c r="F1026" i="6"/>
  <c r="G1026" i="6" s="1"/>
  <c r="J1026" i="6" s="1"/>
  <c r="K1026" i="6" s="1"/>
  <c r="F50" i="6"/>
  <c r="G50" i="6" s="1"/>
  <c r="M50" i="6" s="1"/>
  <c r="F62" i="6"/>
  <c r="G62" i="6" s="1"/>
  <c r="M62" i="6" s="1"/>
  <c r="F125" i="6"/>
  <c r="G125" i="6" s="1"/>
  <c r="M125" i="6" s="1"/>
  <c r="F862" i="6"/>
  <c r="G862" i="6" s="1"/>
  <c r="J862" i="6" s="1"/>
  <c r="K862" i="6" s="1"/>
  <c r="F806" i="6"/>
  <c r="G806" i="6" s="1"/>
  <c r="F310" i="6"/>
  <c r="G310" i="6" s="1"/>
  <c r="M310" i="6" s="1"/>
  <c r="F1063" i="6"/>
  <c r="G1063" i="6" s="1"/>
  <c r="M1063" i="6" s="1"/>
  <c r="F789" i="6"/>
  <c r="G789" i="6" s="1"/>
  <c r="M789" i="6" s="1"/>
  <c r="F601" i="6"/>
  <c r="G601" i="6" s="1"/>
  <c r="M601" i="6" s="1"/>
  <c r="F48" i="6"/>
  <c r="G48" i="6" s="1"/>
  <c r="M48" i="6" s="1"/>
  <c r="F791" i="6"/>
  <c r="G791" i="6" s="1"/>
  <c r="M791" i="6" s="1"/>
  <c r="F775" i="6"/>
  <c r="G775" i="6" s="1"/>
  <c r="M775" i="6" s="1"/>
  <c r="F287" i="6"/>
  <c r="G287" i="6" s="1"/>
  <c r="M287" i="6" s="1"/>
  <c r="F700" i="6"/>
  <c r="G700" i="6" s="1"/>
  <c r="M700" i="6" s="1"/>
  <c r="F701" i="6"/>
  <c r="G701" i="6" s="1"/>
  <c r="M701" i="6" s="1"/>
  <c r="F927" i="6"/>
  <c r="G927" i="6" s="1"/>
  <c r="M927" i="6" s="1"/>
  <c r="F274" i="6"/>
  <c r="G274" i="6" s="1"/>
  <c r="M274" i="6" s="1"/>
  <c r="F611" i="6"/>
  <c r="G611" i="6" s="1"/>
  <c r="M611" i="6" s="1"/>
  <c r="F400" i="6"/>
  <c r="G400" i="6" s="1"/>
  <c r="M400" i="6" s="1"/>
  <c r="F533" i="6"/>
  <c r="G533" i="6" s="1"/>
  <c r="M533" i="6" s="1"/>
  <c r="F695" i="6"/>
  <c r="G695" i="6" s="1"/>
  <c r="M695" i="6" s="1"/>
  <c r="F455" i="6"/>
  <c r="G455" i="6" s="1"/>
  <c r="M455" i="6" s="1"/>
  <c r="F830" i="6"/>
  <c r="G830" i="6" s="1"/>
  <c r="F1061" i="6"/>
  <c r="G1061" i="6" s="1"/>
  <c r="M1061" i="6" s="1"/>
  <c r="F486" i="6"/>
  <c r="G486" i="6" s="1"/>
  <c r="M486" i="6" s="1"/>
  <c r="F1039" i="6"/>
  <c r="G1039" i="6" s="1"/>
  <c r="M1039" i="6" s="1"/>
  <c r="F620" i="6"/>
  <c r="G620" i="6" s="1"/>
  <c r="M620" i="6" s="1"/>
  <c r="F519" i="6"/>
  <c r="G519" i="6" s="1"/>
  <c r="M519" i="6" s="1"/>
  <c r="F327" i="6"/>
  <c r="G327" i="6" s="1"/>
  <c r="M327" i="6" s="1"/>
  <c r="F197" i="6"/>
  <c r="G197" i="6" s="1"/>
  <c r="M197" i="6" s="1"/>
  <c r="F85" i="6"/>
  <c r="G85" i="6" s="1"/>
  <c r="M85" i="6" s="1"/>
  <c r="F846" i="6"/>
  <c r="G846" i="6" s="1"/>
  <c r="F185" i="6"/>
  <c r="G185" i="6" s="1"/>
  <c r="M185" i="6" s="1"/>
  <c r="F677" i="6"/>
  <c r="G677" i="6" s="1"/>
  <c r="M677" i="6" s="1"/>
  <c r="F639" i="6"/>
  <c r="G639" i="6" s="1"/>
  <c r="M639" i="6" s="1"/>
  <c r="F161" i="6"/>
  <c r="G161" i="6" s="1"/>
  <c r="M161" i="6" s="1"/>
  <c r="F320" i="6"/>
  <c r="G320" i="6" s="1"/>
  <c r="M320" i="6" s="1"/>
  <c r="F772" i="6"/>
  <c r="G772" i="6" s="1"/>
  <c r="M772" i="6" s="1"/>
  <c r="F487" i="6"/>
  <c r="G487" i="6" s="1"/>
  <c r="M487" i="6" s="1"/>
  <c r="F460" i="6"/>
  <c r="G460" i="6" s="1"/>
  <c r="M460" i="6" s="1"/>
  <c r="F142" i="6"/>
  <c r="G142" i="6" s="1"/>
  <c r="M142" i="6" s="1"/>
  <c r="F316" i="6"/>
  <c r="G316" i="6" s="1"/>
  <c r="M316" i="6" s="1"/>
  <c r="F499" i="6"/>
  <c r="G499" i="6" s="1"/>
  <c r="M499" i="6" s="1"/>
  <c r="F15" i="6"/>
  <c r="G15" i="6" s="1"/>
  <c r="M15" i="6" s="1"/>
  <c r="F305" i="6"/>
  <c r="G305" i="6" s="1"/>
  <c r="M305" i="6" s="1"/>
  <c r="F408" i="6"/>
  <c r="G408" i="6" s="1"/>
  <c r="M408" i="6" s="1"/>
  <c r="F332" i="6"/>
  <c r="G332" i="6" s="1"/>
  <c r="M332" i="6" s="1"/>
  <c r="F1052" i="6"/>
  <c r="G1052" i="6" s="1"/>
  <c r="M1052" i="6" s="1"/>
  <c r="F276" i="6"/>
  <c r="G276" i="6" s="1"/>
  <c r="M276" i="6" s="1"/>
  <c r="F542" i="6"/>
  <c r="G542" i="6" s="1"/>
  <c r="M542" i="6" s="1"/>
  <c r="F301" i="6"/>
  <c r="G301" i="6" s="1"/>
  <c r="M301" i="6" s="1"/>
  <c r="F40" i="6"/>
  <c r="G40" i="6" s="1"/>
  <c r="M40" i="6" s="1"/>
  <c r="F1040" i="6"/>
  <c r="G1040" i="6" s="1"/>
  <c r="M1040" i="6" s="1"/>
  <c r="F46" i="6"/>
  <c r="G46" i="6" s="1"/>
  <c r="M46" i="6" s="1"/>
  <c r="F366" i="6"/>
  <c r="G366" i="6" s="1"/>
  <c r="M366" i="6" s="1"/>
  <c r="F255" i="6"/>
  <c r="G255" i="6" s="1"/>
  <c r="M255" i="6" s="1"/>
  <c r="F380" i="6"/>
  <c r="G380" i="6" s="1"/>
  <c r="M380" i="6" s="1"/>
  <c r="F385" i="6"/>
  <c r="G385" i="6" s="1"/>
  <c r="M385" i="6" s="1"/>
  <c r="F773" i="6"/>
  <c r="G773" i="6" s="1"/>
  <c r="M773" i="6" s="1"/>
  <c r="F805" i="6"/>
  <c r="G805" i="6" s="1"/>
  <c r="M805" i="6" s="1"/>
  <c r="F521" i="6"/>
  <c r="G521" i="6" s="1"/>
  <c r="M521" i="6" s="1"/>
  <c r="F723" i="6"/>
  <c r="G723" i="6" s="1"/>
  <c r="M723" i="6" s="1"/>
  <c r="F800" i="6"/>
  <c r="G800" i="6" s="1"/>
  <c r="M800" i="6" s="1"/>
  <c r="F401" i="6"/>
  <c r="G401" i="6" s="1"/>
  <c r="M401" i="6" s="1"/>
  <c r="F335" i="6"/>
  <c r="G335" i="6" s="1"/>
  <c r="M335" i="6" s="1"/>
  <c r="F432" i="6"/>
  <c r="G432" i="6" s="1"/>
  <c r="M432" i="6" s="1"/>
  <c r="F130" i="6"/>
  <c r="G130" i="6" s="1"/>
  <c r="M130" i="6" s="1"/>
  <c r="F469" i="6"/>
  <c r="G469" i="6" s="1"/>
  <c r="M469" i="6" s="1"/>
  <c r="F973" i="6"/>
  <c r="G973" i="6" s="1"/>
  <c r="M973" i="6" s="1"/>
  <c r="F839" i="6"/>
  <c r="G839" i="6" s="1"/>
  <c r="M839" i="6" s="1"/>
  <c r="F792" i="6"/>
  <c r="G792" i="6" s="1"/>
  <c r="M792" i="6" s="1"/>
  <c r="F461" i="6"/>
  <c r="G461" i="6" s="1"/>
  <c r="M461" i="6" s="1"/>
  <c r="F153" i="6"/>
  <c r="G153" i="6" s="1"/>
  <c r="M153" i="6" s="1"/>
  <c r="F200" i="6"/>
  <c r="G200" i="6" s="1"/>
  <c r="M200" i="6" s="1"/>
  <c r="F222" i="6"/>
  <c r="G222" i="6" s="1"/>
  <c r="M222" i="6" s="1"/>
  <c r="F811" i="6"/>
  <c r="G811" i="6" s="1"/>
  <c r="M811" i="6" s="1"/>
  <c r="F266" i="6"/>
  <c r="G266" i="6" s="1"/>
  <c r="M266" i="6" s="1"/>
  <c r="F227" i="6"/>
  <c r="G227" i="6" s="1"/>
  <c r="M227" i="6" s="1"/>
  <c r="F361" i="6"/>
  <c r="G361" i="6" s="1"/>
  <c r="M361" i="6" s="1"/>
  <c r="F191" i="6"/>
  <c r="G191" i="6" s="1"/>
  <c r="M191" i="6" s="1"/>
  <c r="F169" i="6"/>
  <c r="G169" i="6" s="1"/>
  <c r="M169" i="6" s="1"/>
  <c r="F207" i="6"/>
  <c r="G207" i="6" s="1"/>
  <c r="M207" i="6" s="1"/>
  <c r="F321" i="6"/>
  <c r="G321" i="6" s="1"/>
  <c r="M321" i="6" s="1"/>
  <c r="F951" i="6"/>
  <c r="G951" i="6" s="1"/>
  <c r="M951" i="6" s="1"/>
  <c r="F949" i="6"/>
  <c r="G949" i="6" s="1"/>
  <c r="M949" i="6" s="1"/>
  <c r="F879" i="6"/>
  <c r="G879" i="6" s="1"/>
  <c r="M879" i="6" s="1"/>
  <c r="F370" i="6"/>
  <c r="G370" i="6" s="1"/>
  <c r="M370" i="6" s="1"/>
  <c r="F318" i="6"/>
  <c r="G318" i="6" s="1"/>
  <c r="M318" i="6" s="1"/>
  <c r="F67" i="6"/>
  <c r="G67" i="6" s="1"/>
  <c r="M67" i="6" s="1"/>
  <c r="F534" i="6"/>
  <c r="G534" i="6" s="1"/>
  <c r="M534" i="6" s="1"/>
  <c r="F737" i="6"/>
  <c r="G737" i="6" s="1"/>
  <c r="M737" i="6" s="1"/>
  <c r="F712" i="6"/>
  <c r="G712" i="6" s="1"/>
  <c r="M712" i="6" s="1"/>
  <c r="F626" i="6"/>
  <c r="G626" i="6" s="1"/>
  <c r="M626" i="6" s="1"/>
  <c r="F989" i="6"/>
  <c r="G989" i="6" s="1"/>
  <c r="M989" i="6" s="1"/>
  <c r="F525" i="6"/>
  <c r="G525" i="6" s="1"/>
  <c r="M525" i="6" s="1"/>
  <c r="F1001" i="6"/>
  <c r="G1001" i="6" s="1"/>
  <c r="M1001" i="6" s="1"/>
  <c r="F102" i="6"/>
  <c r="G102" i="6" s="1"/>
  <c r="M102" i="6" s="1"/>
  <c r="F117" i="6"/>
  <c r="G117" i="6" s="1"/>
  <c r="M117" i="6" s="1"/>
  <c r="F1044" i="6"/>
  <c r="G1044" i="6" s="1"/>
  <c r="M1044" i="6" s="1"/>
  <c r="F520" i="6"/>
  <c r="G520" i="6" s="1"/>
  <c r="M520" i="6" s="1"/>
  <c r="F1015" i="6"/>
  <c r="G1015" i="6" s="1"/>
  <c r="M1015" i="6" s="1"/>
  <c r="F543" i="6"/>
  <c r="G543" i="6" s="1"/>
  <c r="M543" i="6" s="1"/>
  <c r="F2" i="6"/>
  <c r="G2" i="6" s="1"/>
  <c r="M2" i="6" s="1"/>
  <c r="F1072" i="6"/>
  <c r="G1072" i="6" s="1"/>
  <c r="M1072" i="6" s="1"/>
  <c r="F475" i="6"/>
  <c r="G475" i="6" s="1"/>
  <c r="M475" i="6" s="1"/>
  <c r="F91" i="6"/>
  <c r="G91" i="6" s="1"/>
  <c r="M91" i="6" s="1"/>
  <c r="F1028" i="6"/>
  <c r="G1028" i="6" s="1"/>
  <c r="M1028" i="6" s="1"/>
  <c r="F627" i="6"/>
  <c r="G627" i="6" s="1"/>
  <c r="M627" i="6" s="1"/>
  <c r="F955" i="6"/>
  <c r="G955" i="6" s="1"/>
  <c r="M955" i="6" s="1"/>
  <c r="F687" i="6"/>
  <c r="G687" i="6" s="1"/>
  <c r="M687" i="6" s="1"/>
  <c r="F79" i="6"/>
  <c r="G79" i="6" s="1"/>
  <c r="M79" i="6" s="1"/>
  <c r="F679" i="6"/>
  <c r="G679" i="6" s="1"/>
  <c r="M679" i="6" s="1"/>
  <c r="F624" i="6"/>
  <c r="G624" i="6" s="1"/>
  <c r="M624" i="6" s="1"/>
  <c r="F932" i="6"/>
  <c r="G932" i="6" s="1"/>
  <c r="M932" i="6" s="1"/>
  <c r="F621" i="6"/>
  <c r="G621" i="6" s="1"/>
  <c r="M621" i="6" s="1"/>
  <c r="F714" i="6"/>
  <c r="G714" i="6" s="1"/>
  <c r="M714" i="6" s="1"/>
  <c r="F526" i="6"/>
  <c r="G526" i="6" s="1"/>
  <c r="M526" i="6" s="1"/>
  <c r="F392" i="6"/>
  <c r="G392" i="6" s="1"/>
  <c r="M392" i="6" s="1"/>
  <c r="F500" i="6"/>
  <c r="G500" i="6" s="1"/>
  <c r="M500" i="6" s="1"/>
  <c r="F97" i="6"/>
  <c r="G97" i="6" s="1"/>
  <c r="M97" i="6" s="1"/>
  <c r="F98" i="6"/>
  <c r="G98" i="6" s="1"/>
  <c r="M98" i="6" s="1"/>
  <c r="F230" i="6"/>
  <c r="G230" i="6" s="1"/>
  <c r="M230" i="6" s="1"/>
  <c r="F602" i="6"/>
  <c r="G602" i="6" s="1"/>
  <c r="M602" i="6" s="1"/>
  <c r="F127" i="6"/>
  <c r="G127" i="6" s="1"/>
  <c r="M127" i="6" s="1"/>
  <c r="F164" i="6"/>
  <c r="G164" i="6" s="1"/>
  <c r="M164" i="6" s="1"/>
  <c r="F863" i="6"/>
  <c r="G863" i="6" s="1"/>
  <c r="M863" i="6" s="1"/>
  <c r="F781" i="6"/>
  <c r="G781" i="6" s="1"/>
  <c r="M781" i="6" s="1"/>
  <c r="F962" i="6"/>
  <c r="G962" i="6" s="1"/>
  <c r="J962" i="6" s="1"/>
  <c r="K962" i="6" s="1"/>
  <c r="F741" i="6"/>
  <c r="G741" i="6" s="1"/>
  <c r="M741" i="6" s="1"/>
  <c r="F550" i="6"/>
  <c r="G550" i="6" s="1"/>
  <c r="M550" i="6" s="1"/>
  <c r="F25" i="6"/>
  <c r="G25" i="6" s="1"/>
  <c r="M25" i="6" s="1"/>
  <c r="F140" i="6"/>
  <c r="G140" i="6" s="1"/>
  <c r="M140" i="6" s="1"/>
  <c r="F351" i="6"/>
  <c r="G351" i="6" s="1"/>
  <c r="M351" i="6" s="1"/>
  <c r="F974" i="6"/>
  <c r="G974" i="6" s="1"/>
  <c r="J974" i="6" s="1"/>
  <c r="K974" i="6" s="1"/>
  <c r="F746" i="6"/>
  <c r="G746" i="6" s="1"/>
  <c r="M746" i="6" s="1"/>
  <c r="F740" i="6"/>
  <c r="G740" i="6" s="1"/>
  <c r="M740" i="6" s="1"/>
  <c r="F18" i="6"/>
  <c r="G18" i="6" s="1"/>
  <c r="M18" i="6" s="1"/>
  <c r="F1050" i="6"/>
  <c r="G1050" i="6" s="1"/>
  <c r="J1050" i="6" s="1"/>
  <c r="K1050" i="6" s="1"/>
  <c r="F968" i="6"/>
  <c r="G968" i="6" s="1"/>
  <c r="M968" i="6" s="1"/>
  <c r="F458" i="6"/>
  <c r="G458" i="6" s="1"/>
  <c r="M458" i="6" s="1"/>
  <c r="F921" i="6"/>
  <c r="G921" i="6" s="1"/>
  <c r="M921" i="6" s="1"/>
  <c r="F588" i="6"/>
  <c r="G588" i="6" s="1"/>
  <c r="M588" i="6" s="1"/>
  <c r="F585" i="6"/>
  <c r="G585" i="6" s="1"/>
  <c r="M585" i="6" s="1"/>
  <c r="F1068" i="6"/>
  <c r="G1068" i="6" s="1"/>
  <c r="M1068" i="6" s="1"/>
  <c r="F215" i="6"/>
  <c r="G215" i="6" s="1"/>
  <c r="M215" i="6" s="1"/>
  <c r="F272" i="6"/>
  <c r="G272" i="6" s="1"/>
  <c r="M272" i="6" s="1"/>
  <c r="F236" i="6"/>
  <c r="G236" i="6" s="1"/>
  <c r="M236" i="6" s="1"/>
  <c r="F684" i="6"/>
  <c r="G684" i="6" s="1"/>
  <c r="M684" i="6" s="1"/>
  <c r="F26" i="6"/>
  <c r="G26" i="6" s="1"/>
  <c r="M26" i="6" s="1"/>
  <c r="F584" i="6"/>
  <c r="G584" i="6" s="1"/>
  <c r="M584" i="6" s="1"/>
  <c r="F840" i="6"/>
  <c r="G840" i="6" s="1"/>
  <c r="M840" i="6" s="1"/>
  <c r="F283" i="6"/>
  <c r="G283" i="6" s="1"/>
  <c r="M283" i="6" s="1"/>
  <c r="F349" i="6"/>
  <c r="G349" i="6" s="1"/>
  <c r="M349" i="6" s="1"/>
  <c r="F1033" i="6"/>
  <c r="G1033" i="6" s="1"/>
  <c r="M1033" i="6" s="1"/>
  <c r="F648" i="6"/>
  <c r="G648" i="6" s="1"/>
  <c r="M648" i="6" s="1"/>
  <c r="F831" i="6"/>
  <c r="G831" i="6" s="1"/>
  <c r="M831" i="6" s="1"/>
  <c r="F876" i="6"/>
  <c r="G876" i="6" s="1"/>
  <c r="M876" i="6" s="1"/>
  <c r="F51" i="6"/>
  <c r="G51" i="6" s="1"/>
  <c r="M51" i="6" s="1"/>
  <c r="F47" i="6"/>
  <c r="G47" i="6" s="1"/>
  <c r="M47" i="6" s="1"/>
  <c r="F1043" i="6"/>
  <c r="G1043" i="6" s="1"/>
  <c r="M1043" i="6" s="1"/>
  <c r="F847" i="6"/>
  <c r="G847" i="6" s="1"/>
  <c r="M847" i="6" s="1"/>
  <c r="F413" i="6"/>
  <c r="G413" i="6" s="1"/>
  <c r="M413" i="6" s="1"/>
  <c r="F402" i="6"/>
  <c r="G402" i="6" s="1"/>
  <c r="M402" i="6" s="1"/>
  <c r="F3" i="6"/>
  <c r="G3" i="6" s="1"/>
  <c r="M3" i="6" s="1"/>
  <c r="F785" i="6"/>
  <c r="G785" i="6" s="1"/>
  <c r="M785" i="6" s="1"/>
  <c r="F988" i="6"/>
  <c r="G988" i="6" s="1"/>
  <c r="M988" i="6" s="1"/>
  <c r="F448" i="6"/>
  <c r="G448" i="6" s="1"/>
  <c r="M448" i="6" s="1"/>
  <c r="F738" i="6"/>
  <c r="G738" i="6" s="1"/>
  <c r="M738" i="6" s="1"/>
  <c r="F425" i="6"/>
  <c r="G425" i="6" s="1"/>
  <c r="M425" i="6" s="1"/>
  <c r="F994" i="6"/>
  <c r="G994" i="6" s="1"/>
  <c r="J994" i="6" s="1"/>
  <c r="K994" i="6" s="1"/>
  <c r="F166" i="6"/>
  <c r="G166" i="6" s="1"/>
  <c r="M166" i="6" s="1"/>
  <c r="F570" i="6"/>
  <c r="G570" i="6" s="1"/>
  <c r="M570" i="6" s="1"/>
  <c r="F126" i="6"/>
  <c r="G126" i="6" s="1"/>
  <c r="M126" i="6" s="1"/>
  <c r="F568" i="6"/>
  <c r="G568" i="6" s="1"/>
  <c r="M568" i="6" s="1"/>
  <c r="F171" i="6"/>
  <c r="G171" i="6" s="1"/>
  <c r="M171" i="6" s="1"/>
  <c r="F441" i="6"/>
  <c r="G441" i="6" s="1"/>
  <c r="M441" i="6" s="1"/>
  <c r="F957" i="6"/>
  <c r="G957" i="6" s="1"/>
  <c r="M957" i="6" s="1"/>
  <c r="F95" i="6"/>
  <c r="G95" i="6" s="1"/>
  <c r="M95" i="6" s="1"/>
  <c r="F779" i="6"/>
  <c r="G779" i="6" s="1"/>
  <c r="M779" i="6" s="1"/>
  <c r="F36" i="6"/>
  <c r="G36" i="6" s="1"/>
  <c r="M36" i="6" s="1"/>
  <c r="F440" i="6"/>
  <c r="G440" i="6" s="1"/>
  <c r="M440" i="6" s="1"/>
  <c r="F101" i="6"/>
  <c r="G101" i="6" s="1"/>
  <c r="M101" i="6" s="1"/>
  <c r="F522" i="6"/>
  <c r="G522" i="6" s="1"/>
  <c r="M522" i="6" s="1"/>
  <c r="F175" i="6"/>
  <c r="G175" i="6" s="1"/>
  <c r="M175" i="6" s="1"/>
  <c r="F58" i="6"/>
  <c r="G58" i="6" s="1"/>
  <c r="M58" i="6" s="1"/>
  <c r="F186" i="6"/>
  <c r="G186" i="6" s="1"/>
  <c r="M186" i="6" s="1"/>
  <c r="F377" i="6"/>
  <c r="G377" i="6" s="1"/>
  <c r="M377" i="6" s="1"/>
  <c r="F855" i="6"/>
  <c r="G855" i="6" s="1"/>
  <c r="M855" i="6" s="1"/>
  <c r="F150" i="6"/>
  <c r="G150" i="6" s="1"/>
  <c r="M150" i="6" s="1"/>
  <c r="F30" i="6"/>
  <c r="G30" i="6" s="1"/>
  <c r="M30" i="6" s="1"/>
  <c r="F502" i="6"/>
  <c r="G502" i="6" s="1"/>
  <c r="M502" i="6" s="1"/>
  <c r="F84" i="6"/>
  <c r="G84" i="6" s="1"/>
  <c r="M84" i="6" s="1"/>
  <c r="F665" i="6"/>
  <c r="G665" i="6" s="1"/>
  <c r="M665" i="6" s="1"/>
  <c r="F198" i="6"/>
  <c r="G198" i="6" s="1"/>
  <c r="M198" i="6" s="1"/>
  <c r="F294" i="6"/>
  <c r="G294" i="6" s="1"/>
  <c r="M294" i="6" s="1"/>
  <c r="F501" i="6"/>
  <c r="G501" i="6" s="1"/>
  <c r="M501" i="6" s="1"/>
  <c r="F553" i="6"/>
  <c r="G553" i="6" s="1"/>
  <c r="M553" i="6" s="1"/>
  <c r="F217" i="6"/>
  <c r="G217" i="6" s="1"/>
  <c r="M217" i="6" s="1"/>
  <c r="F173" i="6"/>
  <c r="G173" i="6" s="1"/>
  <c r="M173" i="6" s="1"/>
  <c r="F462" i="6"/>
  <c r="G462" i="6" s="1"/>
  <c r="M462" i="6" s="1"/>
  <c r="F221" i="6"/>
  <c r="G221" i="6" s="1"/>
  <c r="M221" i="6" s="1"/>
  <c r="F686" i="6"/>
  <c r="G686" i="6" s="1"/>
  <c r="M686" i="6" s="1"/>
  <c r="F1054" i="6"/>
  <c r="G1054" i="6" s="1"/>
  <c r="J1054" i="6" s="1"/>
  <c r="K1054" i="6" s="1"/>
  <c r="F749" i="6"/>
  <c r="G749" i="6" s="1"/>
  <c r="M749" i="6" s="1"/>
  <c r="F123" i="6"/>
  <c r="G123" i="6" s="1"/>
  <c r="M123" i="6" s="1"/>
  <c r="F466" i="6"/>
  <c r="G466" i="6" s="1"/>
  <c r="M466" i="6" s="1"/>
  <c r="F883" i="6"/>
  <c r="G883" i="6" s="1"/>
  <c r="M883" i="6" s="1"/>
  <c r="F139" i="6"/>
  <c r="G139" i="6" s="1"/>
  <c r="M139" i="6" s="1"/>
  <c r="F463" i="6"/>
  <c r="G463" i="6" s="1"/>
  <c r="M463" i="6" s="1"/>
  <c r="F877" i="6"/>
  <c r="G877" i="6" s="1"/>
  <c r="M877" i="6" s="1"/>
  <c r="F990" i="6"/>
  <c r="G990" i="6" s="1"/>
  <c r="J990" i="6" s="1"/>
  <c r="K990" i="6" s="1"/>
  <c r="F270" i="6"/>
  <c r="G270" i="6" s="1"/>
  <c r="M270" i="6" s="1"/>
  <c r="F144" i="6"/>
  <c r="G144" i="6" s="1"/>
  <c r="M144" i="6" s="1"/>
  <c r="F288" i="6"/>
  <c r="G288" i="6" s="1"/>
  <c r="M288" i="6" s="1"/>
  <c r="F541" i="6"/>
  <c r="G541" i="6" s="1"/>
  <c r="M541" i="6" s="1"/>
  <c r="F551" i="6"/>
  <c r="G551" i="6" s="1"/>
  <c r="M551" i="6" s="1"/>
  <c r="F338" i="6"/>
  <c r="G338" i="6" s="1"/>
  <c r="M338" i="6" s="1"/>
  <c r="F1064" i="6"/>
  <c r="G1064" i="6" s="1"/>
  <c r="M1064" i="6" s="1"/>
  <c r="F1037" i="6"/>
  <c r="G1037" i="6" s="1"/>
  <c r="M1037" i="6" s="1"/>
  <c r="F603" i="6"/>
  <c r="G603" i="6" s="1"/>
  <c r="M603" i="6" s="1"/>
  <c r="F727" i="6"/>
  <c r="G727" i="6" s="1"/>
  <c r="M727" i="6" s="1"/>
  <c r="F752" i="6"/>
  <c r="G752" i="6" s="1"/>
  <c r="M752" i="6" s="1"/>
  <c r="F314" i="6"/>
  <c r="G314" i="6" s="1"/>
  <c r="M314" i="6" s="1"/>
  <c r="F216" i="6"/>
  <c r="G216" i="6" s="1"/>
  <c r="M216" i="6" s="1"/>
  <c r="F803" i="6"/>
  <c r="G803" i="6" s="1"/>
  <c r="M803" i="6" s="1"/>
  <c r="F74" i="6"/>
  <c r="G74" i="6" s="1"/>
  <c r="M74" i="6" s="1"/>
  <c r="F915" i="6"/>
  <c r="G915" i="6" s="1"/>
  <c r="M915" i="6" s="1"/>
  <c r="F399" i="6"/>
  <c r="G399" i="6" s="1"/>
  <c r="M399" i="6" s="1"/>
  <c r="F913" i="6"/>
  <c r="G913" i="6" s="1"/>
  <c r="M913" i="6" s="1"/>
  <c r="F907" i="6"/>
  <c r="G907" i="6" s="1"/>
  <c r="M907" i="6" s="1"/>
  <c r="F242" i="6"/>
  <c r="G242" i="6" s="1"/>
  <c r="M242" i="6" s="1"/>
  <c r="F809" i="6"/>
  <c r="G809" i="6" s="1"/>
  <c r="M809" i="6" s="1"/>
  <c r="F232" i="6"/>
  <c r="G232" i="6" s="1"/>
  <c r="M232" i="6" s="1"/>
  <c r="F383" i="6"/>
  <c r="G383" i="6" s="1"/>
  <c r="M383" i="6" s="1"/>
  <c r="F328" i="6"/>
  <c r="G328" i="6" s="1"/>
  <c r="M328" i="6" s="1"/>
  <c r="F890" i="6"/>
  <c r="G890" i="6" s="1"/>
  <c r="J890" i="6" s="1"/>
  <c r="K890" i="6" s="1"/>
  <c r="F893" i="6"/>
  <c r="G893" i="6" s="1"/>
  <c r="M893" i="6" s="1"/>
  <c r="F734" i="6"/>
  <c r="G734" i="6" s="1"/>
  <c r="M734" i="6" s="1"/>
  <c r="F735" i="6"/>
  <c r="G735" i="6" s="1"/>
  <c r="M735" i="6" s="1"/>
  <c r="F535" i="6"/>
  <c r="G535" i="6" s="1"/>
  <c r="M535" i="6" s="1"/>
  <c r="F614" i="6"/>
  <c r="G614" i="6" s="1"/>
  <c r="M614" i="6" s="1"/>
  <c r="F145" i="6"/>
  <c r="G145" i="6" s="1"/>
  <c r="M145" i="6" s="1"/>
  <c r="F6" i="6"/>
  <c r="G6" i="6" s="1"/>
  <c r="M6" i="6" s="1"/>
  <c r="F972" i="6"/>
  <c r="G972" i="6" s="1"/>
  <c r="M972" i="6" s="1"/>
  <c r="F1018" i="6"/>
  <c r="G1018" i="6" s="1"/>
  <c r="J1018" i="6" s="1"/>
  <c r="K1018" i="6" s="1"/>
  <c r="F644" i="6"/>
  <c r="G644" i="6" s="1"/>
  <c r="M644" i="6" s="1"/>
  <c r="F642" i="6"/>
  <c r="G642" i="6" s="1"/>
  <c r="M642" i="6" s="1"/>
  <c r="F702" i="6"/>
  <c r="G702" i="6" s="1"/>
  <c r="M702" i="6" s="1"/>
  <c r="F77" i="6"/>
  <c r="G77" i="6" s="1"/>
  <c r="M77" i="6" s="1"/>
  <c r="F895" i="6"/>
  <c r="G895" i="6" s="1"/>
  <c r="M895" i="6" s="1"/>
  <c r="F1030" i="6"/>
  <c r="G1030" i="6" s="1"/>
  <c r="J1030" i="6" s="1"/>
  <c r="K1030" i="6" s="1"/>
  <c r="F311" i="6"/>
  <c r="G311" i="6" s="1"/>
  <c r="M311" i="6" s="1"/>
  <c r="F167" i="6"/>
  <c r="G167" i="6" s="1"/>
  <c r="M167" i="6" s="1"/>
  <c r="F537" i="6"/>
  <c r="G537" i="6" s="1"/>
  <c r="M537" i="6" s="1"/>
  <c r="F188" i="6"/>
  <c r="G188" i="6" s="1"/>
  <c r="M188" i="6" s="1"/>
  <c r="F713" i="6"/>
  <c r="G713" i="6" s="1"/>
  <c r="M713" i="6" s="1"/>
  <c r="F946" i="6"/>
  <c r="G946" i="6" s="1"/>
  <c r="J946" i="6" s="1"/>
  <c r="K946" i="6" s="1"/>
  <c r="F628" i="6"/>
  <c r="G628" i="6" s="1"/>
  <c r="M628" i="6" s="1"/>
  <c r="F908" i="6"/>
  <c r="G908" i="6" s="1"/>
  <c r="M908" i="6" s="1"/>
  <c r="F1047" i="6"/>
  <c r="G1047" i="6" s="1"/>
  <c r="M1047" i="6" s="1"/>
  <c r="F433" i="6"/>
  <c r="G433" i="6" s="1"/>
  <c r="M433" i="6" s="1"/>
  <c r="F35" i="6"/>
  <c r="G35" i="6" s="1"/>
  <c r="M35" i="6" s="1"/>
  <c r="F396" i="6"/>
  <c r="G396" i="6" s="1"/>
  <c r="M396" i="6" s="1"/>
  <c r="F659" i="6"/>
  <c r="G659" i="6" s="1"/>
  <c r="M659" i="6" s="1"/>
  <c r="F373" i="6"/>
  <c r="G373" i="6" s="1"/>
  <c r="M373" i="6" s="1"/>
  <c r="F747" i="6"/>
  <c r="G747" i="6" s="1"/>
  <c r="M747" i="6" s="1"/>
  <c r="F491" i="6"/>
  <c r="G491" i="6" s="1"/>
  <c r="M491" i="6" s="1"/>
  <c r="F459" i="6"/>
  <c r="G459" i="6" s="1"/>
  <c r="M459" i="6" s="1"/>
  <c r="F456" i="6"/>
  <c r="G456" i="6" s="1"/>
  <c r="M456" i="6" s="1"/>
  <c r="F835" i="6"/>
  <c r="G835" i="6" s="1"/>
  <c r="M835" i="6" s="1"/>
  <c r="F832" i="6"/>
  <c r="G832" i="6" s="1"/>
  <c r="M832" i="6" s="1"/>
  <c r="F824" i="6"/>
  <c r="G824" i="6" s="1"/>
  <c r="M824" i="6" s="1"/>
  <c r="F429" i="6"/>
  <c r="G429" i="6" s="1"/>
  <c r="M429" i="6" s="1"/>
  <c r="F404" i="6"/>
  <c r="G404" i="6" s="1"/>
  <c r="M404" i="6" s="1"/>
  <c r="F577" i="6"/>
  <c r="G577" i="6" s="1"/>
  <c r="M577" i="6" s="1"/>
  <c r="F405" i="6"/>
  <c r="G405" i="6" s="1"/>
  <c r="M405" i="6" s="1"/>
  <c r="F409" i="6"/>
  <c r="G409" i="6" s="1"/>
  <c r="M409" i="6" s="1"/>
  <c r="F507" i="6"/>
  <c r="G507" i="6" s="1"/>
  <c r="M507" i="6" s="1"/>
  <c r="F336" i="6"/>
  <c r="G336" i="6" s="1"/>
  <c r="M336" i="6" s="1"/>
  <c r="F504" i="6"/>
  <c r="G504" i="6" s="1"/>
  <c r="M504" i="6" s="1"/>
  <c r="F696" i="6"/>
  <c r="G696" i="6" s="1"/>
  <c r="M696" i="6" s="1"/>
  <c r="F975" i="6"/>
  <c r="G975" i="6" s="1"/>
  <c r="M975" i="6" s="1"/>
  <c r="F667" i="6"/>
  <c r="G667" i="6" s="1"/>
  <c r="M667" i="6" s="1"/>
  <c r="F653" i="6"/>
  <c r="G653" i="6" s="1"/>
  <c r="M653" i="6" s="1"/>
  <c r="F163" i="6"/>
  <c r="G163" i="6" s="1"/>
  <c r="M163" i="6" s="1"/>
  <c r="F212" i="6"/>
  <c r="G212" i="6" s="1"/>
  <c r="M212" i="6" s="1"/>
  <c r="F928" i="6"/>
  <c r="G928" i="6" s="1"/>
  <c r="M928" i="6" s="1"/>
  <c r="F241" i="6"/>
  <c r="G241" i="6" s="1"/>
  <c r="M241" i="6" s="1"/>
  <c r="F1056" i="6"/>
  <c r="G1056" i="6" s="1"/>
  <c r="M1056" i="6" s="1"/>
  <c r="F622" i="6"/>
  <c r="G622" i="6" s="1"/>
  <c r="M622" i="6" s="1"/>
  <c r="F181" i="6"/>
  <c r="G181" i="6" s="1"/>
  <c r="M181" i="6" s="1"/>
  <c r="F986" i="6"/>
  <c r="G986" i="6" s="1"/>
  <c r="J986" i="6" s="1"/>
  <c r="K986" i="6" s="1"/>
  <c r="F1029" i="6"/>
  <c r="G1029" i="6" s="1"/>
  <c r="M1029" i="6" s="1"/>
  <c r="F991" i="6"/>
  <c r="G991" i="6" s="1"/>
  <c r="M991" i="6" s="1"/>
  <c r="F68" i="6"/>
  <c r="G68" i="6" s="1"/>
  <c r="M68" i="6" s="1"/>
  <c r="F75" i="6"/>
  <c r="G75" i="6" s="1"/>
  <c r="M75" i="6" s="1"/>
  <c r="F909" i="6"/>
  <c r="G909" i="6" s="1"/>
  <c r="M909" i="6" s="1"/>
  <c r="F641" i="6"/>
  <c r="G641" i="6" s="1"/>
  <c r="M641" i="6" s="1"/>
  <c r="F1055" i="6"/>
  <c r="G1055" i="6" s="1"/>
  <c r="M1055" i="6" s="1"/>
  <c r="F857" i="6"/>
  <c r="G857" i="6" s="1"/>
  <c r="M857" i="6" s="1"/>
  <c r="F861" i="6"/>
  <c r="G861" i="6" s="1"/>
  <c r="M861" i="6" s="1"/>
  <c r="F1067" i="6"/>
  <c r="G1067" i="6" s="1"/>
  <c r="M1067" i="6" s="1"/>
  <c r="F295" i="6"/>
  <c r="G295" i="6" s="1"/>
  <c r="M295" i="6" s="1"/>
  <c r="F134" i="6"/>
  <c r="G134" i="6" s="1"/>
  <c r="M134" i="6" s="1"/>
  <c r="F306" i="6"/>
  <c r="G306" i="6" s="1"/>
  <c r="M306" i="6" s="1"/>
  <c r="F111" i="6"/>
  <c r="G111" i="6" s="1"/>
  <c r="M111" i="6" s="1"/>
  <c r="F939" i="6"/>
  <c r="G939" i="6" s="1"/>
  <c r="M939" i="6" s="1"/>
  <c r="F367" i="6"/>
  <c r="G367" i="6" s="1"/>
  <c r="M367" i="6" s="1"/>
  <c r="F594" i="6"/>
  <c r="G594" i="6" s="1"/>
  <c r="M594" i="6" s="1"/>
  <c r="F135" i="6"/>
  <c r="G135" i="6" s="1"/>
  <c r="M135" i="6" s="1"/>
  <c r="F206" i="6"/>
  <c r="G206" i="6" s="1"/>
  <c r="M206" i="6" s="1"/>
  <c r="F933" i="6"/>
  <c r="G933" i="6" s="1"/>
  <c r="M933" i="6" s="1"/>
  <c r="F523" i="6"/>
  <c r="G523" i="6" s="1"/>
  <c r="M523" i="6" s="1"/>
  <c r="F324" i="6"/>
  <c r="G324" i="6" s="1"/>
  <c r="M324" i="6" s="1"/>
  <c r="F765" i="6"/>
  <c r="G765" i="6" s="1"/>
  <c r="M765" i="6" s="1"/>
  <c r="F493" i="6"/>
  <c r="G493" i="6" s="1"/>
  <c r="M493" i="6" s="1"/>
  <c r="F203" i="6"/>
  <c r="G203" i="6" s="1"/>
  <c r="M203" i="6" s="1"/>
  <c r="F204" i="6"/>
  <c r="G204" i="6" s="1"/>
  <c r="M204" i="6" s="1"/>
  <c r="F381" i="6"/>
  <c r="G381" i="6" s="1"/>
  <c r="M381" i="6" s="1"/>
  <c r="F894" i="6"/>
  <c r="G894" i="6" s="1"/>
  <c r="J894" i="6" s="1"/>
  <c r="K894" i="6" s="1"/>
  <c r="F896" i="6"/>
  <c r="G896" i="6" s="1"/>
  <c r="M896" i="6" s="1"/>
  <c r="F384" i="6"/>
  <c r="G384" i="6" s="1"/>
  <c r="M384" i="6" s="1"/>
  <c r="F312" i="6"/>
  <c r="G312" i="6" s="1"/>
  <c r="M312" i="6" s="1"/>
  <c r="F969" i="6"/>
  <c r="G969" i="6" s="1"/>
  <c r="M969" i="6" s="1"/>
  <c r="F766" i="6"/>
  <c r="G766" i="6" s="1"/>
  <c r="F705" i="6"/>
  <c r="G705" i="6" s="1"/>
  <c r="M705" i="6" s="1"/>
  <c r="F868" i="6"/>
  <c r="G868" i="6" s="1"/>
  <c r="M868" i="6" s="1"/>
  <c r="F844" i="6"/>
  <c r="G844" i="6" s="1"/>
  <c r="M844" i="6" s="1"/>
  <c r="F925" i="6"/>
  <c r="G925" i="6" s="1"/>
  <c r="M925" i="6" s="1"/>
  <c r="F503" i="6"/>
  <c r="G503" i="6" s="1"/>
  <c r="M503" i="6" s="1"/>
  <c r="F155" i="6"/>
  <c r="G155" i="6" s="1"/>
  <c r="M155" i="6" s="1"/>
  <c r="F769" i="6"/>
  <c r="G769" i="6" s="1"/>
  <c r="M769" i="6" s="1"/>
  <c r="F280" i="6"/>
  <c r="G280" i="6" s="1"/>
  <c r="M280" i="6" s="1"/>
  <c r="F823" i="6"/>
  <c r="G823" i="6" s="1"/>
  <c r="M823" i="6" s="1"/>
  <c r="F977" i="6"/>
  <c r="G977" i="6" s="1"/>
  <c r="M977" i="6" s="1"/>
  <c r="F982" i="6"/>
  <c r="G982" i="6" s="1"/>
  <c r="J982" i="6" s="1"/>
  <c r="K982" i="6" s="1"/>
  <c r="F1020" i="6"/>
  <c r="G1020" i="6" s="1"/>
  <c r="M1020" i="6" s="1"/>
  <c r="F880" i="6"/>
  <c r="G880" i="6" s="1"/>
  <c r="M880" i="6" s="1"/>
  <c r="F693" i="6"/>
  <c r="G693" i="6" s="1"/>
  <c r="M693" i="6" s="1"/>
  <c r="F13" i="6"/>
  <c r="G13" i="6" s="1"/>
  <c r="M13" i="6" s="1"/>
  <c r="F80" i="6"/>
  <c r="G80" i="6" s="1"/>
  <c r="M80" i="6" s="1"/>
  <c r="F554" i="6"/>
  <c r="G554" i="6" s="1"/>
  <c r="M554" i="6" s="1"/>
  <c r="F158" i="6"/>
  <c r="G158" i="6" s="1"/>
  <c r="M158" i="6" s="1"/>
  <c r="F92" i="6"/>
  <c r="G92" i="6" s="1"/>
  <c r="M92" i="6" s="1"/>
  <c r="F213" i="6"/>
  <c r="G213" i="6" s="1"/>
  <c r="M213" i="6" s="1"/>
  <c r="F119" i="6"/>
  <c r="G119" i="6" s="1"/>
  <c r="M119" i="6" s="1"/>
  <c r="F421" i="6"/>
  <c r="G421" i="6" s="1"/>
  <c r="M421" i="6" s="1"/>
  <c r="F930" i="6"/>
  <c r="G930" i="6" s="1"/>
  <c r="J930" i="6" s="1"/>
  <c r="K930" i="6" s="1"/>
  <c r="F935" i="6"/>
  <c r="G935" i="6" s="1"/>
  <c r="M935" i="6" s="1"/>
  <c r="F786" i="6"/>
  <c r="G786" i="6" s="1"/>
  <c r="F481" i="6"/>
  <c r="G481" i="6" s="1"/>
  <c r="M481" i="6" s="1"/>
  <c r="F317" i="6"/>
  <c r="G317" i="6" s="1"/>
  <c r="M317" i="6" s="1"/>
  <c r="F954" i="6"/>
  <c r="G954" i="6" s="1"/>
  <c r="J954" i="6" s="1"/>
  <c r="K954" i="6" s="1"/>
  <c r="F443" i="6"/>
  <c r="G443" i="6" s="1"/>
  <c r="M443" i="6" s="1"/>
  <c r="F449" i="6"/>
  <c r="G449" i="6" s="1"/>
  <c r="M449" i="6" s="1"/>
  <c r="F451" i="6"/>
  <c r="G451" i="6" s="1"/>
  <c r="M451" i="6" s="1"/>
  <c r="F751" i="6"/>
  <c r="G751" i="6" s="1"/>
  <c r="M751" i="6" s="1"/>
  <c r="F978" i="6"/>
  <c r="G978" i="6" s="1"/>
  <c r="J978" i="6" s="1"/>
  <c r="K978" i="6" s="1"/>
  <c r="F1011" i="6"/>
  <c r="G1011" i="6" s="1"/>
  <c r="M1011" i="6" s="1"/>
  <c r="F224" i="6"/>
  <c r="G224" i="6" s="1"/>
  <c r="M224" i="6" s="1"/>
  <c r="F807" i="6"/>
  <c r="G807" i="6" s="1"/>
  <c r="M807" i="6" s="1"/>
  <c r="F608" i="6"/>
  <c r="G608" i="6" s="1"/>
  <c r="M608" i="6" s="1"/>
  <c r="F49" i="6"/>
  <c r="G49" i="6" s="1"/>
  <c r="M49" i="6" s="1"/>
  <c r="F828" i="6"/>
  <c r="G828" i="6" s="1"/>
  <c r="M828" i="6" s="1"/>
  <c r="F1032" i="6"/>
  <c r="G1032" i="6" s="1"/>
  <c r="M1032" i="6" s="1"/>
  <c r="F258" i="6"/>
  <c r="G258" i="6" s="1"/>
  <c r="M258" i="6" s="1"/>
  <c r="F259" i="6"/>
  <c r="G259" i="6" s="1"/>
  <c r="M259" i="6" s="1"/>
  <c r="F69" i="6"/>
  <c r="G69" i="6" s="1"/>
  <c r="M69" i="6" s="1"/>
  <c r="F38" i="6"/>
  <c r="G38" i="6" s="1"/>
  <c r="M38" i="6" s="1"/>
  <c r="F281" i="6"/>
  <c r="G281" i="6" s="1"/>
  <c r="M281" i="6" s="1"/>
  <c r="F583" i="6"/>
  <c r="G583" i="6" s="1"/>
  <c r="M583" i="6" s="1"/>
  <c r="F70" i="6"/>
  <c r="G70" i="6" s="1"/>
  <c r="M70" i="6" s="1"/>
  <c r="F878" i="6"/>
  <c r="G878" i="6" s="1"/>
  <c r="J878" i="6" s="1"/>
  <c r="K878" i="6" s="1"/>
  <c r="F873" i="6"/>
  <c r="G873" i="6" s="1"/>
  <c r="M873" i="6" s="1"/>
  <c r="F709" i="6"/>
  <c r="G709" i="6" s="1"/>
  <c r="M709" i="6" s="1"/>
  <c r="F724" i="6"/>
  <c r="G724" i="6" s="1"/>
  <c r="M724" i="6" s="1"/>
  <c r="F871" i="6"/>
  <c r="G871" i="6" s="1"/>
  <c r="M871" i="6" s="1"/>
  <c r="F362" i="6"/>
  <c r="G362" i="6" s="1"/>
  <c r="M362" i="6" s="1"/>
  <c r="F816" i="6"/>
  <c r="G816" i="6" s="1"/>
  <c r="M816" i="6" s="1"/>
  <c r="F897" i="6"/>
  <c r="G897" i="6" s="1"/>
  <c r="M897" i="6" s="1"/>
  <c r="F548" i="6"/>
  <c r="G548" i="6" s="1"/>
  <c r="M548" i="6" s="1"/>
  <c r="F511" i="6"/>
  <c r="G511" i="6" s="1"/>
  <c r="M511" i="6" s="1"/>
  <c r="F597" i="6"/>
  <c r="G597" i="6" s="1"/>
  <c r="M597" i="6" s="1"/>
  <c r="F4" i="6"/>
  <c r="G4" i="6" s="1"/>
  <c r="M4" i="6" s="1"/>
  <c r="F239" i="6"/>
  <c r="G239" i="6" s="1"/>
  <c r="M239" i="6" s="1"/>
  <c r="F845" i="6"/>
  <c r="G845" i="6" s="1"/>
  <c r="M845" i="6" s="1"/>
  <c r="F571" i="6"/>
  <c r="G571" i="6" s="1"/>
  <c r="M571" i="6" s="1"/>
  <c r="F675" i="6"/>
  <c r="G675" i="6" s="1"/>
  <c r="M675" i="6" s="1"/>
  <c r="F825" i="6"/>
  <c r="G825" i="6" s="1"/>
  <c r="M825" i="6" s="1"/>
  <c r="F710" i="6"/>
  <c r="G710" i="6" s="1"/>
  <c r="M710" i="6" s="1"/>
  <c r="F267" i="6"/>
  <c r="G267" i="6" s="1"/>
  <c r="M267" i="6" s="1"/>
  <c r="F149" i="6"/>
  <c r="G149" i="6" s="1"/>
  <c r="M149" i="6" s="1"/>
  <c r="F151" i="6"/>
  <c r="G151" i="6" s="1"/>
  <c r="M151" i="6" s="1"/>
  <c r="F656" i="6"/>
  <c r="G656" i="6" s="1"/>
  <c r="M656" i="6" s="1"/>
  <c r="F157" i="6"/>
  <c r="G157" i="6" s="1"/>
  <c r="M157" i="6" s="1"/>
  <c r="F131" i="6"/>
  <c r="G131" i="6" s="1"/>
  <c r="M131" i="6" s="1"/>
  <c r="F544" i="6"/>
  <c r="G544" i="6" s="1"/>
  <c r="M544" i="6" s="1"/>
  <c r="F229" i="6"/>
  <c r="G229" i="6" s="1"/>
  <c r="M229" i="6" s="1"/>
  <c r="F81" i="6"/>
  <c r="G81" i="6" s="1"/>
  <c r="M81" i="6" s="1"/>
  <c r="F238" i="6"/>
  <c r="G238" i="6" s="1"/>
  <c r="M238" i="6" s="1"/>
  <c r="F240" i="6"/>
  <c r="G240" i="6" s="1"/>
  <c r="M240" i="6" s="1"/>
  <c r="F929" i="6"/>
  <c r="G929" i="6" s="1"/>
  <c r="M929" i="6" s="1"/>
  <c r="F801" i="6"/>
  <c r="G801" i="6" s="1"/>
  <c r="M801" i="6" s="1"/>
  <c r="F1023" i="6"/>
  <c r="G1023" i="6" s="1"/>
  <c r="M1023" i="6" s="1"/>
  <c r="F513" i="6"/>
  <c r="G513" i="6" s="1"/>
  <c r="M513" i="6" s="1"/>
  <c r="F94" i="6"/>
  <c r="G94" i="6" s="1"/>
  <c r="M94" i="6" s="1"/>
  <c r="F817" i="6"/>
  <c r="G817" i="6" s="1"/>
  <c r="M817" i="6" s="1"/>
  <c r="F619" i="6"/>
  <c r="G619" i="6" s="1"/>
  <c r="M619" i="6" s="1"/>
  <c r="F882" i="6"/>
  <c r="G882" i="6" s="1"/>
  <c r="J882" i="6" s="1"/>
  <c r="K882" i="6" s="1"/>
  <c r="F194" i="6"/>
  <c r="G194" i="6" s="1"/>
  <c r="M194" i="6" s="1"/>
  <c r="F426" i="6"/>
  <c r="G426" i="6" s="1"/>
  <c r="M426" i="6" s="1"/>
  <c r="F72" i="6"/>
  <c r="G72" i="6" s="1"/>
  <c r="M72" i="6" s="1"/>
  <c r="F650" i="6"/>
  <c r="G650" i="6" s="1"/>
  <c r="M650" i="6" s="1"/>
  <c r="F555" i="6"/>
  <c r="G555" i="6" s="1"/>
  <c r="M555" i="6" s="1"/>
  <c r="F1070" i="6"/>
  <c r="G1070" i="6" s="1"/>
  <c r="J1070" i="6" s="1"/>
  <c r="K1070" i="6" s="1"/>
  <c r="F993" i="6"/>
  <c r="G993" i="6" s="1"/>
  <c r="M993" i="6" s="1"/>
  <c r="F742" i="6"/>
  <c r="G742" i="6" s="1"/>
  <c r="M742" i="6" s="1"/>
  <c r="F1045" i="6"/>
  <c r="G1045" i="6" s="1"/>
  <c r="M1045" i="6" s="1"/>
  <c r="F16" i="6"/>
  <c r="G16" i="6" s="1"/>
  <c r="M16" i="6" s="1"/>
  <c r="F490" i="6"/>
  <c r="G490" i="6" s="1"/>
  <c r="M490" i="6" s="1"/>
  <c r="F21" i="6"/>
  <c r="G21" i="6" s="1"/>
  <c r="M21" i="6" s="1"/>
  <c r="F566" i="6"/>
  <c r="G566" i="6" s="1"/>
  <c r="M566" i="6" s="1"/>
  <c r="F498" i="6"/>
  <c r="G498" i="6" s="1"/>
  <c r="M498" i="6" s="1"/>
  <c r="F732" i="6"/>
  <c r="G732" i="6" s="1"/>
  <c r="M732" i="6" s="1"/>
  <c r="F88" i="6"/>
  <c r="G88" i="6" s="1"/>
  <c r="M88" i="6" s="1"/>
  <c r="F112" i="6"/>
  <c r="G112" i="6" s="1"/>
  <c r="M112" i="6" s="1"/>
  <c r="F278" i="6"/>
  <c r="G278" i="6" s="1"/>
  <c r="M278" i="6" s="1"/>
  <c r="F905" i="6"/>
  <c r="G905" i="6" s="1"/>
  <c r="M905" i="6" s="1"/>
  <c r="F795" i="6"/>
  <c r="G795" i="6" s="1"/>
  <c r="M795" i="6" s="1"/>
  <c r="F422" i="6"/>
  <c r="G422" i="6" s="1"/>
  <c r="M422" i="6" s="1"/>
  <c r="F365" i="6"/>
  <c r="G365" i="6" s="1"/>
  <c r="M365" i="6" s="1"/>
  <c r="F195" i="6"/>
  <c r="G195" i="6" s="1"/>
  <c r="M195" i="6" s="1"/>
  <c r="F220" i="6"/>
  <c r="G220" i="6" s="1"/>
  <c r="M220" i="6" s="1"/>
  <c r="F948" i="6"/>
  <c r="G948" i="6" s="1"/>
  <c r="M948" i="6" s="1"/>
  <c r="F434" i="6"/>
  <c r="G434" i="6" s="1"/>
  <c r="M434" i="6" s="1"/>
  <c r="F289" i="6"/>
  <c r="G289" i="6" s="1"/>
  <c r="M289" i="6" s="1"/>
  <c r="F796" i="6"/>
  <c r="G796" i="6" s="1"/>
  <c r="M796" i="6" s="1"/>
  <c r="F662" i="6"/>
  <c r="G662" i="6" s="1"/>
  <c r="M662" i="6" s="1"/>
  <c r="F439" i="6"/>
  <c r="G439" i="6" s="1"/>
  <c r="M439" i="6" s="1"/>
  <c r="F815" i="6"/>
  <c r="G815" i="6" s="1"/>
  <c r="M815" i="6" s="1"/>
  <c r="F162" i="6"/>
  <c r="G162" i="6" s="1"/>
  <c r="M162" i="6" s="1"/>
  <c r="F916" i="6"/>
  <c r="G916" i="6" s="1"/>
  <c r="M916" i="6" s="1"/>
  <c r="F867" i="6"/>
  <c r="G867" i="6" s="1"/>
  <c r="M867" i="6" s="1"/>
  <c r="F960" i="6"/>
  <c r="G960" i="6" s="1"/>
  <c r="M960" i="6" s="1"/>
  <c r="F849" i="6"/>
  <c r="G849" i="6" s="1"/>
  <c r="M849" i="6" s="1"/>
  <c r="F453" i="6"/>
  <c r="G453" i="6" s="1"/>
  <c r="M453" i="6" s="1"/>
  <c r="F674" i="6"/>
  <c r="G674" i="6" s="1"/>
  <c r="M674" i="6" s="1"/>
  <c r="F333" i="6"/>
  <c r="G333" i="6" s="1"/>
  <c r="M333" i="6" s="1"/>
  <c r="F518" i="6"/>
  <c r="G518" i="6" s="1"/>
  <c r="M518" i="6" s="1"/>
  <c r="F887" i="6"/>
  <c r="G887" i="6" s="1"/>
  <c r="M887" i="6" s="1"/>
  <c r="F668" i="6"/>
  <c r="G668" i="6" s="1"/>
  <c r="M668" i="6" s="1"/>
  <c r="F524" i="6"/>
  <c r="G524" i="6" s="1"/>
  <c r="M524" i="6" s="1"/>
  <c r="F375" i="6"/>
  <c r="G375" i="6" s="1"/>
  <c r="M375" i="6" s="1"/>
  <c r="F715" i="6"/>
  <c r="G715" i="6" s="1"/>
  <c r="M715" i="6" s="1"/>
  <c r="F623" i="6"/>
  <c r="G623" i="6" s="1"/>
  <c r="M623" i="6" s="1"/>
  <c r="F52" i="6"/>
  <c r="G52" i="6" s="1"/>
  <c r="M52" i="6" s="1"/>
  <c r="F356" i="6"/>
  <c r="G356" i="6" s="1"/>
  <c r="M356" i="6" s="1"/>
  <c r="F671" i="6"/>
  <c r="G671" i="6" s="1"/>
  <c r="M671" i="6" s="1"/>
  <c r="F265" i="6"/>
  <c r="G265" i="6" s="1"/>
  <c r="M265" i="6" s="1"/>
  <c r="F357" i="6"/>
  <c r="G357" i="6" s="1"/>
  <c r="M357" i="6" s="1"/>
  <c r="F467" i="6"/>
  <c r="G467" i="6" s="1"/>
  <c r="M467" i="6" s="1"/>
  <c r="F33" i="6"/>
  <c r="G33" i="6" s="1"/>
  <c r="M33" i="6" s="1"/>
  <c r="F539" i="6"/>
  <c r="G539" i="6" s="1"/>
  <c r="M539" i="6" s="1"/>
  <c r="F698" i="6"/>
  <c r="G698" i="6" s="1"/>
  <c r="M698" i="6" s="1"/>
  <c r="F842" i="6"/>
  <c r="G842" i="6" s="1"/>
  <c r="J842" i="6" s="1"/>
  <c r="K842" i="6" s="1"/>
  <c r="F340" i="6"/>
  <c r="G340" i="6" s="1"/>
  <c r="M340" i="6" s="1"/>
  <c r="F337" i="6"/>
  <c r="G337" i="6" s="1"/>
  <c r="M337" i="6" s="1"/>
  <c r="F851" i="6"/>
  <c r="G851" i="6" s="1"/>
  <c r="M851" i="6" s="1"/>
  <c r="F586" i="6"/>
  <c r="G586" i="6" s="1"/>
  <c r="M586" i="6" s="1"/>
  <c r="F322" i="6"/>
  <c r="G322" i="6" s="1"/>
  <c r="M322" i="6" s="1"/>
  <c r="F694" i="6"/>
  <c r="G694" i="6" s="1"/>
  <c r="M694" i="6" s="1"/>
  <c r="F141" i="6"/>
  <c r="G141" i="6" s="1"/>
  <c r="M141" i="6" s="1"/>
  <c r="F315" i="6"/>
  <c r="G315" i="6" s="1"/>
  <c r="M315" i="6" s="1"/>
  <c r="F233" i="6"/>
  <c r="G233" i="6" s="1"/>
  <c r="M233" i="6" s="1"/>
  <c r="F970" i="6"/>
  <c r="G970" i="6" s="1"/>
  <c r="J970" i="6" s="1"/>
  <c r="K970" i="6" s="1"/>
  <c r="F728" i="6"/>
  <c r="G728" i="6" s="1"/>
  <c r="M728" i="6" s="1"/>
  <c r="F147" i="6"/>
  <c r="G147" i="6" s="1"/>
  <c r="M147" i="6" s="1"/>
  <c r="F1021" i="6"/>
  <c r="G1021" i="6" s="1"/>
  <c r="M1021" i="6" s="1"/>
  <c r="F755" i="6"/>
  <c r="G755" i="6" s="1"/>
  <c r="M755" i="6" s="1"/>
  <c r="F995" i="6"/>
  <c r="G995" i="6" s="1"/>
  <c r="M995" i="6" s="1"/>
  <c r="F572" i="6"/>
  <c r="G572" i="6" s="1"/>
  <c r="M572" i="6" s="1"/>
  <c r="F770" i="6"/>
  <c r="G770" i="6" s="1"/>
  <c r="F983" i="6"/>
  <c r="G983" i="6" s="1"/>
  <c r="M983" i="6" s="1"/>
  <c r="F115" i="6"/>
  <c r="G115" i="6" s="1"/>
  <c r="M115" i="6" s="1"/>
  <c r="F573" i="6"/>
  <c r="G573" i="6" s="1"/>
  <c r="M573" i="6" s="1"/>
  <c r="F575" i="6"/>
  <c r="G575" i="6" s="1"/>
  <c r="M575" i="6" s="1"/>
  <c r="F843" i="6"/>
  <c r="G843" i="6" s="1"/>
  <c r="M843" i="6" s="1"/>
  <c r="F743" i="6"/>
  <c r="G743" i="6" s="1"/>
  <c r="M743" i="6" s="1"/>
  <c r="F478" i="6"/>
  <c r="G478" i="6" s="1"/>
  <c r="M478" i="6" s="1"/>
  <c r="F706" i="6"/>
  <c r="G706" i="6" s="1"/>
  <c r="M706" i="6" s="1"/>
  <c r="F1065" i="6"/>
  <c r="G1065" i="6" s="1"/>
  <c r="M1065" i="6" s="1"/>
  <c r="F192" i="6"/>
  <c r="G192" i="6" s="1"/>
  <c r="M192" i="6" s="1"/>
  <c r="F676" i="6"/>
  <c r="G676" i="6" s="1"/>
  <c r="M676" i="6" s="1"/>
  <c r="F852" i="6"/>
  <c r="G852" i="6" s="1"/>
  <c r="M852" i="6" s="1"/>
  <c r="F442" i="6"/>
  <c r="G442" i="6" s="1"/>
  <c r="M442" i="6" s="1"/>
  <c r="F106" i="6"/>
  <c r="G106" i="6" s="1"/>
  <c r="M106" i="6" s="1"/>
  <c r="F787" i="6"/>
  <c r="G787" i="6" s="1"/>
  <c r="M787" i="6" s="1"/>
  <c r="F268" i="6"/>
  <c r="G268" i="6" s="1"/>
  <c r="M268" i="6" s="1"/>
  <c r="F379" i="6"/>
  <c r="G379" i="6" s="1"/>
  <c r="M379" i="6" s="1"/>
  <c r="F924" i="6"/>
  <c r="G924" i="6" s="1"/>
  <c r="M924" i="6" s="1"/>
  <c r="F818" i="6"/>
  <c r="G818" i="6" s="1"/>
  <c r="F505" i="6"/>
  <c r="G505" i="6" s="1"/>
  <c r="M505" i="6" s="1"/>
  <c r="F819" i="6"/>
  <c r="G819" i="6" s="1"/>
  <c r="M819" i="6" s="1"/>
  <c r="F214" i="6"/>
  <c r="G214" i="6" s="1"/>
  <c r="M214" i="6" s="1"/>
  <c r="F371" i="6"/>
  <c r="G371" i="6" s="1"/>
  <c r="M371" i="6" s="1"/>
  <c r="F393" i="6"/>
  <c r="G393" i="6" s="1"/>
  <c r="M393" i="6" s="1"/>
  <c r="F685" i="6"/>
  <c r="G685" i="6" s="1"/>
  <c r="M685" i="6" s="1"/>
  <c r="F593" i="6"/>
  <c r="G593" i="6" s="1"/>
  <c r="M593" i="6" s="1"/>
  <c r="F414" i="6"/>
  <c r="G414" i="6" s="1"/>
  <c r="M414" i="6" s="1"/>
  <c r="F1038" i="6"/>
  <c r="G1038" i="6" s="1"/>
  <c r="J1038" i="6" s="1"/>
  <c r="K1038" i="6" s="1"/>
  <c r="F793" i="6"/>
  <c r="G793" i="6" s="1"/>
  <c r="M793" i="6" s="1"/>
  <c r="F688" i="6"/>
  <c r="G688" i="6" s="1"/>
  <c r="M688" i="6" s="1"/>
  <c r="F201" i="6"/>
  <c r="G201" i="6" s="1"/>
  <c r="M201" i="6" s="1"/>
  <c r="F105" i="6"/>
  <c r="G105" i="6" s="1"/>
  <c r="M105" i="6" s="1"/>
  <c r="F415" i="6"/>
  <c r="G415" i="6" s="1"/>
  <c r="M415" i="6" s="1"/>
  <c r="F680" i="6"/>
  <c r="G680" i="6" s="1"/>
  <c r="M680" i="6" s="1"/>
  <c r="F690" i="6"/>
  <c r="G690" i="6" s="1"/>
  <c r="M690" i="6" s="1"/>
  <c r="F640" i="6"/>
  <c r="G640" i="6" s="1"/>
  <c r="M640" i="6" s="1"/>
  <c r="F854" i="6"/>
  <c r="G854" i="6" s="1"/>
  <c r="J854" i="6" s="1"/>
  <c r="K854" i="6" s="1"/>
  <c r="F556" i="6"/>
  <c r="G556" i="6" s="1"/>
  <c r="M556" i="6" s="1"/>
  <c r="F82" i="6"/>
  <c r="G82" i="6" s="1"/>
  <c r="M82" i="6" s="1"/>
  <c r="F346" i="6"/>
  <c r="G346" i="6" s="1"/>
  <c r="M346" i="6" s="1"/>
  <c r="F1006" i="6"/>
  <c r="G1006" i="6" s="1"/>
  <c r="J1006" i="6" s="1"/>
  <c r="K1006" i="6" s="1"/>
  <c r="F313" i="6"/>
  <c r="G313" i="6" s="1"/>
  <c r="M313" i="6" s="1"/>
  <c r="F856" i="6"/>
  <c r="G856" i="6" s="1"/>
  <c r="M856" i="6" s="1"/>
  <c r="F307" i="6"/>
  <c r="G307" i="6" s="1"/>
  <c r="M307" i="6" s="1"/>
  <c r="F63" i="6"/>
  <c r="G63" i="6" s="1"/>
  <c r="M63" i="6" s="1"/>
  <c r="F300" i="6"/>
  <c r="G300" i="6" s="1"/>
  <c r="M300" i="6" s="1"/>
  <c r="F996" i="6"/>
  <c r="G996" i="6" s="1"/>
  <c r="M996" i="6" s="1"/>
  <c r="F985" i="6"/>
  <c r="G985" i="6" s="1"/>
  <c r="M985" i="6" s="1"/>
  <c r="F132" i="6"/>
  <c r="G132" i="6" s="1"/>
  <c r="M132" i="6" s="1"/>
  <c r="F256" i="6"/>
  <c r="G256" i="6" s="1"/>
  <c r="M256" i="6" s="1"/>
  <c r="F205" i="6"/>
  <c r="G205" i="6" s="1"/>
  <c r="M205" i="6" s="1"/>
  <c r="F176" i="6"/>
  <c r="G176" i="6" s="1"/>
  <c r="M176" i="6" s="1"/>
  <c r="F298" i="6"/>
  <c r="G298" i="6" s="1"/>
  <c r="M298" i="6" s="1"/>
  <c r="F391" i="6"/>
  <c r="G391" i="6" s="1"/>
  <c r="M391" i="6" s="1"/>
  <c r="F1024" i="6"/>
  <c r="G1024" i="6" s="1"/>
  <c r="M1024" i="6" s="1"/>
  <c r="F178" i="6"/>
  <c r="G178" i="6" s="1"/>
  <c r="M178" i="6" s="1"/>
  <c r="F509" i="6"/>
  <c r="G509" i="6" s="1"/>
  <c r="M509" i="6" s="1"/>
  <c r="F398" i="6"/>
  <c r="G398" i="6" s="1"/>
  <c r="M398" i="6" s="1"/>
  <c r="F496" i="6"/>
  <c r="G496" i="6" s="1"/>
  <c r="M496" i="6" s="1"/>
  <c r="F465" i="6"/>
  <c r="G465" i="6" s="1"/>
  <c r="M465" i="6" s="1"/>
  <c r="F7" i="6"/>
  <c r="G7" i="6" s="1"/>
  <c r="M7" i="6" s="1"/>
  <c r="F41" i="6"/>
  <c r="G41" i="6" s="1"/>
  <c r="M41" i="6" s="1"/>
  <c r="F1058" i="6"/>
  <c r="G1058" i="6" s="1"/>
  <c r="J1058" i="6" s="1"/>
  <c r="K1058" i="6" s="1"/>
  <c r="F788" i="6"/>
  <c r="G788" i="6" s="1"/>
  <c r="M788" i="6" s="1"/>
  <c r="F430" i="6"/>
  <c r="G430" i="6" s="1"/>
  <c r="M430" i="6" s="1"/>
  <c r="F1073" i="6"/>
  <c r="G1073" i="6" s="1"/>
  <c r="M1073" i="6" s="1"/>
  <c r="F1074" i="6"/>
  <c r="G1074" i="6" s="1"/>
  <c r="J1074" i="6" s="1"/>
  <c r="K1074" i="6" s="1"/>
  <c r="F529" i="6"/>
  <c r="G529" i="6" s="1"/>
  <c r="M529" i="6" s="1"/>
  <c r="F958" i="6"/>
  <c r="G958" i="6" s="1"/>
  <c r="J958" i="6" s="1"/>
  <c r="K958" i="6" s="1"/>
  <c r="F174" i="6"/>
  <c r="G174" i="6" s="1"/>
  <c r="M174" i="6" s="1"/>
  <c r="F965" i="6"/>
  <c r="G965" i="6" s="1"/>
  <c r="M965" i="6" s="1"/>
  <c r="F609" i="6"/>
  <c r="G609" i="6" s="1"/>
  <c r="M609" i="6" s="1"/>
  <c r="F1003" i="6"/>
  <c r="G1003" i="6" s="1"/>
  <c r="M1003" i="6" s="1"/>
  <c r="F22" i="6"/>
  <c r="G22" i="6" s="1"/>
  <c r="M22" i="6" s="1"/>
  <c r="F23" i="6"/>
  <c r="G23" i="6" s="1"/>
  <c r="M23" i="6" s="1"/>
  <c r="F43" i="6"/>
  <c r="G43" i="6" s="1"/>
  <c r="M43" i="6" s="1"/>
  <c r="F663" i="6"/>
  <c r="G663" i="6" s="1"/>
  <c r="M663" i="6" s="1"/>
  <c r="F65" i="6"/>
  <c r="G65" i="6" s="1"/>
  <c r="M65" i="6" s="1"/>
  <c r="F1041" i="6"/>
  <c r="G1041" i="6" s="1"/>
  <c r="M1041" i="6" s="1"/>
  <c r="F966" i="6"/>
  <c r="G966" i="6" s="1"/>
  <c r="J966" i="6" s="1"/>
  <c r="K966" i="6" s="1"/>
  <c r="F1042" i="6"/>
  <c r="G1042" i="6" s="1"/>
  <c r="J1042" i="6" s="1"/>
  <c r="K1042" i="6" s="1"/>
  <c r="F898" i="6"/>
  <c r="G898" i="6" s="1"/>
  <c r="J898" i="6" s="1"/>
  <c r="K898" i="6" s="1"/>
  <c r="F636" i="6"/>
  <c r="G636" i="6" s="1"/>
  <c r="M636" i="6" s="1"/>
  <c r="F382" i="6"/>
  <c r="G382" i="6" s="1"/>
  <c r="M382" i="6" s="1"/>
  <c r="F435" i="6"/>
  <c r="G435" i="6" s="1"/>
  <c r="M435" i="6" s="1"/>
  <c r="F952" i="6"/>
  <c r="G952" i="6" s="1"/>
  <c r="M952" i="6" s="1"/>
  <c r="F457" i="6"/>
  <c r="G457" i="6" s="1"/>
  <c r="M457" i="6" s="1"/>
  <c r="F853" i="6"/>
  <c r="G853" i="6" s="1"/>
  <c r="M853" i="6" s="1"/>
  <c r="F293" i="6"/>
  <c r="G293" i="6" s="1"/>
  <c r="M293" i="6" s="1"/>
  <c r="F263" i="6"/>
  <c r="G263" i="6" s="1"/>
  <c r="M263" i="6" s="1"/>
  <c r="F813" i="6"/>
  <c r="G813" i="6" s="1"/>
  <c r="M813" i="6" s="1"/>
  <c r="F514" i="6"/>
  <c r="G514" i="6" s="1"/>
  <c r="M514" i="6" s="1"/>
  <c r="F257" i="6"/>
  <c r="G257" i="6" s="1"/>
  <c r="M257" i="6" s="1"/>
  <c r="F527" i="6"/>
  <c r="G527" i="6" s="1"/>
  <c r="M527" i="6" s="1"/>
  <c r="F530" i="6"/>
  <c r="G530" i="6" s="1"/>
  <c r="M530" i="6" s="1"/>
  <c r="F552" i="6"/>
  <c r="G552" i="6" s="1"/>
  <c r="M552" i="6" s="1"/>
  <c r="F666" i="6"/>
  <c r="G666" i="6" s="1"/>
  <c r="M666" i="6" s="1"/>
  <c r="F912" i="6"/>
  <c r="G912" i="6" s="1"/>
  <c r="M912" i="6" s="1"/>
  <c r="F199" i="6"/>
  <c r="G199" i="6" s="1"/>
  <c r="M199" i="6" s="1"/>
  <c r="F260" i="6"/>
  <c r="G260" i="6" s="1"/>
  <c r="M260" i="6" s="1"/>
  <c r="F436" i="6"/>
  <c r="G436" i="6" s="1"/>
  <c r="M436" i="6" s="1"/>
  <c r="F761" i="6"/>
  <c r="G761" i="6" s="1"/>
  <c r="M761" i="6" s="1"/>
  <c r="F836" i="6"/>
  <c r="G836" i="6" s="1"/>
  <c r="M836" i="6" s="1"/>
  <c r="F802" i="6"/>
  <c r="G802" i="6" s="1"/>
  <c r="F821" i="6"/>
  <c r="G821" i="6" s="1"/>
  <c r="M821" i="6" s="1"/>
  <c r="F1019" i="6"/>
  <c r="G1019" i="6" s="1"/>
  <c r="M1019" i="6" s="1"/>
  <c r="F654" i="6"/>
  <c r="G654" i="6" s="1"/>
  <c r="M654" i="6" s="1"/>
  <c r="F884" i="6"/>
  <c r="G884" i="6" s="1"/>
  <c r="M884" i="6" s="1"/>
  <c r="F657" i="6"/>
  <c r="G657" i="6" s="1"/>
  <c r="M657" i="6" s="1"/>
  <c r="F886" i="6"/>
  <c r="G886" i="6" s="1"/>
  <c r="J886" i="6" s="1"/>
  <c r="K886" i="6" s="1"/>
  <c r="F699" i="6"/>
  <c r="G699" i="6" s="1"/>
  <c r="M699" i="6" s="1"/>
  <c r="F797" i="6"/>
  <c r="G797" i="6" s="1"/>
  <c r="M797" i="6" s="1"/>
  <c r="F953" i="6"/>
  <c r="G953" i="6" s="1"/>
  <c r="M953" i="6" s="1"/>
  <c r="F540" i="6"/>
  <c r="G540" i="6" s="1"/>
  <c r="M540" i="6" s="1"/>
  <c r="F598" i="6"/>
  <c r="G598" i="6" s="1"/>
  <c r="M598" i="6" s="1"/>
  <c r="F468" i="6"/>
  <c r="G468" i="6" s="1"/>
  <c r="M468" i="6" s="1"/>
  <c r="F590" i="6"/>
  <c r="G590" i="6" s="1"/>
  <c r="M590" i="6" s="1"/>
  <c r="F591" i="6"/>
  <c r="G591" i="6" s="1"/>
  <c r="M591" i="6" s="1"/>
  <c r="F182" i="6"/>
  <c r="G182" i="6" s="1"/>
  <c r="M182" i="6" s="1"/>
  <c r="F546" i="6"/>
  <c r="G546" i="6" s="1"/>
  <c r="M546" i="6" s="1"/>
  <c r="F342" i="6"/>
  <c r="G342" i="6" s="1"/>
  <c r="M342" i="6" s="1"/>
  <c r="F612" i="6"/>
  <c r="G612" i="6" s="1"/>
  <c r="M612" i="6" s="1"/>
  <c r="F447" i="6"/>
  <c r="G447" i="6" s="1"/>
  <c r="M447" i="6" s="1"/>
  <c r="F613" i="6"/>
  <c r="G613" i="6" s="1"/>
  <c r="M613" i="6" s="1"/>
  <c r="F190" i="6"/>
  <c r="G190" i="6" s="1"/>
  <c r="M190" i="6" s="1"/>
  <c r="F218" i="6"/>
  <c r="G218" i="6" s="1"/>
  <c r="M218" i="6" s="1"/>
  <c r="F143" i="6"/>
  <c r="G143" i="6" s="1"/>
  <c r="M143" i="6" s="1"/>
  <c r="F247" i="6"/>
  <c r="G247" i="6" s="1"/>
  <c r="M247" i="6" s="1"/>
  <c r="F538" i="6"/>
  <c r="G538" i="6" s="1"/>
  <c r="M538" i="6" s="1"/>
  <c r="F494" i="6"/>
  <c r="G494" i="6" s="1"/>
  <c r="M494" i="6" s="1"/>
  <c r="F567" i="6"/>
  <c r="G567" i="6" s="1"/>
  <c r="M567" i="6" s="1"/>
  <c r="F419" i="6"/>
  <c r="G419" i="6" s="1"/>
  <c r="M419" i="6" s="1"/>
  <c r="F515" i="6"/>
  <c r="G515" i="6" s="1"/>
  <c r="M515" i="6" s="1"/>
  <c r="F484" i="6"/>
  <c r="G484" i="6" s="1"/>
  <c r="M484" i="6" s="1"/>
  <c r="F906" i="6"/>
  <c r="G906" i="6" s="1"/>
  <c r="J906" i="6" s="1"/>
  <c r="K906" i="6" s="1"/>
  <c r="F563" i="6"/>
  <c r="G563" i="6" s="1"/>
  <c r="M563" i="6" s="1"/>
  <c r="F1017" i="6"/>
  <c r="G1017" i="6" s="1"/>
  <c r="M1017" i="6" s="1"/>
  <c r="F736" i="6"/>
  <c r="G736" i="6" s="1"/>
  <c r="M736" i="6" s="1"/>
  <c r="F492" i="6"/>
  <c r="G492" i="6" s="1"/>
  <c r="M492" i="6" s="1"/>
  <c r="F1004" i="6"/>
  <c r="G1004" i="6" s="1"/>
  <c r="M1004" i="6" s="1"/>
  <c r="F918" i="6"/>
  <c r="G918" i="6" s="1"/>
  <c r="J918" i="6" s="1"/>
  <c r="K918" i="6" s="1"/>
  <c r="F472" i="6"/>
  <c r="G472" i="6" s="1"/>
  <c r="M472" i="6" s="1"/>
  <c r="F243" i="6"/>
  <c r="G243" i="6" s="1"/>
  <c r="M243" i="6" s="1"/>
  <c r="F96" i="6"/>
  <c r="G96" i="6" s="1"/>
  <c r="M96" i="6" s="1"/>
  <c r="F729" i="6"/>
  <c r="G729" i="6" s="1"/>
  <c r="M729" i="6" s="1"/>
  <c r="F587" i="6"/>
  <c r="G587" i="6" s="1"/>
  <c r="M587" i="6" s="1"/>
  <c r="F512" i="6"/>
  <c r="G512" i="6" s="1"/>
  <c r="M512" i="6" s="1"/>
  <c r="F184" i="6"/>
  <c r="G184" i="6" s="1"/>
  <c r="M184" i="6" s="1"/>
  <c r="F725" i="6"/>
  <c r="G725" i="6" s="1"/>
  <c r="M725" i="6" s="1"/>
  <c r="F517" i="6"/>
  <c r="G517" i="6" s="1"/>
  <c r="M517" i="6" s="1"/>
  <c r="F410" i="6"/>
  <c r="G410" i="6" s="1"/>
  <c r="M410" i="6" s="1"/>
  <c r="F798" i="6"/>
  <c r="G798" i="6" s="1"/>
  <c r="F711" i="6"/>
  <c r="G711" i="6" s="1"/>
  <c r="M711" i="6" s="1"/>
  <c r="F643" i="6"/>
  <c r="G643" i="6" s="1"/>
  <c r="M643" i="6" s="1"/>
  <c r="F423" i="6"/>
  <c r="G423" i="6" s="1"/>
  <c r="M423" i="6" s="1"/>
  <c r="F19" i="6"/>
  <c r="G19" i="6" s="1"/>
  <c r="M19" i="6" s="1"/>
  <c r="F936" i="6"/>
  <c r="G936" i="6" s="1"/>
  <c r="M936" i="6" s="1"/>
  <c r="F1053" i="6"/>
  <c r="G1053" i="6" s="1"/>
  <c r="M1053" i="6" s="1"/>
  <c r="F437" i="6"/>
  <c r="G437" i="6" s="1"/>
  <c r="M437" i="6" s="1"/>
  <c r="F116" i="6"/>
  <c r="G116" i="6" s="1"/>
  <c r="M116" i="6" s="1"/>
  <c r="F358" i="6"/>
  <c r="G358" i="6" s="1"/>
  <c r="M358" i="6" s="1"/>
  <c r="F39" i="6"/>
  <c r="G39" i="6" s="1"/>
  <c r="M39" i="6" s="1"/>
  <c r="F1035" i="6"/>
  <c r="G1035" i="6" s="1"/>
  <c r="M1035" i="6" s="1"/>
  <c r="F325" i="6"/>
  <c r="G325" i="6" s="1"/>
  <c r="M325" i="6" s="1"/>
  <c r="F159" i="6"/>
  <c r="G159" i="6" s="1"/>
  <c r="M159" i="6" s="1"/>
  <c r="F664" i="6"/>
  <c r="G664" i="6" s="1"/>
  <c r="M664" i="6" s="1"/>
  <c r="F308" i="6"/>
  <c r="G308" i="6" s="1"/>
  <c r="M308" i="6" s="1"/>
  <c r="F495" i="6"/>
  <c r="G495" i="6" s="1"/>
  <c r="M495" i="6" s="1"/>
  <c r="F762" i="6"/>
  <c r="G762" i="6" s="1"/>
  <c r="M762" i="6" s="1"/>
  <c r="F86" i="6"/>
  <c r="G86" i="6" s="1"/>
  <c r="M86" i="6" s="1"/>
  <c r="F394" i="6"/>
  <c r="G394" i="6" s="1"/>
  <c r="M394" i="6" s="1"/>
  <c r="F917" i="6"/>
  <c r="G917" i="6" s="1"/>
  <c r="M917" i="6" s="1"/>
  <c r="F875" i="6"/>
  <c r="G875" i="6" s="1"/>
  <c r="M875" i="6" s="1"/>
  <c r="F744" i="6"/>
  <c r="G744" i="6" s="1"/>
  <c r="M744" i="6" s="1"/>
  <c r="F407" i="6"/>
  <c r="G407" i="6" s="1"/>
  <c r="M407" i="6" s="1"/>
  <c r="F411" i="6"/>
  <c r="G411" i="6" s="1"/>
  <c r="M411" i="6" s="1"/>
  <c r="F417" i="6"/>
  <c r="G417" i="6" s="1"/>
  <c r="M417" i="6" s="1"/>
  <c r="F427" i="6"/>
  <c r="G427" i="6" s="1"/>
  <c r="M427" i="6" s="1"/>
  <c r="F368" i="6"/>
  <c r="G368" i="6" s="1"/>
  <c r="M368" i="6" s="1"/>
  <c r="F834" i="6"/>
  <c r="G834" i="6" s="1"/>
  <c r="F837" i="6"/>
  <c r="G837" i="6" s="1"/>
  <c r="M837" i="6" s="1"/>
  <c r="F848" i="6"/>
  <c r="G848" i="6" s="1"/>
  <c r="M848" i="6" s="1"/>
  <c r="F326" i="6"/>
  <c r="G326" i="6" s="1"/>
  <c r="M326" i="6" s="1"/>
  <c r="F470" i="6"/>
  <c r="G470" i="6" s="1"/>
  <c r="M470" i="6" s="1"/>
  <c r="F296" i="6"/>
  <c r="G296" i="6" s="1"/>
  <c r="M296" i="6" s="1"/>
  <c r="F865" i="6"/>
  <c r="G865" i="6" s="1"/>
  <c r="M865" i="6" s="1"/>
  <c r="F269" i="6"/>
  <c r="G269" i="6" s="1"/>
  <c r="M269" i="6" s="1"/>
  <c r="F248" i="6"/>
  <c r="G248" i="6" s="1"/>
  <c r="M248" i="6" s="1"/>
  <c r="F249" i="6"/>
  <c r="G249" i="6" s="1"/>
  <c r="M249" i="6" s="1"/>
  <c r="F237" i="6"/>
  <c r="G237" i="6" s="1"/>
  <c r="M237" i="6" s="1"/>
  <c r="F858" i="6"/>
  <c r="G858" i="6" s="1"/>
  <c r="J858" i="6" s="1"/>
  <c r="K858" i="6" s="1"/>
  <c r="F720" i="6"/>
  <c r="G720" i="6" s="1"/>
  <c r="M720" i="6" s="1"/>
  <c r="F1016" i="6"/>
  <c r="G1016" i="6" s="1"/>
  <c r="M1016" i="6" s="1"/>
  <c r="F93" i="6"/>
  <c r="G93" i="6" s="1"/>
  <c r="M93" i="6" s="1"/>
  <c r="F681" i="6"/>
  <c r="G681" i="6" s="1"/>
  <c r="M681" i="6" s="1"/>
  <c r="F148" i="6"/>
  <c r="G148" i="6" s="1"/>
  <c r="M148" i="6" s="1"/>
  <c r="F557" i="6"/>
  <c r="G557" i="6" s="1"/>
  <c r="M557" i="6" s="1"/>
  <c r="F629" i="6"/>
  <c r="G629" i="6" s="1"/>
  <c r="M629" i="6" s="1"/>
  <c r="F1022" i="6"/>
  <c r="G1022" i="6" s="1"/>
  <c r="J1022" i="6" s="1"/>
  <c r="K1022" i="6" s="1"/>
  <c r="F118" i="6"/>
  <c r="G118" i="6" s="1"/>
  <c r="M118" i="6" s="1"/>
  <c r="F73" i="6"/>
  <c r="G73" i="6" s="1"/>
  <c r="M73" i="6" s="1"/>
  <c r="F963" i="6"/>
  <c r="G963" i="6" s="1"/>
  <c r="M963" i="6" s="1"/>
  <c r="F545" i="6"/>
  <c r="G545" i="6" s="1"/>
  <c r="M545" i="6" s="1"/>
  <c r="F53" i="6"/>
  <c r="G53" i="6" s="1"/>
  <c r="M53" i="6" s="1"/>
  <c r="F595" i="6"/>
  <c r="G595" i="6" s="1"/>
  <c r="M595" i="6" s="1"/>
  <c r="F1066" i="6"/>
  <c r="G1066" i="6" s="1"/>
  <c r="J1066" i="6" s="1"/>
  <c r="K1066" i="6" s="1"/>
  <c r="F24" i="6"/>
  <c r="G24" i="6" s="1"/>
  <c r="M24" i="6" s="1"/>
  <c r="F27" i="6"/>
  <c r="G27" i="6" s="1"/>
  <c r="M27" i="6" s="1"/>
  <c r="F61" i="6"/>
  <c r="G61" i="6" s="1"/>
  <c r="M61" i="6" s="1"/>
  <c r="F76" i="6"/>
  <c r="G76" i="6" s="1"/>
  <c r="M76" i="6" s="1"/>
  <c r="F83" i="6"/>
  <c r="G83" i="6" s="1"/>
  <c r="M83" i="6" s="1"/>
  <c r="F179" i="6"/>
  <c r="G179" i="6" s="1"/>
  <c r="M179" i="6" s="1"/>
  <c r="F420" i="6"/>
  <c r="G420" i="6" s="1"/>
  <c r="M420" i="6" s="1"/>
  <c r="F864" i="6"/>
  <c r="G864" i="6" s="1"/>
  <c r="M864" i="6" s="1"/>
  <c r="F599" i="6"/>
  <c r="G599" i="6" s="1"/>
  <c r="M599" i="6" s="1"/>
  <c r="F71" i="6"/>
  <c r="G71" i="6" s="1"/>
  <c r="M71" i="6" s="1"/>
  <c r="F452" i="6"/>
  <c r="G452" i="6" s="1"/>
  <c r="M452" i="6" s="1"/>
  <c r="F454" i="6"/>
  <c r="G454" i="6" s="1"/>
  <c r="M454" i="6" s="1"/>
  <c r="F646" i="6"/>
  <c r="G646" i="6" s="1"/>
  <c r="M646" i="6" s="1"/>
  <c r="F450" i="6"/>
  <c r="G450" i="6" s="1"/>
  <c r="M450" i="6" s="1"/>
  <c r="F658" i="6"/>
  <c r="G658" i="6" s="1"/>
  <c r="M658" i="6" s="1"/>
  <c r="F790" i="6"/>
  <c r="G790" i="6" s="1"/>
  <c r="F348" i="6"/>
  <c r="G348" i="6" s="1"/>
  <c r="M348" i="6" s="1"/>
  <c r="F55" i="6"/>
  <c r="G55" i="6" s="1"/>
  <c r="M55" i="6" s="1"/>
  <c r="F350" i="6"/>
  <c r="G350" i="6" s="1"/>
  <c r="M350" i="6" s="1"/>
  <c r="F778" i="6"/>
  <c r="G778" i="6" s="1"/>
  <c r="J778" i="6" s="1"/>
  <c r="K778" i="6" s="1"/>
  <c r="F445" i="6"/>
  <c r="G445" i="6" s="1"/>
  <c r="M445" i="6" s="1"/>
  <c r="F355" i="6"/>
  <c r="G355" i="6" s="1"/>
  <c r="M355" i="6" s="1"/>
  <c r="F782" i="6"/>
  <c r="G782" i="6" s="1"/>
  <c r="F66" i="6"/>
  <c r="G66" i="6" s="1"/>
  <c r="M66" i="6" s="1"/>
  <c r="F804" i="6"/>
  <c r="G804" i="6" s="1"/>
  <c r="M804" i="6" s="1"/>
  <c r="F678" i="6"/>
  <c r="G678" i="6" s="1"/>
  <c r="M678" i="6" s="1"/>
  <c r="F271" i="6"/>
  <c r="G271" i="6" s="1"/>
  <c r="M271" i="6" s="1"/>
  <c r="F938" i="6"/>
  <c r="G938" i="6" s="1"/>
  <c r="J938" i="6" s="1"/>
  <c r="K938" i="6" s="1"/>
  <c r="F961" i="6"/>
  <c r="G961" i="6" s="1"/>
  <c r="M961" i="6" s="1"/>
  <c r="F707" i="6"/>
  <c r="G707" i="6" s="1"/>
  <c r="M707" i="6" s="1"/>
  <c r="F547" i="6"/>
  <c r="G547" i="6" s="1"/>
  <c r="M547" i="6" s="1"/>
  <c r="F11" i="6"/>
  <c r="G11" i="6" s="1"/>
  <c r="M11" i="6" s="1"/>
  <c r="F810" i="6"/>
  <c r="G810" i="6" s="1"/>
  <c r="J810" i="6" s="1"/>
  <c r="K810" i="6" s="1"/>
  <c r="F922" i="6"/>
  <c r="G922" i="6" s="1"/>
  <c r="J922" i="6" s="1"/>
  <c r="K922" i="6" s="1"/>
  <c r="F508" i="6"/>
  <c r="G508" i="6" s="1"/>
  <c r="M508" i="6" s="1"/>
  <c r="F919" i="6"/>
  <c r="G919" i="6" s="1"/>
  <c r="M919" i="6" s="1"/>
  <c r="F976" i="6"/>
  <c r="G976" i="6" s="1"/>
  <c r="M976" i="6" s="1"/>
  <c r="F992" i="6"/>
  <c r="G992" i="6" s="1"/>
  <c r="M992" i="6" s="1"/>
  <c r="F277" i="6"/>
  <c r="G277" i="6" s="1"/>
  <c r="M277" i="6" s="1"/>
  <c r="F692" i="6"/>
  <c r="G692" i="6" s="1"/>
  <c r="M692" i="6" s="1"/>
  <c r="F999" i="6"/>
  <c r="G999" i="6" s="1"/>
  <c r="M999" i="6" s="1"/>
  <c r="F576" i="6"/>
  <c r="G576" i="6" s="1"/>
  <c r="M576" i="6" s="1"/>
  <c r="F904" i="6"/>
  <c r="G904" i="6" s="1"/>
  <c r="M904" i="6" s="1"/>
  <c r="F1009" i="6"/>
  <c r="G1009" i="6" s="1"/>
  <c r="M1009" i="6" s="1"/>
  <c r="F1012" i="6"/>
  <c r="G1012" i="6" s="1"/>
  <c r="M1012" i="6" s="1"/>
  <c r="F812" i="6"/>
  <c r="G812" i="6" s="1"/>
  <c r="M812" i="6" s="1"/>
  <c r="F580" i="6"/>
  <c r="G580" i="6" s="1"/>
  <c r="M580" i="6" s="1"/>
  <c r="F892" i="6"/>
  <c r="G892" i="6" s="1"/>
  <c r="M892" i="6" s="1"/>
  <c r="F881" i="6"/>
  <c r="G881" i="6" s="1"/>
  <c r="M881" i="6" s="1"/>
  <c r="F473" i="6"/>
  <c r="G473" i="6" s="1"/>
  <c r="M473" i="6" s="1"/>
  <c r="F826" i="6"/>
  <c r="G826" i="6" s="1"/>
  <c r="J826" i="6" s="1"/>
  <c r="K826" i="6" s="1"/>
  <c r="F17" i="6"/>
  <c r="G17" i="6" s="1"/>
  <c r="M17" i="6" s="1"/>
  <c r="F814" i="6"/>
  <c r="G814" i="6" s="1"/>
  <c r="F374" i="6"/>
  <c r="G374" i="6" s="1"/>
  <c r="M374" i="6" s="1"/>
  <c r="F1071" i="6"/>
  <c r="G1071" i="6" s="1"/>
  <c r="M1071" i="6" s="1"/>
  <c r="F12" i="6"/>
  <c r="G12" i="6" s="1"/>
  <c r="M12" i="6" s="1"/>
  <c r="F859" i="6"/>
  <c r="G859" i="6" s="1"/>
  <c r="M859" i="6" s="1"/>
  <c r="F32" i="6"/>
  <c r="G32" i="6" s="1"/>
  <c r="M32" i="6" s="1"/>
  <c r="F359" i="6"/>
  <c r="G359" i="6" s="1"/>
  <c r="M359" i="6" s="1"/>
  <c r="F347" i="6"/>
  <c r="G347" i="6" s="1"/>
  <c r="M347" i="6" s="1"/>
  <c r="F64" i="6"/>
  <c r="G64" i="6" s="1"/>
  <c r="M64" i="6" s="1"/>
  <c r="F850" i="6"/>
  <c r="G850" i="6" s="1"/>
  <c r="J850" i="6" s="1"/>
  <c r="K850" i="6" s="1"/>
  <c r="F302" i="6"/>
  <c r="G302" i="6" s="1"/>
  <c r="M302" i="6" s="1"/>
  <c r="F1013" i="6"/>
  <c r="G1013" i="6" s="1"/>
  <c r="M1013" i="6" s="1"/>
  <c r="F888" i="6"/>
  <c r="G888" i="6" s="1"/>
  <c r="M888" i="6" s="1"/>
  <c r="F899" i="6"/>
  <c r="G899" i="6" s="1"/>
  <c r="M899" i="6" s="1"/>
  <c r="F99" i="6"/>
  <c r="G99" i="6" s="1"/>
  <c r="M99" i="6" s="1"/>
  <c r="F107" i="6"/>
  <c r="G107" i="6" s="1"/>
  <c r="M107" i="6" s="1"/>
  <c r="F967" i="6"/>
  <c r="G967" i="6" s="1"/>
  <c r="M967" i="6" s="1"/>
  <c r="F223" i="6"/>
  <c r="G223" i="6" s="1"/>
  <c r="M223" i="6" s="1"/>
  <c r="F942" i="6"/>
  <c r="G942" i="6" s="1"/>
  <c r="J942" i="6" s="1"/>
  <c r="K942" i="6" s="1"/>
  <c r="F31" i="6"/>
  <c r="G31" i="6" s="1"/>
  <c r="M31" i="6" s="1"/>
  <c r="F160" i="6"/>
  <c r="G160" i="6" s="1"/>
  <c r="M160" i="6" s="1"/>
  <c r="F638" i="6"/>
  <c r="G638" i="6" s="1"/>
  <c r="M638" i="6" s="1"/>
  <c r="F589" i="6"/>
  <c r="G589" i="6" s="1"/>
  <c r="M589" i="6" s="1"/>
  <c r="F592" i="6"/>
  <c r="G592" i="6" s="1"/>
  <c r="M592" i="6" s="1"/>
  <c r="F600" i="6"/>
  <c r="G600" i="6" s="1"/>
  <c r="M600" i="6" s="1"/>
  <c r="F477" i="6"/>
  <c r="G477" i="6" s="1"/>
  <c r="M477" i="6" s="1"/>
  <c r="F605" i="6"/>
  <c r="G605" i="6" s="1"/>
  <c r="M605" i="6" s="1"/>
  <c r="F474" i="6"/>
  <c r="G474" i="6" s="1"/>
  <c r="M474" i="6" s="1"/>
  <c r="F607" i="6"/>
  <c r="G607" i="6" s="1"/>
  <c r="M607" i="6" s="1"/>
  <c r="F617" i="6"/>
  <c r="G617" i="6" s="1"/>
  <c r="M617" i="6" s="1"/>
  <c r="F471" i="6"/>
  <c r="G471" i="6" s="1"/>
  <c r="M471" i="6" s="1"/>
  <c r="F428" i="6"/>
  <c r="G428" i="6" s="1"/>
  <c r="M428" i="6" s="1"/>
  <c r="F630" i="6"/>
  <c r="G630" i="6" s="1"/>
  <c r="M630" i="6" s="1"/>
  <c r="F569" i="6"/>
  <c r="G569" i="6" s="1"/>
  <c r="M569" i="6" s="1"/>
  <c r="F767" i="6"/>
  <c r="G767" i="6" s="1"/>
  <c r="M767" i="6" s="1"/>
  <c r="F59" i="6"/>
  <c r="G59" i="6" s="1"/>
  <c r="M59" i="6" s="1"/>
  <c r="F532" i="6"/>
  <c r="G532" i="6" s="1"/>
  <c r="M532" i="6" s="1"/>
  <c r="F14" i="6"/>
  <c r="G14" i="6" s="1"/>
  <c r="M14" i="6" s="1"/>
  <c r="F303" i="6"/>
  <c r="G303" i="6" s="1"/>
  <c r="M303" i="6" s="1"/>
  <c r="F56" i="6"/>
  <c r="G56" i="6" s="1"/>
  <c r="M56" i="6" s="1"/>
  <c r="F109" i="6"/>
  <c r="G109" i="6" s="1"/>
  <c r="M109" i="6" s="1"/>
  <c r="F900" i="6"/>
  <c r="G900" i="6" s="1"/>
  <c r="M900" i="6" s="1"/>
  <c r="F42" i="6"/>
  <c r="G42" i="6" s="1"/>
  <c r="M42" i="6" s="1"/>
  <c r="F616" i="6"/>
  <c r="G616" i="6" s="1"/>
  <c r="M616" i="6" s="1"/>
  <c r="F618" i="6"/>
  <c r="G618" i="6" s="1"/>
  <c r="M618" i="6" s="1"/>
  <c r="F1014" i="6"/>
  <c r="G1014" i="6" s="1"/>
  <c r="J1014" i="6" s="1"/>
  <c r="K1014" i="6" s="1"/>
  <c r="F1048" i="6"/>
  <c r="G1048" i="6" s="1"/>
  <c r="M1048" i="6" s="1"/>
  <c r="F889" i="6"/>
  <c r="G889" i="6" s="1"/>
  <c r="M889" i="6" s="1"/>
  <c r="F304" i="6"/>
  <c r="G304" i="6" s="1"/>
  <c r="M304" i="6" s="1"/>
  <c r="F937" i="6"/>
  <c r="G937" i="6" s="1"/>
  <c r="M937" i="6" s="1"/>
  <c r="F339" i="6"/>
  <c r="G339" i="6" s="1"/>
  <c r="M339" i="6" s="1"/>
  <c r="F822" i="6"/>
  <c r="G822" i="6" s="1"/>
  <c r="F406" i="6"/>
  <c r="G406" i="6" s="1"/>
  <c r="M406" i="6" s="1"/>
  <c r="F833" i="6"/>
  <c r="G833" i="6" s="1"/>
  <c r="M833" i="6" s="1"/>
  <c r="F172" i="6"/>
  <c r="G172" i="6" s="1"/>
  <c r="M172" i="6" s="1"/>
  <c r="F940" i="6"/>
  <c r="G940" i="6" s="1"/>
  <c r="M940" i="6" s="1"/>
  <c r="F416" i="6"/>
  <c r="G416" i="6" s="1"/>
  <c r="M416" i="6" s="1"/>
  <c r="F956" i="6"/>
  <c r="G956" i="6" s="1"/>
  <c r="M956" i="6" s="1"/>
  <c r="F376" i="6"/>
  <c r="G376" i="6" s="1"/>
  <c r="M376" i="6" s="1"/>
  <c r="F757" i="6"/>
  <c r="G757" i="6" s="1"/>
  <c r="M757" i="6" s="1"/>
  <c r="F649" i="6"/>
  <c r="G649" i="6" s="1"/>
  <c r="M649" i="6" s="1"/>
  <c r="F689" i="6"/>
  <c r="G689" i="6" s="1"/>
  <c r="M689" i="6" s="1"/>
  <c r="F386" i="6"/>
  <c r="G386" i="6" s="1"/>
  <c r="M386" i="6" s="1"/>
  <c r="F733" i="6"/>
  <c r="G733" i="6" s="1"/>
  <c r="M733" i="6" s="1"/>
  <c r="F128" i="6"/>
  <c r="G128" i="6" s="1"/>
  <c r="M128" i="6" s="1"/>
  <c r="F28" i="6"/>
  <c r="G28" i="6" s="1"/>
  <c r="M28" i="6" s="1"/>
  <c r="F581" i="6"/>
  <c r="G581" i="6" s="1"/>
  <c r="M581" i="6" s="1"/>
  <c r="F901" i="6"/>
  <c r="G901" i="6" s="1"/>
  <c r="M901" i="6" s="1"/>
  <c r="F562" i="6"/>
  <c r="G562" i="6" s="1"/>
  <c r="M562" i="6" s="1"/>
  <c r="F799" i="6"/>
  <c r="G799" i="6" s="1"/>
  <c r="M799" i="6" s="1"/>
  <c r="F959" i="6"/>
  <c r="G959" i="6" s="1"/>
  <c r="M959" i="6" s="1"/>
  <c r="F1051" i="6"/>
  <c r="G1051" i="6" s="1"/>
  <c r="M1051" i="6" s="1"/>
  <c r="F745" i="6"/>
  <c r="G745" i="6" s="1"/>
  <c r="M745" i="6" s="1"/>
  <c r="F395" i="6"/>
  <c r="G395" i="6" s="1"/>
  <c r="M395" i="6" s="1"/>
  <c r="F44" i="6"/>
  <c r="G44" i="6" s="1"/>
  <c r="M44" i="6" s="1"/>
  <c r="F719" i="6"/>
  <c r="G719" i="6" s="1"/>
  <c r="M719" i="6" s="1"/>
  <c r="F758" i="6"/>
  <c r="G758" i="6" s="1"/>
  <c r="M758" i="6" s="1"/>
  <c r="F1002" i="6"/>
  <c r="G1002" i="6" s="1"/>
  <c r="J1002" i="6" s="1"/>
  <c r="K1002" i="6" s="1"/>
  <c r="F950" i="6"/>
  <c r="G950" i="6" s="1"/>
  <c r="J950" i="6" s="1"/>
  <c r="K950" i="6" s="1"/>
  <c r="F763" i="6"/>
  <c r="G763" i="6" s="1"/>
  <c r="M763" i="6" s="1"/>
  <c r="F319" i="6"/>
  <c r="G319" i="6" s="1"/>
  <c r="M319" i="6" s="1"/>
  <c r="F672" i="6"/>
  <c r="G672" i="6" s="1"/>
  <c r="M672" i="6" s="1"/>
  <c r="F1059" i="6"/>
  <c r="G1059" i="6" s="1"/>
  <c r="M1059" i="6" s="1"/>
  <c r="F225" i="6"/>
  <c r="G225" i="6" s="1"/>
  <c r="M225" i="6" s="1"/>
  <c r="F210" i="6"/>
  <c r="G210" i="6" s="1"/>
  <c r="M210" i="6" s="1"/>
  <c r="F60" i="6"/>
  <c r="G60" i="6" s="1"/>
  <c r="M60" i="6" s="1"/>
  <c r="F1075" i="6"/>
  <c r="G1075" i="6" s="1"/>
  <c r="M1075" i="6" s="1"/>
  <c r="F5" i="6"/>
  <c r="G5" i="6" s="1"/>
  <c r="M5" i="6" s="1"/>
  <c r="F354" i="6"/>
  <c r="G354" i="6" s="1"/>
  <c r="M354" i="6" s="1"/>
  <c r="F703" i="6"/>
  <c r="G703" i="6" s="1"/>
  <c r="M703" i="6" s="1"/>
  <c r="F558" i="6"/>
  <c r="G558" i="6" s="1"/>
  <c r="M558" i="6" s="1"/>
  <c r="F1010" i="6"/>
  <c r="G1010" i="6" s="1"/>
  <c r="J1010" i="6" s="1"/>
  <c r="K1010" i="6" s="1"/>
  <c r="F934" i="6"/>
  <c r="G934" i="6" s="1"/>
  <c r="J934" i="6" s="1"/>
  <c r="K934" i="6" s="1"/>
  <c r="F87" i="6"/>
  <c r="G87" i="6" s="1"/>
  <c r="M87" i="6" s="1"/>
  <c r="F78" i="6"/>
  <c r="G78" i="6" s="1"/>
  <c r="M78" i="6" s="1"/>
  <c r="F129" i="6"/>
  <c r="G129" i="6" s="1"/>
  <c r="M129" i="6" s="1"/>
  <c r="F90" i="6"/>
  <c r="G90" i="6" s="1"/>
  <c r="M90" i="6" s="1"/>
  <c r="F1027" i="6"/>
  <c r="G1027" i="6" s="1"/>
  <c r="M1027" i="6" s="1"/>
  <c r="F903" i="6"/>
  <c r="G903" i="6" s="1"/>
  <c r="M903" i="6" s="1"/>
  <c r="F947" i="6"/>
  <c r="G947" i="6" s="1"/>
  <c r="M947" i="6" s="1"/>
  <c r="F136" i="6"/>
  <c r="G136" i="6" s="1"/>
  <c r="M136" i="6" s="1"/>
  <c r="F578" i="6"/>
  <c r="G578" i="6" s="1"/>
  <c r="M578" i="6" s="1"/>
  <c r="F731" i="6"/>
  <c r="G731" i="6" s="1"/>
  <c r="M731" i="6" s="1"/>
  <c r="F1036" i="6"/>
  <c r="G1036" i="6" s="1"/>
  <c r="M1036" i="6" s="1"/>
  <c r="F403" i="6"/>
  <c r="G403" i="6" s="1"/>
  <c r="M403" i="6" s="1"/>
  <c r="F1046" i="6"/>
  <c r="G1046" i="6" s="1"/>
  <c r="J1046" i="6" s="1"/>
  <c r="K1046" i="6" s="1"/>
  <c r="F397" i="6"/>
  <c r="G397" i="6" s="1"/>
  <c r="M397" i="6" s="1"/>
  <c r="F344" i="6"/>
  <c r="G344" i="6" s="1"/>
  <c r="M344" i="6" s="1"/>
  <c r="F122" i="6"/>
  <c r="G122" i="6" s="1"/>
  <c r="M122" i="6" s="1"/>
  <c r="F776" i="6"/>
  <c r="G776" i="6" s="1"/>
  <c r="M776" i="6" s="1"/>
  <c r="F1057" i="6"/>
  <c r="G1057" i="6" s="1"/>
  <c r="M1057" i="6" s="1"/>
  <c r="F121" i="6"/>
  <c r="G121" i="6" s="1"/>
  <c r="M121" i="6" s="1"/>
  <c r="F297" i="6"/>
  <c r="G297" i="6" s="1"/>
  <c r="M297" i="6" s="1"/>
  <c r="F841" i="6"/>
  <c r="G841" i="6" s="1"/>
  <c r="M841" i="6" s="1"/>
  <c r="F998" i="6"/>
  <c r="G998" i="6" s="1"/>
  <c r="J998" i="6" s="1"/>
  <c r="K998" i="6" s="1"/>
  <c r="F981" i="6"/>
  <c r="G981" i="6" s="1"/>
  <c r="M981" i="6" s="1"/>
  <c r="F364" i="6"/>
  <c r="G364" i="6" s="1"/>
  <c r="M364" i="6" s="1"/>
  <c r="F464" i="6"/>
  <c r="G464" i="6" s="1"/>
  <c r="M464" i="6" s="1"/>
  <c r="F343" i="6"/>
  <c r="G343" i="6" s="1"/>
  <c r="M343" i="6" s="1"/>
  <c r="F29" i="6"/>
  <c r="G29" i="6" s="1"/>
  <c r="M29" i="6" s="1"/>
  <c r="F282" i="6"/>
  <c r="G282" i="6" s="1"/>
  <c r="M282" i="6" s="1"/>
  <c r="F34" i="6"/>
  <c r="G34" i="6" s="1"/>
  <c r="M34" i="6" s="1"/>
  <c r="F753" i="6"/>
  <c r="G753" i="6" s="1"/>
  <c r="M753" i="6" s="1"/>
  <c r="F750" i="6"/>
  <c r="G750" i="6" s="1"/>
  <c r="M750" i="6" s="1"/>
  <c r="F378" i="6"/>
  <c r="G378" i="6" s="1"/>
  <c r="M378" i="6" s="1"/>
  <c r="F387" i="6"/>
  <c r="G387" i="6" s="1"/>
  <c r="M387" i="6" s="1"/>
  <c r="F388" i="6"/>
  <c r="G388" i="6" s="1"/>
  <c r="M388" i="6" s="1"/>
  <c r="F389" i="6"/>
  <c r="G389" i="6" s="1"/>
  <c r="M389" i="6" s="1"/>
  <c r="F390" i="6"/>
  <c r="G390" i="6" s="1"/>
  <c r="M390" i="6" s="1"/>
  <c r="F754" i="6"/>
  <c r="G754" i="6" s="1"/>
  <c r="M754" i="6" s="1"/>
  <c r="F114" i="6"/>
  <c r="G114" i="6" s="1"/>
  <c r="M114" i="6" s="1"/>
  <c r="F777" i="6"/>
  <c r="G777" i="6" s="1"/>
  <c r="M777" i="6" s="1"/>
  <c r="F202" i="6"/>
  <c r="G202" i="6" s="1"/>
  <c r="M202" i="6" s="1"/>
  <c r="F780" i="6"/>
  <c r="G780" i="6" s="1"/>
  <c r="M780" i="6" s="1"/>
  <c r="F945" i="6"/>
  <c r="G945" i="6" s="1"/>
  <c r="M945" i="6" s="1"/>
  <c r="F1069" i="6"/>
  <c r="G1069" i="6" s="1"/>
  <c r="M1069" i="6" s="1"/>
  <c r="F632" i="6"/>
  <c r="G632" i="6" s="1"/>
  <c r="M632" i="6" s="1"/>
  <c r="F943" i="6"/>
  <c r="G943" i="6" s="1"/>
  <c r="M943" i="6" s="1"/>
  <c r="F8" i="6"/>
  <c r="G8" i="6" s="1"/>
  <c r="M8" i="6" s="1"/>
  <c r="F183" i="6"/>
  <c r="G183" i="6" s="1"/>
  <c r="M183" i="6" s="1"/>
  <c r="F369" i="6"/>
  <c r="G369" i="6" s="1"/>
  <c r="M369" i="6" s="1"/>
  <c r="F424" i="6"/>
  <c r="G424" i="6" s="1"/>
  <c r="M424" i="6" s="1"/>
  <c r="F964" i="6"/>
  <c r="G964" i="6" s="1"/>
  <c r="M964" i="6" s="1"/>
  <c r="F89" i="6"/>
  <c r="G89" i="6" s="1"/>
  <c r="M89" i="6" s="1"/>
  <c r="F891" i="6"/>
  <c r="G891" i="6" s="1"/>
  <c r="M891" i="6" s="1"/>
  <c r="F722" i="6"/>
  <c r="G722" i="6" s="1"/>
  <c r="M722" i="6" s="1"/>
  <c r="F771" i="6"/>
  <c r="G771" i="6" s="1"/>
  <c r="M771" i="6" s="1"/>
  <c r="F1049" i="6"/>
  <c r="G1049" i="6" s="1"/>
  <c r="M1049" i="6" s="1"/>
  <c r="F37" i="6"/>
  <c r="G37" i="6" s="1"/>
  <c r="M37" i="6" s="1"/>
  <c r="F261" i="6"/>
  <c r="G261" i="6" s="1"/>
  <c r="M261" i="6" s="1"/>
  <c r="F651" i="6"/>
  <c r="G651" i="6" s="1"/>
  <c r="M651" i="6" s="1"/>
  <c r="F250" i="6"/>
  <c r="G250" i="6" s="1"/>
  <c r="M250" i="6" s="1"/>
  <c r="F479" i="6"/>
  <c r="G479" i="6" s="1"/>
  <c r="M479" i="6" s="1"/>
  <c r="F279" i="6"/>
  <c r="G279" i="6" s="1"/>
  <c r="M279" i="6" s="1"/>
  <c r="F284" i="6"/>
  <c r="G284" i="6" s="1"/>
  <c r="M284" i="6" s="1"/>
  <c r="F980" i="6"/>
  <c r="G980" i="6" s="1"/>
  <c r="M980" i="6" s="1"/>
  <c r="F100" i="6"/>
  <c r="G100" i="6" s="1"/>
  <c r="M100" i="6" s="1"/>
  <c r="F124" i="6"/>
  <c r="G124" i="6" s="1"/>
  <c r="M124" i="6" s="1"/>
  <c r="F103" i="6"/>
  <c r="G103" i="6" s="1"/>
  <c r="M103" i="6" s="1"/>
  <c r="F290" i="6"/>
  <c r="G290" i="6" s="1"/>
  <c r="M290" i="6" s="1"/>
  <c r="F334" i="6"/>
  <c r="G334" i="6" s="1"/>
  <c r="M334" i="6" s="1"/>
  <c r="F610" i="6"/>
  <c r="G610" i="6" s="1"/>
  <c r="M610" i="6" s="1"/>
  <c r="F660" i="6"/>
  <c r="G660" i="6" s="1"/>
  <c r="M660" i="6" s="1"/>
  <c r="F926" i="6"/>
  <c r="G926" i="6" s="1"/>
  <c r="J926" i="6" s="1"/>
  <c r="K926" i="6" s="1"/>
  <c r="F1062" i="6"/>
  <c r="G1062" i="6" s="1"/>
  <c r="J1062" i="6" s="1"/>
  <c r="K1062" i="6" s="1"/>
  <c r="F625" i="6"/>
  <c r="G625" i="6" s="1"/>
  <c r="M625" i="6" s="1"/>
  <c r="F697" i="6"/>
  <c r="G697" i="6" s="1"/>
  <c r="M697" i="6" s="1"/>
  <c r="F756" i="6"/>
  <c r="G756" i="6" s="1"/>
  <c r="M756" i="6" s="1"/>
  <c r="F726" i="6"/>
  <c r="G726" i="6" s="1"/>
  <c r="M726" i="6" s="1"/>
  <c r="F920" i="6"/>
  <c r="G920" i="6" s="1"/>
  <c r="M920" i="6" s="1"/>
  <c r="F1007" i="6"/>
  <c r="G1007" i="6" s="1"/>
  <c r="M1007" i="6" s="1"/>
  <c r="F574" i="6"/>
  <c r="G574" i="6" s="1"/>
  <c r="M574" i="6" s="1"/>
  <c r="F997" i="6"/>
  <c r="G997" i="6" s="1"/>
  <c r="M997" i="6" s="1"/>
  <c r="F579" i="6"/>
  <c r="G579" i="6" s="1"/>
  <c r="M579" i="6" s="1"/>
  <c r="F110" i="6"/>
  <c r="G110" i="6" s="1"/>
  <c r="M110" i="6" s="1"/>
  <c r="F104" i="6"/>
  <c r="G104" i="6" s="1"/>
  <c r="M104" i="6" s="1"/>
  <c r="F979" i="6"/>
  <c r="G979" i="6" s="1"/>
  <c r="M979" i="6" s="1"/>
  <c r="F482" i="6"/>
  <c r="G482" i="6" s="1"/>
  <c r="M482" i="6" s="1"/>
  <c r="F165" i="6"/>
  <c r="G165" i="6" s="1"/>
  <c r="M165" i="6" s="1"/>
  <c r="F418" i="6"/>
  <c r="G418" i="6" s="1"/>
  <c r="M418" i="6" s="1"/>
  <c r="F444" i="6"/>
  <c r="G444" i="6" s="1"/>
  <c r="M444" i="6" s="1"/>
  <c r="F352" i="6"/>
  <c r="G352" i="6" s="1"/>
  <c r="M352" i="6" s="1"/>
  <c r="F353" i="6"/>
  <c r="G353" i="6" s="1"/>
  <c r="M353" i="6" s="1"/>
  <c r="F838" i="6"/>
  <c r="G838" i="6" s="1"/>
  <c r="F768" i="6"/>
  <c r="G768" i="6" s="1"/>
  <c r="M768" i="6" s="1"/>
  <c r="F760" i="6"/>
  <c r="G760" i="6" s="1"/>
  <c r="M760" i="6" s="1"/>
  <c r="F860" i="6"/>
  <c r="G860" i="6" s="1"/>
  <c r="M860" i="6" s="1"/>
  <c r="F869" i="6"/>
  <c r="G869" i="6" s="1"/>
  <c r="M869" i="6" s="1"/>
  <c r="F291" i="6"/>
  <c r="G291" i="6" s="1"/>
  <c r="M291" i="6" s="1"/>
  <c r="F872" i="6"/>
  <c r="G872" i="6" s="1"/>
  <c r="M872" i="6" s="1"/>
  <c r="F885" i="6"/>
  <c r="G885" i="6" s="1"/>
  <c r="M885" i="6" s="1"/>
  <c r="F708" i="6"/>
  <c r="G708" i="6" s="1"/>
  <c r="M708" i="6" s="1"/>
  <c r="F488" i="6"/>
  <c r="G488" i="6" s="1"/>
  <c r="M488" i="6" s="1"/>
  <c r="F691" i="6"/>
  <c r="G691" i="6" s="1"/>
  <c r="M691" i="6" s="1"/>
  <c r="F910" i="6"/>
  <c r="G910" i="6" s="1"/>
  <c r="J910" i="6" s="1"/>
  <c r="K910" i="6" s="1"/>
  <c r="F730" i="6"/>
  <c r="G730" i="6" s="1"/>
  <c r="M730" i="6" s="1"/>
  <c r="F168" i="6"/>
  <c r="G168" i="6" s="1"/>
  <c r="M168" i="6" s="1"/>
  <c r="F196" i="6"/>
  <c r="G196" i="6" s="1"/>
  <c r="M196" i="6" s="1"/>
  <c r="F193" i="6"/>
  <c r="G193" i="6" s="1"/>
  <c r="M193" i="6" s="1"/>
  <c r="F718" i="6"/>
  <c r="G718" i="6" s="1"/>
  <c r="M718" i="6" s="1"/>
  <c r="F54" i="6"/>
  <c r="G54" i="6" s="1"/>
  <c r="M54" i="6" s="1"/>
  <c r="F716" i="6"/>
  <c r="G716" i="6" s="1"/>
  <c r="M716" i="6" s="1"/>
  <c r="F528" i="6"/>
  <c r="G528" i="6" s="1"/>
  <c r="M528" i="6" s="1"/>
  <c r="F180" i="6"/>
  <c r="G180" i="6" s="1"/>
  <c r="M180" i="6" s="1"/>
  <c r="F177" i="6"/>
  <c r="G177" i="6" s="1"/>
  <c r="M177" i="6" s="1"/>
  <c r="F655" i="6"/>
  <c r="G655" i="6" s="1"/>
  <c r="M655" i="6" s="1"/>
  <c r="F330" i="6"/>
  <c r="G330" i="6" s="1"/>
  <c r="M330" i="6" s="1"/>
  <c r="F645" i="6"/>
  <c r="G645" i="6" s="1"/>
  <c r="M645" i="6" s="1"/>
  <c r="F669" i="6"/>
  <c r="G669" i="6" s="1"/>
  <c r="M669" i="6" s="1"/>
  <c r="F673" i="6"/>
  <c r="G673" i="6" s="1"/>
  <c r="M673" i="6" s="1"/>
  <c r="F45" i="6"/>
  <c r="G45" i="6" s="1"/>
  <c r="M45" i="6" s="1"/>
  <c r="F808" i="6"/>
  <c r="G808" i="6" s="1"/>
  <c r="M808" i="6" s="1"/>
  <c r="F234" i="6"/>
  <c r="G234" i="6" s="1"/>
  <c r="M234" i="6" s="1"/>
  <c r="F231" i="6"/>
  <c r="G231" i="6" s="1"/>
  <c r="M231" i="6" s="1"/>
  <c r="F245" i="6"/>
  <c r="G245" i="6" s="1"/>
  <c r="M245" i="6" s="1"/>
  <c r="F941" i="6"/>
  <c r="G941" i="6" s="1"/>
  <c r="M941" i="6" s="1"/>
  <c r="F902" i="6"/>
  <c r="G902" i="6" s="1"/>
  <c r="J902" i="6" s="1"/>
  <c r="K902" i="6" s="1"/>
  <c r="F476" i="6"/>
  <c r="G476" i="6" s="1"/>
  <c r="M476" i="6" s="1"/>
  <c r="F156" i="6"/>
  <c r="G156" i="6" s="1"/>
  <c r="M156" i="6" s="1"/>
  <c r="F253" i="6"/>
  <c r="G253" i="6" s="1"/>
  <c r="M253" i="6" s="1"/>
  <c r="F262" i="6"/>
  <c r="G262" i="6" s="1"/>
  <c r="M262" i="6" s="1"/>
  <c r="F971" i="6"/>
  <c r="G971" i="6" s="1"/>
  <c r="M971" i="6" s="1"/>
  <c r="F146" i="6"/>
  <c r="G146" i="6" s="1"/>
  <c r="M146" i="6" s="1"/>
  <c r="F152" i="6"/>
  <c r="G152" i="6" s="1"/>
  <c r="M152" i="6" s="1"/>
  <c r="F866" i="6"/>
  <c r="G866" i="6" s="1"/>
  <c r="J866" i="6" s="1"/>
  <c r="K866" i="6" s="1"/>
  <c r="F637" i="6"/>
  <c r="G637" i="6" s="1"/>
  <c r="M637" i="6" s="1"/>
  <c r="F783" i="6"/>
  <c r="G783" i="6" s="1"/>
  <c r="M783" i="6" s="1"/>
  <c r="F360" i="6"/>
  <c r="G360" i="6" s="1"/>
  <c r="M360" i="6" s="1"/>
  <c r="F987" i="6"/>
  <c r="G987" i="6" s="1"/>
  <c r="M987" i="6" s="1"/>
  <c r="F559" i="6"/>
  <c r="G559" i="6" s="1"/>
  <c r="M559" i="6" s="1"/>
  <c r="F516" i="6"/>
  <c r="G516" i="6" s="1"/>
  <c r="M516" i="6" s="1"/>
  <c r="F652" i="6"/>
  <c r="G652" i="6" s="1"/>
  <c r="M652" i="6" s="1"/>
  <c r="F1025" i="6"/>
  <c r="G1025" i="6" s="1"/>
  <c r="M1025" i="6" s="1"/>
  <c r="F748" i="6"/>
  <c r="G748" i="6" s="1"/>
  <c r="M748" i="6" s="1"/>
  <c r="F286" i="6"/>
  <c r="G286" i="6" s="1"/>
  <c r="M286" i="6" s="1"/>
  <c r="F251" i="6"/>
  <c r="G251" i="6" s="1"/>
  <c r="M251" i="6" s="1"/>
  <c r="F739" i="6"/>
  <c r="G739" i="6" s="1"/>
  <c r="M739" i="6" s="1"/>
  <c r="F363" i="6"/>
  <c r="G363" i="6" s="1"/>
  <c r="M363" i="6" s="1"/>
  <c r="F536" i="6"/>
  <c r="G536" i="6" s="1"/>
  <c r="M536" i="6" s="1"/>
  <c r="F226" i="6"/>
  <c r="G226" i="6" s="1"/>
  <c r="M226" i="6" s="1"/>
  <c r="F108" i="6"/>
  <c r="G108" i="6" s="1"/>
  <c r="M108" i="6" s="1"/>
  <c r="F717" i="6"/>
  <c r="G717" i="6" s="1"/>
  <c r="M717" i="6" s="1"/>
  <c r="F984" i="6"/>
  <c r="G984" i="6" s="1"/>
  <c r="M984" i="6" s="1"/>
  <c r="F682" i="6"/>
  <c r="G682" i="6" s="1"/>
  <c r="M682" i="6" s="1"/>
  <c r="F704" i="6"/>
  <c r="G704" i="6" s="1"/>
  <c r="M704" i="6" s="1"/>
  <c r="F531" i="6"/>
  <c r="G531" i="6" s="1"/>
  <c r="M531" i="6" s="1"/>
  <c r="F211" i="6"/>
  <c r="G211" i="6" s="1"/>
  <c r="M211" i="6" s="1"/>
  <c r="F560" i="6"/>
  <c r="G560" i="6" s="1"/>
  <c r="M560" i="6" s="1"/>
  <c r="F187" i="6"/>
  <c r="G187" i="6" s="1"/>
  <c r="M187" i="6" s="1"/>
  <c r="F564" i="6"/>
  <c r="G564" i="6" s="1"/>
  <c r="M564" i="6" s="1"/>
  <c r="F1000" i="6"/>
  <c r="G1000" i="6" s="1"/>
  <c r="M1000" i="6" s="1"/>
  <c r="F9" i="6"/>
  <c r="G9" i="6" s="1"/>
  <c r="M9" i="6" s="1"/>
  <c r="F137" i="6"/>
  <c r="G137" i="6" s="1"/>
  <c r="M137" i="6" s="1"/>
  <c r="F561" i="6"/>
  <c r="G561" i="6" s="1"/>
  <c r="M561" i="6" s="1"/>
  <c r="F431" i="6"/>
  <c r="G431" i="6" s="1"/>
  <c r="M431" i="6" s="1"/>
  <c r="F309" i="6"/>
  <c r="G309" i="6" s="1"/>
  <c r="M309" i="6" s="1"/>
  <c r="F1060" i="6"/>
  <c r="G1060" i="6" s="1"/>
  <c r="M1060" i="6" s="1"/>
  <c r="F764" i="6"/>
  <c r="G764" i="6" s="1"/>
  <c r="M764" i="6" s="1"/>
  <c r="F331" i="6"/>
  <c r="G331" i="6" s="1"/>
  <c r="M331" i="6" s="1"/>
  <c r="F341" i="6"/>
  <c r="G341" i="6" s="1"/>
  <c r="M341" i="6" s="1"/>
  <c r="F20" i="6"/>
  <c r="G20" i="6" s="1"/>
  <c r="M20" i="6" s="1"/>
  <c r="F345" i="6"/>
  <c r="G345" i="6" s="1"/>
  <c r="M345" i="6" s="1"/>
  <c r="F827" i="6"/>
  <c r="G827" i="6" s="1"/>
  <c r="M827" i="6" s="1"/>
  <c r="F446" i="6"/>
  <c r="G446" i="6" s="1"/>
  <c r="M446" i="6" s="1"/>
  <c r="F774" i="6"/>
  <c r="G774" i="6" s="1"/>
  <c r="F631" i="6"/>
  <c r="G631" i="6" s="1"/>
  <c r="M631" i="6" s="1"/>
  <c r="F784" i="6"/>
  <c r="G784" i="6" s="1"/>
  <c r="M784" i="6" s="1"/>
  <c r="F10" i="6"/>
  <c r="G10" i="6" s="1"/>
  <c r="M10" i="6" s="1"/>
  <c r="F635" i="6"/>
  <c r="G635" i="6" s="1"/>
  <c r="M635" i="6" s="1"/>
  <c r="F138" i="6"/>
  <c r="G138" i="6" s="1"/>
  <c r="M138" i="6" s="1"/>
  <c r="F549" i="6"/>
  <c r="G549" i="6" s="1"/>
  <c r="M549" i="6" s="1"/>
  <c r="F1005" i="6"/>
  <c r="G1005" i="6" s="1"/>
  <c r="M1005" i="6" s="1"/>
  <c r="F604" i="6"/>
  <c r="G604" i="6" s="1"/>
  <c r="M604" i="6" s="1"/>
  <c r="F923" i="6"/>
  <c r="G923" i="6" s="1"/>
  <c r="M923" i="6" s="1"/>
  <c r="F606" i="6"/>
  <c r="G606" i="6" s="1"/>
  <c r="M606" i="6" s="1"/>
  <c r="F931" i="6"/>
  <c r="G931" i="6" s="1"/>
  <c r="M931" i="6" s="1"/>
  <c r="F506" i="6"/>
  <c r="G506" i="6" s="1"/>
  <c r="M506" i="6" s="1"/>
  <c r="F1031" i="6"/>
  <c r="G1031" i="6" s="1"/>
  <c r="M1031" i="6" s="1"/>
  <c r="F228" i="6"/>
  <c r="G228" i="6" s="1"/>
  <c r="M228" i="6" s="1"/>
  <c r="F721" i="6"/>
  <c r="G721" i="6" s="1"/>
  <c r="M721" i="6" s="1"/>
  <c r="F914" i="6"/>
  <c r="G914" i="6" s="1"/>
  <c r="J914" i="6" s="1"/>
  <c r="K914" i="6" s="1"/>
  <c r="F235" i="6"/>
  <c r="G235" i="6" s="1"/>
  <c r="M235" i="6" s="1"/>
  <c r="F285" i="6"/>
  <c r="G285" i="6" s="1"/>
  <c r="M285" i="6" s="1"/>
  <c r="F911" i="6"/>
  <c r="G911" i="6" s="1"/>
  <c r="M911" i="6" s="1"/>
  <c r="F489" i="6"/>
  <c r="G489" i="6" s="1"/>
  <c r="M489" i="6" s="1"/>
  <c r="F615" i="6"/>
  <c r="G615" i="6" s="1"/>
  <c r="M615" i="6" s="1"/>
  <c r="F944" i="6"/>
  <c r="G944" i="6" s="1"/>
  <c r="M944" i="6" s="1"/>
  <c r="F246" i="6"/>
  <c r="G246" i="6" s="1"/>
  <c r="M246" i="6" s="1"/>
  <c r="F480" i="6"/>
  <c r="G480" i="6" s="1"/>
  <c r="M480" i="6" s="1"/>
  <c r="F170" i="6"/>
  <c r="G170" i="6" s="1"/>
  <c r="M170" i="6" s="1"/>
  <c r="F252" i="6"/>
  <c r="G252" i="6" s="1"/>
  <c r="M252" i="6" s="1"/>
  <c r="F254" i="6"/>
  <c r="G254" i="6" s="1"/>
  <c r="M254" i="6" s="1"/>
  <c r="F154" i="6"/>
  <c r="G154" i="6" s="1"/>
  <c r="M154" i="6" s="1"/>
  <c r="F264" i="6"/>
  <c r="G264" i="6" s="1"/>
  <c r="M264" i="6" s="1"/>
  <c r="F113" i="6"/>
  <c r="G113" i="6" s="1"/>
  <c r="M113" i="6" s="1"/>
  <c r="F209" i="6"/>
  <c r="G209" i="6" s="1"/>
  <c r="M209" i="6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J838" i="6" l="1"/>
  <c r="K838" i="6" s="1"/>
  <c r="M838" i="6"/>
  <c r="J822" i="6"/>
  <c r="K822" i="6" s="1"/>
  <c r="M822" i="6"/>
  <c r="J790" i="6"/>
  <c r="K790" i="6" s="1"/>
  <c r="M790" i="6"/>
  <c r="J846" i="6"/>
  <c r="K846" i="6" s="1"/>
  <c r="M846" i="6"/>
  <c r="M1070" i="6"/>
  <c r="M1062" i="6"/>
  <c r="M1054" i="6"/>
  <c r="M1046" i="6"/>
  <c r="M1038" i="6"/>
  <c r="M1030" i="6"/>
  <c r="M1022" i="6"/>
  <c r="M1014" i="6"/>
  <c r="M1006" i="6"/>
  <c r="M998" i="6"/>
  <c r="M990" i="6"/>
  <c r="M982" i="6"/>
  <c r="M974" i="6"/>
  <c r="M966" i="6"/>
  <c r="M958" i="6"/>
  <c r="M950" i="6"/>
  <c r="M942" i="6"/>
  <c r="M934" i="6"/>
  <c r="M926" i="6"/>
  <c r="M918" i="6"/>
  <c r="M910" i="6"/>
  <c r="M902" i="6"/>
  <c r="M894" i="6"/>
  <c r="M886" i="6"/>
  <c r="M878" i="6"/>
  <c r="M870" i="6"/>
  <c r="M862" i="6"/>
  <c r="M854" i="6"/>
  <c r="M842" i="6"/>
  <c r="M778" i="6"/>
  <c r="M794" i="6"/>
  <c r="J782" i="6"/>
  <c r="K782" i="6" s="1"/>
  <c r="M782" i="6"/>
  <c r="J830" i="6"/>
  <c r="K830" i="6" s="1"/>
  <c r="M830" i="6"/>
  <c r="J834" i="6"/>
  <c r="K834" i="6" s="1"/>
  <c r="M834" i="6"/>
  <c r="J798" i="6"/>
  <c r="K798" i="6" s="1"/>
  <c r="M798" i="6"/>
  <c r="J802" i="6"/>
  <c r="K802" i="6" s="1"/>
  <c r="M802" i="6"/>
  <c r="J770" i="6"/>
  <c r="K770" i="6" s="1"/>
  <c r="M770" i="6"/>
  <c r="J786" i="6"/>
  <c r="K786" i="6" s="1"/>
  <c r="M786" i="6"/>
  <c r="M1074" i="6"/>
  <c r="M1066" i="6"/>
  <c r="M1058" i="6"/>
  <c r="M1050" i="6"/>
  <c r="M1042" i="6"/>
  <c r="M1034" i="6"/>
  <c r="M1026" i="6"/>
  <c r="M1018" i="6"/>
  <c r="M1010" i="6"/>
  <c r="M1002" i="6"/>
  <c r="M994" i="6"/>
  <c r="M986" i="6"/>
  <c r="M978" i="6"/>
  <c r="M970" i="6"/>
  <c r="M962" i="6"/>
  <c r="M954" i="6"/>
  <c r="M946" i="6"/>
  <c r="M938" i="6"/>
  <c r="M930" i="6"/>
  <c r="M922" i="6"/>
  <c r="M914" i="6"/>
  <c r="M906" i="6"/>
  <c r="M898" i="6"/>
  <c r="M890" i="6"/>
  <c r="M882" i="6"/>
  <c r="M874" i="6"/>
  <c r="M866" i="6"/>
  <c r="M858" i="6"/>
  <c r="M850" i="6"/>
  <c r="M810" i="6"/>
  <c r="J774" i="6"/>
  <c r="K774" i="6" s="1"/>
  <c r="M774" i="6"/>
  <c r="J814" i="6"/>
  <c r="K814" i="6" s="1"/>
  <c r="M814" i="6"/>
  <c r="J818" i="6"/>
  <c r="K818" i="6" s="1"/>
  <c r="M818" i="6"/>
  <c r="J766" i="6"/>
  <c r="K766" i="6" s="1"/>
  <c r="M766" i="6"/>
  <c r="J806" i="6"/>
  <c r="K806" i="6" s="1"/>
  <c r="M806" i="6"/>
  <c r="M826" i="6"/>
  <c r="J372" i="6"/>
  <c r="K372" i="6" s="1"/>
  <c r="L372" i="6"/>
  <c r="O372" i="6" s="1"/>
  <c r="P372" i="6" s="1"/>
  <c r="J480" i="6"/>
  <c r="K480" i="6" s="1"/>
  <c r="L480" i="6"/>
  <c r="O480" i="6" s="1"/>
  <c r="P480" i="6" s="1"/>
  <c r="J604" i="6"/>
  <c r="K604" i="6" s="1"/>
  <c r="L604" i="6"/>
  <c r="J20" i="6"/>
  <c r="K20" i="6" s="1"/>
  <c r="L20" i="6"/>
  <c r="O20" i="6" s="1"/>
  <c r="P20" i="6" s="1"/>
  <c r="J108" i="6"/>
  <c r="K108" i="6" s="1"/>
  <c r="L108" i="6"/>
  <c r="O108" i="6" s="1"/>
  <c r="P108" i="6" s="1"/>
  <c r="J1025" i="6"/>
  <c r="K1025" i="6" s="1"/>
  <c r="L1025" i="6"/>
  <c r="J262" i="6"/>
  <c r="K262" i="6" s="1"/>
  <c r="L262" i="6"/>
  <c r="J234" i="6"/>
  <c r="K234" i="6" s="1"/>
  <c r="L234" i="6"/>
  <c r="J168" i="6"/>
  <c r="K168" i="6" s="1"/>
  <c r="L168" i="6"/>
  <c r="O168" i="6" s="1"/>
  <c r="P168" i="6" s="1"/>
  <c r="J768" i="6"/>
  <c r="K768" i="6" s="1"/>
  <c r="L768" i="6"/>
  <c r="J997" i="6"/>
  <c r="K997" i="6" s="1"/>
  <c r="L997" i="6"/>
  <c r="J479" i="6"/>
  <c r="K479" i="6" s="1"/>
  <c r="L479" i="6"/>
  <c r="O479" i="6" s="1"/>
  <c r="P479" i="6" s="1"/>
  <c r="J632" i="6"/>
  <c r="K632" i="6" s="1"/>
  <c r="L632" i="6"/>
  <c r="O632" i="6" s="1"/>
  <c r="P632" i="6" s="1"/>
  <c r="J758" i="6"/>
  <c r="K758" i="6" s="1"/>
  <c r="L758" i="6"/>
  <c r="O758" i="6" s="1"/>
  <c r="P758" i="6" s="1"/>
  <c r="J649" i="6"/>
  <c r="K649" i="6" s="1"/>
  <c r="L649" i="6"/>
  <c r="O649" i="6" s="1"/>
  <c r="P649" i="6" s="1"/>
  <c r="J618" i="6"/>
  <c r="K618" i="6" s="1"/>
  <c r="L618" i="6"/>
  <c r="O618" i="6" s="1"/>
  <c r="P618" i="6" s="1"/>
  <c r="J607" i="6"/>
  <c r="K607" i="6" s="1"/>
  <c r="L607" i="6"/>
  <c r="J64" i="6"/>
  <c r="K64" i="6" s="1"/>
  <c r="L64" i="6"/>
  <c r="O64" i="6" s="1"/>
  <c r="P64" i="6" s="1"/>
  <c r="J1012" i="6"/>
  <c r="K1012" i="6" s="1"/>
  <c r="L1012" i="6"/>
  <c r="J804" i="6"/>
  <c r="K804" i="6" s="1"/>
  <c r="L804" i="6"/>
  <c r="O804" i="6" s="1"/>
  <c r="P804" i="6" s="1"/>
  <c r="J209" i="6"/>
  <c r="K209" i="6" s="1"/>
  <c r="L209" i="6"/>
  <c r="O209" i="6" s="1"/>
  <c r="P209" i="6" s="1"/>
  <c r="J911" i="6"/>
  <c r="K911" i="6" s="1"/>
  <c r="L911" i="6"/>
  <c r="J1005" i="6"/>
  <c r="K1005" i="6" s="1"/>
  <c r="L1005" i="6"/>
  <c r="O1005" i="6" s="1"/>
  <c r="P1005" i="6" s="1"/>
  <c r="J10" i="6"/>
  <c r="K10" i="6" s="1"/>
  <c r="L10" i="6"/>
  <c r="J309" i="6"/>
  <c r="K309" i="6" s="1"/>
  <c r="L309" i="6"/>
  <c r="J682" i="6"/>
  <c r="K682" i="6" s="1"/>
  <c r="L682" i="6"/>
  <c r="O682" i="6" s="1"/>
  <c r="P682" i="6" s="1"/>
  <c r="J652" i="6"/>
  <c r="K652" i="6" s="1"/>
  <c r="L652" i="6"/>
  <c r="J152" i="6"/>
  <c r="K152" i="6" s="1"/>
  <c r="L152" i="6"/>
  <c r="J941" i="6"/>
  <c r="K941" i="6" s="1"/>
  <c r="L941" i="6"/>
  <c r="J180" i="6"/>
  <c r="K180" i="6" s="1"/>
  <c r="L180" i="6"/>
  <c r="O180" i="6" s="1"/>
  <c r="P180" i="6" s="1"/>
  <c r="J708" i="6"/>
  <c r="K708" i="6" s="1"/>
  <c r="L708" i="6"/>
  <c r="O708" i="6" s="1"/>
  <c r="P708" i="6" s="1"/>
  <c r="J104" i="6"/>
  <c r="K104" i="6" s="1"/>
  <c r="L104" i="6"/>
  <c r="O104" i="6" s="1"/>
  <c r="P104" i="6" s="1"/>
  <c r="J756" i="6"/>
  <c r="K756" i="6" s="1"/>
  <c r="L756" i="6"/>
  <c r="J980" i="6"/>
  <c r="K980" i="6" s="1"/>
  <c r="L980" i="6"/>
  <c r="O980" i="6" s="1"/>
  <c r="P980" i="6" s="1"/>
  <c r="J1049" i="6"/>
  <c r="K1049" i="6" s="1"/>
  <c r="L1049" i="6"/>
  <c r="O1049" i="6" s="1"/>
  <c r="P1049" i="6" s="1"/>
  <c r="J389" i="6"/>
  <c r="K389" i="6" s="1"/>
  <c r="L389" i="6"/>
  <c r="O389" i="6" s="1"/>
  <c r="P389" i="6" s="1"/>
  <c r="J981" i="6"/>
  <c r="K981" i="6" s="1"/>
  <c r="L981" i="6"/>
  <c r="O981" i="6" s="1"/>
  <c r="P981" i="6" s="1"/>
  <c r="J1036" i="6"/>
  <c r="K1036" i="6" s="1"/>
  <c r="L1036" i="6"/>
  <c r="O1036" i="6" s="1"/>
  <c r="P1036" i="6" s="1"/>
  <c r="J763" i="6"/>
  <c r="K763" i="6" s="1"/>
  <c r="L763" i="6"/>
  <c r="J901" i="6"/>
  <c r="K901" i="6" s="1"/>
  <c r="L901" i="6"/>
  <c r="J616" i="6"/>
  <c r="K616" i="6" s="1"/>
  <c r="L616" i="6"/>
  <c r="O616" i="6" s="1"/>
  <c r="P616" i="6" s="1"/>
  <c r="J428" i="6"/>
  <c r="K428" i="6" s="1"/>
  <c r="L428" i="6"/>
  <c r="J31" i="6"/>
  <c r="K31" i="6" s="1"/>
  <c r="L31" i="6"/>
  <c r="O31" i="6" s="1"/>
  <c r="P31" i="6" s="1"/>
  <c r="J1013" i="6"/>
  <c r="K1013" i="6" s="1"/>
  <c r="L1013" i="6"/>
  <c r="J12" i="6"/>
  <c r="K12" i="6" s="1"/>
  <c r="L12" i="6"/>
  <c r="J692" i="6"/>
  <c r="K692" i="6" s="1"/>
  <c r="L692" i="6"/>
  <c r="O692" i="6" s="1"/>
  <c r="P692" i="6" s="1"/>
  <c r="J66" i="6"/>
  <c r="K66" i="6" s="1"/>
  <c r="L66" i="6"/>
  <c r="O66" i="6" s="1"/>
  <c r="P66" i="6" s="1"/>
  <c r="J454" i="6"/>
  <c r="K454" i="6" s="1"/>
  <c r="L454" i="6"/>
  <c r="O454" i="6" s="1"/>
  <c r="P454" i="6" s="1"/>
  <c r="J963" i="6"/>
  <c r="K963" i="6" s="1"/>
  <c r="L963" i="6"/>
  <c r="O963" i="6" s="1"/>
  <c r="P963" i="6" s="1"/>
  <c r="J865" i="6"/>
  <c r="K865" i="6" s="1"/>
  <c r="L865" i="6"/>
  <c r="J848" i="6"/>
  <c r="K848" i="6" s="1"/>
  <c r="L848" i="6"/>
  <c r="J86" i="6"/>
  <c r="K86" i="6" s="1"/>
  <c r="L86" i="6"/>
  <c r="J1053" i="6"/>
  <c r="K1053" i="6" s="1"/>
  <c r="L1053" i="6"/>
  <c r="O1053" i="6" s="1"/>
  <c r="P1053" i="6" s="1"/>
  <c r="J587" i="6"/>
  <c r="K587" i="6" s="1"/>
  <c r="L587" i="6"/>
  <c r="O587" i="6" s="1"/>
  <c r="P587" i="6" s="1"/>
  <c r="J494" i="6"/>
  <c r="K494" i="6" s="1"/>
  <c r="L494" i="6"/>
  <c r="O494" i="6" s="1"/>
  <c r="P494" i="6" s="1"/>
  <c r="J591" i="6"/>
  <c r="K591" i="6" s="1"/>
  <c r="L591" i="6"/>
  <c r="O591" i="6" s="1"/>
  <c r="P591" i="6" s="1"/>
  <c r="J1019" i="6"/>
  <c r="K1019" i="6" s="1"/>
  <c r="L1019" i="6"/>
  <c r="J527" i="6"/>
  <c r="K527" i="6" s="1"/>
  <c r="L527" i="6"/>
  <c r="O527" i="6" s="1"/>
  <c r="P527" i="6" s="1"/>
  <c r="J952" i="6"/>
  <c r="K952" i="6" s="1"/>
  <c r="L952" i="6"/>
  <c r="J174" i="6"/>
  <c r="K174" i="6" s="1"/>
  <c r="L174" i="6"/>
  <c r="O174" i="6" s="1"/>
  <c r="P174" i="6" s="1"/>
  <c r="J41" i="6"/>
  <c r="K41" i="6" s="1"/>
  <c r="L41" i="6"/>
  <c r="J391" i="6"/>
  <c r="K391" i="6" s="1"/>
  <c r="L391" i="6"/>
  <c r="J256" i="6"/>
  <c r="K256" i="6" s="1"/>
  <c r="L256" i="6"/>
  <c r="J556" i="6"/>
  <c r="K556" i="6" s="1"/>
  <c r="L556" i="6"/>
  <c r="J593" i="6"/>
  <c r="K593" i="6" s="1"/>
  <c r="L593" i="6"/>
  <c r="O593" i="6" s="1"/>
  <c r="P593" i="6" s="1"/>
  <c r="J106" i="6"/>
  <c r="K106" i="6" s="1"/>
  <c r="L106" i="6"/>
  <c r="O106" i="6" s="1"/>
  <c r="P106" i="6" s="1"/>
  <c r="J115" i="6"/>
  <c r="K115" i="6" s="1"/>
  <c r="L115" i="6"/>
  <c r="O115" i="6" s="1"/>
  <c r="P115" i="6" s="1"/>
  <c r="J995" i="6"/>
  <c r="K995" i="6" s="1"/>
  <c r="L995" i="6"/>
  <c r="J851" i="6"/>
  <c r="K851" i="6" s="1"/>
  <c r="L851" i="6"/>
  <c r="O851" i="6" s="1"/>
  <c r="P851" i="6" s="1"/>
  <c r="J357" i="6"/>
  <c r="K357" i="6" s="1"/>
  <c r="L357" i="6"/>
  <c r="J333" i="6"/>
  <c r="K333" i="6" s="1"/>
  <c r="L333" i="6"/>
  <c r="O333" i="6" s="1"/>
  <c r="P333" i="6" s="1"/>
  <c r="J815" i="6"/>
  <c r="K815" i="6" s="1"/>
  <c r="L815" i="6"/>
  <c r="J195" i="6"/>
  <c r="K195" i="6" s="1"/>
  <c r="L195" i="6"/>
  <c r="J993" i="6"/>
  <c r="K993" i="6" s="1"/>
  <c r="L993" i="6"/>
  <c r="O993" i="6" s="1"/>
  <c r="P993" i="6" s="1"/>
  <c r="J238" i="6"/>
  <c r="K238" i="6" s="1"/>
  <c r="L238" i="6"/>
  <c r="J675" i="6"/>
  <c r="K675" i="6" s="1"/>
  <c r="L675" i="6"/>
  <c r="J70" i="6"/>
  <c r="K70" i="6" s="1"/>
  <c r="L70" i="6"/>
  <c r="J769" i="6"/>
  <c r="K769" i="6" s="1"/>
  <c r="L769" i="6"/>
  <c r="J969" i="6"/>
  <c r="K969" i="6" s="1"/>
  <c r="L969" i="6"/>
  <c r="J933" i="6"/>
  <c r="K933" i="6" s="1"/>
  <c r="L933" i="6"/>
  <c r="J504" i="6"/>
  <c r="K504" i="6" s="1"/>
  <c r="L504" i="6"/>
  <c r="O504" i="6" s="1"/>
  <c r="P504" i="6" s="1"/>
  <c r="J1047" i="6"/>
  <c r="K1047" i="6" s="1"/>
  <c r="L1047" i="6"/>
  <c r="O1047" i="6" s="1"/>
  <c r="P1047" i="6" s="1"/>
  <c r="J972" i="6"/>
  <c r="K972" i="6" s="1"/>
  <c r="L972" i="6"/>
  <c r="O972" i="6" s="1"/>
  <c r="P972" i="6" s="1"/>
  <c r="J399" i="6"/>
  <c r="K399" i="6" s="1"/>
  <c r="L399" i="6"/>
  <c r="O399" i="6" s="1"/>
  <c r="P399" i="6" s="1"/>
  <c r="J270" i="6"/>
  <c r="K270" i="6" s="1"/>
  <c r="L270" i="6"/>
  <c r="O270" i="6" s="1"/>
  <c r="P270" i="6" s="1"/>
  <c r="J749" i="6"/>
  <c r="K749" i="6" s="1"/>
  <c r="L749" i="6"/>
  <c r="J84" i="6"/>
  <c r="K84" i="6" s="1"/>
  <c r="L84" i="6"/>
  <c r="J855" i="6"/>
  <c r="K855" i="6" s="1"/>
  <c r="L855" i="6"/>
  <c r="J570" i="6"/>
  <c r="K570" i="6" s="1"/>
  <c r="L570" i="6"/>
  <c r="O570" i="6" s="1"/>
  <c r="P570" i="6" s="1"/>
  <c r="J831" i="6"/>
  <c r="K831" i="6" s="1"/>
  <c r="L831" i="6"/>
  <c r="J283" i="6"/>
  <c r="K283" i="6" s="1"/>
  <c r="L283" i="6"/>
  <c r="O283" i="6" s="1"/>
  <c r="P283" i="6" s="1"/>
  <c r="J684" i="6"/>
  <c r="K684" i="6" s="1"/>
  <c r="L684" i="6"/>
  <c r="O684" i="6" s="1"/>
  <c r="P684" i="6" s="1"/>
  <c r="J1068" i="6"/>
  <c r="K1068" i="6" s="1"/>
  <c r="L1068" i="6"/>
  <c r="J458" i="6"/>
  <c r="K458" i="6" s="1"/>
  <c r="L458" i="6"/>
  <c r="J740" i="6"/>
  <c r="K740" i="6" s="1"/>
  <c r="L740" i="6"/>
  <c r="O740" i="6" s="1"/>
  <c r="P740" i="6" s="1"/>
  <c r="J140" i="6"/>
  <c r="K140" i="6" s="1"/>
  <c r="L140" i="6"/>
  <c r="J127" i="6"/>
  <c r="K127" i="6" s="1"/>
  <c r="L127" i="6"/>
  <c r="O127" i="6" s="1"/>
  <c r="P127" i="6" s="1"/>
  <c r="J97" i="6"/>
  <c r="K97" i="6" s="1"/>
  <c r="L97" i="6"/>
  <c r="J714" i="6"/>
  <c r="K714" i="6" s="1"/>
  <c r="L714" i="6"/>
  <c r="J679" i="6"/>
  <c r="K679" i="6" s="1"/>
  <c r="L679" i="6"/>
  <c r="O679" i="6" s="1"/>
  <c r="P679" i="6" s="1"/>
  <c r="J627" i="6"/>
  <c r="K627" i="6" s="1"/>
  <c r="L627" i="6"/>
  <c r="O627" i="6" s="1"/>
  <c r="P627" i="6" s="1"/>
  <c r="J1072" i="6"/>
  <c r="K1072" i="6" s="1"/>
  <c r="L1072" i="6"/>
  <c r="O1072" i="6" s="1"/>
  <c r="P1072" i="6" s="1"/>
  <c r="J520" i="6"/>
  <c r="K520" i="6" s="1"/>
  <c r="L520" i="6"/>
  <c r="O520" i="6" s="1"/>
  <c r="P520" i="6" s="1"/>
  <c r="J1001" i="6"/>
  <c r="K1001" i="6" s="1"/>
  <c r="L1001" i="6"/>
  <c r="O1001" i="6" s="1"/>
  <c r="P1001" i="6" s="1"/>
  <c r="J712" i="6"/>
  <c r="K712" i="6" s="1"/>
  <c r="L712" i="6"/>
  <c r="O712" i="6" s="1"/>
  <c r="P712" i="6" s="1"/>
  <c r="J318" i="6"/>
  <c r="K318" i="6" s="1"/>
  <c r="L318" i="6"/>
  <c r="J951" i="6"/>
  <c r="K951" i="6" s="1"/>
  <c r="L951" i="6"/>
  <c r="J191" i="6"/>
  <c r="K191" i="6" s="1"/>
  <c r="L191" i="6"/>
  <c r="O191" i="6" s="1"/>
  <c r="P191" i="6" s="1"/>
  <c r="J811" i="6"/>
  <c r="K811" i="6" s="1"/>
  <c r="L811" i="6"/>
  <c r="J461" i="6"/>
  <c r="K461" i="6" s="1"/>
  <c r="L461" i="6"/>
  <c r="O461" i="6" s="1"/>
  <c r="P461" i="6" s="1"/>
  <c r="J469" i="6"/>
  <c r="K469" i="6" s="1"/>
  <c r="L469" i="6"/>
  <c r="J401" i="6"/>
  <c r="K401" i="6" s="1"/>
  <c r="L401" i="6"/>
  <c r="J805" i="6"/>
  <c r="K805" i="6" s="1"/>
  <c r="L805" i="6"/>
  <c r="O805" i="6" s="1"/>
  <c r="P805" i="6" s="1"/>
  <c r="J255" i="6"/>
  <c r="K255" i="6" s="1"/>
  <c r="L255" i="6"/>
  <c r="J40" i="6"/>
  <c r="K40" i="6" s="1"/>
  <c r="L40" i="6"/>
  <c r="J1052" i="6"/>
  <c r="K1052" i="6" s="1"/>
  <c r="L1052" i="6"/>
  <c r="O1052" i="6" s="1"/>
  <c r="P1052" i="6" s="1"/>
  <c r="J15" i="6"/>
  <c r="K15" i="6" s="1"/>
  <c r="L15" i="6"/>
  <c r="J460" i="6"/>
  <c r="K460" i="6" s="1"/>
  <c r="L460" i="6"/>
  <c r="O460" i="6" s="1"/>
  <c r="P460" i="6" s="1"/>
  <c r="J161" i="6"/>
  <c r="K161" i="6" s="1"/>
  <c r="L161" i="6"/>
  <c r="J519" i="6"/>
  <c r="K519" i="6" s="1"/>
  <c r="L519" i="6"/>
  <c r="J1061" i="6"/>
  <c r="K1061" i="6" s="1"/>
  <c r="L1061" i="6"/>
  <c r="J533" i="6"/>
  <c r="K533" i="6" s="1"/>
  <c r="L533" i="6"/>
  <c r="O533" i="6" s="1"/>
  <c r="P533" i="6" s="1"/>
  <c r="J927" i="6"/>
  <c r="K927" i="6" s="1"/>
  <c r="L927" i="6"/>
  <c r="O927" i="6" s="1"/>
  <c r="P927" i="6" s="1"/>
  <c r="J775" i="6"/>
  <c r="K775" i="6" s="1"/>
  <c r="L775" i="6"/>
  <c r="J789" i="6"/>
  <c r="K789" i="6" s="1"/>
  <c r="L789" i="6"/>
  <c r="O789" i="6" s="1"/>
  <c r="P789" i="6" s="1"/>
  <c r="J670" i="6"/>
  <c r="K670" i="6" s="1"/>
  <c r="L670" i="6"/>
  <c r="J582" i="6"/>
  <c r="K582" i="6" s="1"/>
  <c r="L582" i="6"/>
  <c r="J329" i="6"/>
  <c r="K329" i="6" s="1"/>
  <c r="L329" i="6"/>
  <c r="O329" i="6" s="1"/>
  <c r="P329" i="6" s="1"/>
  <c r="J133" i="6"/>
  <c r="K133" i="6" s="1"/>
  <c r="L133" i="6"/>
  <c r="O133" i="6" s="1"/>
  <c r="P133" i="6" s="1"/>
  <c r="J633" i="6"/>
  <c r="K633" i="6" s="1"/>
  <c r="L633" i="6"/>
  <c r="J497" i="6"/>
  <c r="K497" i="6" s="1"/>
  <c r="L497" i="6"/>
  <c r="O497" i="6" s="1"/>
  <c r="P497" i="6" s="1"/>
  <c r="J412" i="6"/>
  <c r="K412" i="6" s="1"/>
  <c r="L412" i="6"/>
  <c r="J683" i="6"/>
  <c r="K683" i="6" s="1"/>
  <c r="L683" i="6"/>
  <c r="O683" i="6" s="1"/>
  <c r="P683" i="6" s="1"/>
  <c r="L1066" i="6"/>
  <c r="L1050" i="6"/>
  <c r="O1050" i="6" s="1"/>
  <c r="P1050" i="6" s="1"/>
  <c r="L1034" i="6"/>
  <c r="O1034" i="6" s="1"/>
  <c r="P1034" i="6" s="1"/>
  <c r="L1018" i="6"/>
  <c r="L1002" i="6"/>
  <c r="O1002" i="6" s="1"/>
  <c r="P1002" i="6" s="1"/>
  <c r="L986" i="6"/>
  <c r="O986" i="6" s="1"/>
  <c r="P986" i="6" s="1"/>
  <c r="L970" i="6"/>
  <c r="L954" i="6"/>
  <c r="O954" i="6" s="1"/>
  <c r="P954" i="6" s="1"/>
  <c r="L938" i="6"/>
  <c r="O938" i="6" s="1"/>
  <c r="P938" i="6" s="1"/>
  <c r="L922" i="6"/>
  <c r="L906" i="6"/>
  <c r="O906" i="6" s="1"/>
  <c r="P906" i="6" s="1"/>
  <c r="L890" i="6"/>
  <c r="O890" i="6" s="1"/>
  <c r="P890" i="6" s="1"/>
  <c r="L874" i="6"/>
  <c r="L858" i="6"/>
  <c r="O858" i="6" s="1"/>
  <c r="P858" i="6" s="1"/>
  <c r="L842" i="6"/>
  <c r="O842" i="6" s="1"/>
  <c r="P842" i="6" s="1"/>
  <c r="L826" i="6"/>
  <c r="L810" i="6"/>
  <c r="L794" i="6"/>
  <c r="L778" i="6"/>
  <c r="J154" i="6"/>
  <c r="K154" i="6" s="1"/>
  <c r="L154" i="6"/>
  <c r="O154" i="6" s="1"/>
  <c r="P154" i="6" s="1"/>
  <c r="J506" i="6"/>
  <c r="K506" i="6" s="1"/>
  <c r="L506" i="6"/>
  <c r="J635" i="6"/>
  <c r="K635" i="6" s="1"/>
  <c r="L635" i="6"/>
  <c r="J1060" i="6"/>
  <c r="K1060" i="6" s="1"/>
  <c r="L1060" i="6"/>
  <c r="J187" i="6"/>
  <c r="K187" i="6" s="1"/>
  <c r="L187" i="6"/>
  <c r="J704" i="6"/>
  <c r="K704" i="6" s="1"/>
  <c r="L704" i="6"/>
  <c r="J739" i="6"/>
  <c r="K739" i="6" s="1"/>
  <c r="L739" i="6"/>
  <c r="J177" i="6"/>
  <c r="K177" i="6" s="1"/>
  <c r="L177" i="6"/>
  <c r="J291" i="6"/>
  <c r="K291" i="6" s="1"/>
  <c r="L291" i="6"/>
  <c r="J726" i="6"/>
  <c r="K726" i="6" s="1"/>
  <c r="L726" i="6"/>
  <c r="J37" i="6"/>
  <c r="K37" i="6" s="1"/>
  <c r="L37" i="6"/>
  <c r="O37" i="6" s="1"/>
  <c r="P37" i="6" s="1"/>
  <c r="J390" i="6"/>
  <c r="K390" i="6" s="1"/>
  <c r="L390" i="6"/>
  <c r="O390" i="6" s="1"/>
  <c r="P390" i="6" s="1"/>
  <c r="J378" i="6"/>
  <c r="K378" i="6" s="1"/>
  <c r="L378" i="6"/>
  <c r="J297" i="6"/>
  <c r="K297" i="6" s="1"/>
  <c r="L297" i="6"/>
  <c r="J403" i="6"/>
  <c r="K403" i="6" s="1"/>
  <c r="L403" i="6"/>
  <c r="J354" i="6"/>
  <c r="K354" i="6" s="1"/>
  <c r="L354" i="6"/>
  <c r="O354" i="6" s="1"/>
  <c r="P354" i="6" s="1"/>
  <c r="J745" i="6"/>
  <c r="K745" i="6" s="1"/>
  <c r="L745" i="6"/>
  <c r="O745" i="6" s="1"/>
  <c r="P745" i="6" s="1"/>
  <c r="J416" i="6"/>
  <c r="K416" i="6" s="1"/>
  <c r="L416" i="6"/>
  <c r="J630" i="6"/>
  <c r="K630" i="6" s="1"/>
  <c r="L630" i="6"/>
  <c r="O630" i="6" s="1"/>
  <c r="P630" i="6" s="1"/>
  <c r="J967" i="6"/>
  <c r="K967" i="6" s="1"/>
  <c r="L967" i="6"/>
  <c r="O967" i="6" s="1"/>
  <c r="P967" i="6" s="1"/>
  <c r="J961" i="6"/>
  <c r="K961" i="6" s="1"/>
  <c r="L961" i="6"/>
  <c r="O961" i="6" s="1"/>
  <c r="P961" i="6" s="1"/>
  <c r="J599" i="6"/>
  <c r="K599" i="6" s="1"/>
  <c r="L599" i="6"/>
  <c r="J83" i="6"/>
  <c r="K83" i="6" s="1"/>
  <c r="L83" i="6"/>
  <c r="J545" i="6"/>
  <c r="K545" i="6" s="1"/>
  <c r="L545" i="6"/>
  <c r="J269" i="6"/>
  <c r="K269" i="6" s="1"/>
  <c r="L269" i="6"/>
  <c r="O269" i="6" s="1"/>
  <c r="P269" i="6" s="1"/>
  <c r="J254" i="6"/>
  <c r="K254" i="6" s="1"/>
  <c r="L254" i="6"/>
  <c r="J931" i="6"/>
  <c r="K931" i="6" s="1"/>
  <c r="L931" i="6"/>
  <c r="O931" i="6" s="1"/>
  <c r="P931" i="6" s="1"/>
  <c r="J341" i="6"/>
  <c r="K341" i="6" s="1"/>
  <c r="L341" i="6"/>
  <c r="O341" i="6" s="1"/>
  <c r="P341" i="6" s="1"/>
  <c r="J9" i="6"/>
  <c r="K9" i="6" s="1"/>
  <c r="L9" i="6"/>
  <c r="J226" i="6"/>
  <c r="K226" i="6" s="1"/>
  <c r="L226" i="6"/>
  <c r="O226" i="6" s="1"/>
  <c r="P226" i="6" s="1"/>
  <c r="J253" i="6"/>
  <c r="K253" i="6" s="1"/>
  <c r="L253" i="6"/>
  <c r="J808" i="6"/>
  <c r="K808" i="6" s="1"/>
  <c r="L808" i="6"/>
  <c r="J730" i="6"/>
  <c r="K730" i="6" s="1"/>
  <c r="L730" i="6"/>
  <c r="O730" i="6" s="1"/>
  <c r="P730" i="6" s="1"/>
  <c r="J869" i="6"/>
  <c r="K869" i="6" s="1"/>
  <c r="L869" i="6"/>
  <c r="O869" i="6" s="1"/>
  <c r="P869" i="6" s="1"/>
  <c r="J574" i="6"/>
  <c r="K574" i="6" s="1"/>
  <c r="L574" i="6"/>
  <c r="O574" i="6" s="1"/>
  <c r="P574" i="6" s="1"/>
  <c r="J290" i="6"/>
  <c r="K290" i="6" s="1"/>
  <c r="L290" i="6"/>
  <c r="J89" i="6"/>
  <c r="K89" i="6" s="1"/>
  <c r="L89" i="6"/>
  <c r="O89" i="6" s="1"/>
  <c r="P89" i="6" s="1"/>
  <c r="J183" i="6"/>
  <c r="K183" i="6" s="1"/>
  <c r="L183" i="6"/>
  <c r="J1069" i="6"/>
  <c r="K1069" i="6" s="1"/>
  <c r="L1069" i="6"/>
  <c r="J29" i="6"/>
  <c r="K29" i="6" s="1"/>
  <c r="L29" i="6"/>
  <c r="O29" i="6" s="1"/>
  <c r="P29" i="6" s="1"/>
  <c r="J344" i="6"/>
  <c r="K344" i="6" s="1"/>
  <c r="L344" i="6"/>
  <c r="O344" i="6" s="1"/>
  <c r="P344" i="6" s="1"/>
  <c r="J129" i="6"/>
  <c r="K129" i="6" s="1"/>
  <c r="L129" i="6"/>
  <c r="O129" i="6" s="1"/>
  <c r="P129" i="6" s="1"/>
  <c r="J5" i="6"/>
  <c r="K5" i="6" s="1"/>
  <c r="L5" i="6"/>
  <c r="J719" i="6"/>
  <c r="K719" i="6" s="1"/>
  <c r="L719" i="6"/>
  <c r="O719" i="6" s="1"/>
  <c r="P719" i="6" s="1"/>
  <c r="J733" i="6"/>
  <c r="K733" i="6" s="1"/>
  <c r="L733" i="6"/>
  <c r="J757" i="6"/>
  <c r="K757" i="6" s="1"/>
  <c r="L757" i="6"/>
  <c r="J940" i="6"/>
  <c r="K940" i="6" s="1"/>
  <c r="L940" i="6"/>
  <c r="J889" i="6"/>
  <c r="K889" i="6" s="1"/>
  <c r="L889" i="6"/>
  <c r="J56" i="6"/>
  <c r="K56" i="6" s="1"/>
  <c r="L56" i="6"/>
  <c r="J474" i="6"/>
  <c r="K474" i="6" s="1"/>
  <c r="L474" i="6"/>
  <c r="O474" i="6" s="1"/>
  <c r="P474" i="6" s="1"/>
  <c r="J107" i="6"/>
  <c r="K107" i="6" s="1"/>
  <c r="L107" i="6"/>
  <c r="O107" i="6" s="1"/>
  <c r="P107" i="6" s="1"/>
  <c r="J17" i="6"/>
  <c r="K17" i="6" s="1"/>
  <c r="L17" i="6"/>
  <c r="O17" i="6" s="1"/>
  <c r="P17" i="6" s="1"/>
  <c r="J1009" i="6"/>
  <c r="K1009" i="6" s="1"/>
  <c r="L1009" i="6"/>
  <c r="J864" i="6"/>
  <c r="K864" i="6" s="1"/>
  <c r="L864" i="6"/>
  <c r="O864" i="6" s="1"/>
  <c r="P864" i="6" s="1"/>
  <c r="J629" i="6"/>
  <c r="K629" i="6" s="1"/>
  <c r="L629" i="6"/>
  <c r="J237" i="6"/>
  <c r="K237" i="6" s="1"/>
  <c r="L237" i="6"/>
  <c r="J744" i="6"/>
  <c r="K744" i="6" s="1"/>
  <c r="L744" i="6"/>
  <c r="O744" i="6" s="1"/>
  <c r="P744" i="6" s="1"/>
  <c r="J39" i="6"/>
  <c r="K39" i="6" s="1"/>
  <c r="L39" i="6"/>
  <c r="J517" i="6"/>
  <c r="K517" i="6" s="1"/>
  <c r="L517" i="6"/>
  <c r="O517" i="6" s="1"/>
  <c r="P517" i="6" s="1"/>
  <c r="J484" i="6"/>
  <c r="K484" i="6" s="1"/>
  <c r="L484" i="6"/>
  <c r="J218" i="6"/>
  <c r="K218" i="6" s="1"/>
  <c r="L218" i="6"/>
  <c r="J540" i="6"/>
  <c r="K540" i="6" s="1"/>
  <c r="L540" i="6"/>
  <c r="O540" i="6" s="1"/>
  <c r="P540" i="6" s="1"/>
  <c r="J761" i="6"/>
  <c r="K761" i="6" s="1"/>
  <c r="L761" i="6"/>
  <c r="J263" i="6"/>
  <c r="K263" i="6" s="1"/>
  <c r="L263" i="6"/>
  <c r="J1073" i="6"/>
  <c r="K1073" i="6" s="1"/>
  <c r="L1073" i="6"/>
  <c r="O1073" i="6" s="1"/>
  <c r="P1073" i="6" s="1"/>
  <c r="J300" i="6"/>
  <c r="K300" i="6" s="1"/>
  <c r="L300" i="6"/>
  <c r="J680" i="6"/>
  <c r="K680" i="6" s="1"/>
  <c r="L680" i="6"/>
  <c r="O680" i="6" s="1"/>
  <c r="P680" i="6" s="1"/>
  <c r="J214" i="6"/>
  <c r="K214" i="6" s="1"/>
  <c r="L214" i="6"/>
  <c r="J192" i="6"/>
  <c r="K192" i="6" s="1"/>
  <c r="L192" i="6"/>
  <c r="J728" i="6"/>
  <c r="K728" i="6" s="1"/>
  <c r="L728" i="6"/>
  <c r="O728" i="6" s="1"/>
  <c r="P728" i="6" s="1"/>
  <c r="J698" i="6"/>
  <c r="K698" i="6" s="1"/>
  <c r="L698" i="6"/>
  <c r="O698" i="6" s="1"/>
  <c r="P698" i="6" s="1"/>
  <c r="J524" i="6"/>
  <c r="K524" i="6" s="1"/>
  <c r="L524" i="6"/>
  <c r="J289" i="6"/>
  <c r="K289" i="6" s="1"/>
  <c r="L289" i="6"/>
  <c r="J490" i="6"/>
  <c r="K490" i="6" s="1"/>
  <c r="L490" i="6"/>
  <c r="O490" i="6" s="1"/>
  <c r="P490" i="6" s="1"/>
  <c r="J619" i="6"/>
  <c r="K619" i="6" s="1"/>
  <c r="L619" i="6"/>
  <c r="O619" i="6" s="1"/>
  <c r="P619" i="6" s="1"/>
  <c r="J149" i="6"/>
  <c r="K149" i="6" s="1"/>
  <c r="L149" i="6"/>
  <c r="J69" i="6"/>
  <c r="K69" i="6" s="1"/>
  <c r="L69" i="6"/>
  <c r="O69" i="6" s="1"/>
  <c r="P69" i="6" s="1"/>
  <c r="J224" i="6"/>
  <c r="K224" i="6" s="1"/>
  <c r="L224" i="6"/>
  <c r="J451" i="6"/>
  <c r="K451" i="6" s="1"/>
  <c r="L451" i="6"/>
  <c r="J13" i="6"/>
  <c r="K13" i="6" s="1"/>
  <c r="L13" i="6"/>
  <c r="J844" i="6"/>
  <c r="K844" i="6" s="1"/>
  <c r="L844" i="6"/>
  <c r="J367" i="6"/>
  <c r="K367" i="6" s="1"/>
  <c r="L367" i="6"/>
  <c r="J857" i="6"/>
  <c r="K857" i="6" s="1"/>
  <c r="L857" i="6"/>
  <c r="O857" i="6" s="1"/>
  <c r="P857" i="6" s="1"/>
  <c r="J241" i="6"/>
  <c r="K241" i="6" s="1"/>
  <c r="L241" i="6"/>
  <c r="O241" i="6" s="1"/>
  <c r="P241" i="6" s="1"/>
  <c r="J405" i="6"/>
  <c r="K405" i="6" s="1"/>
  <c r="L405" i="6"/>
  <c r="O405" i="6" s="1"/>
  <c r="P405" i="6" s="1"/>
  <c r="J459" i="6"/>
  <c r="K459" i="6" s="1"/>
  <c r="L459" i="6"/>
  <c r="J713" i="6"/>
  <c r="K713" i="6" s="1"/>
  <c r="L713" i="6"/>
  <c r="O713" i="6" s="1"/>
  <c r="P713" i="6" s="1"/>
  <c r="J702" i="6"/>
  <c r="K702" i="6" s="1"/>
  <c r="L702" i="6"/>
  <c r="J603" i="6"/>
  <c r="K603" i="6" s="1"/>
  <c r="L603" i="6"/>
  <c r="J551" i="6"/>
  <c r="K551" i="6" s="1"/>
  <c r="L551" i="6"/>
  <c r="J139" i="6"/>
  <c r="K139" i="6" s="1"/>
  <c r="L139" i="6"/>
  <c r="J501" i="6"/>
  <c r="K501" i="6" s="1"/>
  <c r="L501" i="6"/>
  <c r="J36" i="6"/>
  <c r="K36" i="6" s="1"/>
  <c r="L36" i="6"/>
  <c r="O36" i="6" s="1"/>
  <c r="P36" i="6" s="1"/>
  <c r="J738" i="6"/>
  <c r="K738" i="6" s="1"/>
  <c r="L738" i="6"/>
  <c r="O738" i="6" s="1"/>
  <c r="P738" i="6" s="1"/>
  <c r="J1043" i="6"/>
  <c r="K1043" i="6" s="1"/>
  <c r="L1043" i="6"/>
  <c r="J113" i="6"/>
  <c r="K113" i="6" s="1"/>
  <c r="L113" i="6"/>
  <c r="J285" i="6"/>
  <c r="K285" i="6" s="1"/>
  <c r="L285" i="6"/>
  <c r="J549" i="6"/>
  <c r="K549" i="6" s="1"/>
  <c r="L549" i="6"/>
  <c r="J784" i="6"/>
  <c r="K784" i="6" s="1"/>
  <c r="L784" i="6"/>
  <c r="O784" i="6" s="1"/>
  <c r="P784" i="6" s="1"/>
  <c r="J827" i="6"/>
  <c r="K827" i="6" s="1"/>
  <c r="L827" i="6"/>
  <c r="O827" i="6" s="1"/>
  <c r="P827" i="6" s="1"/>
  <c r="J331" i="6"/>
  <c r="K331" i="6" s="1"/>
  <c r="L331" i="6"/>
  <c r="O331" i="6" s="1"/>
  <c r="P331" i="6" s="1"/>
  <c r="J431" i="6"/>
  <c r="K431" i="6" s="1"/>
  <c r="L431" i="6"/>
  <c r="J1000" i="6"/>
  <c r="K1000" i="6" s="1"/>
  <c r="L1000" i="6"/>
  <c r="J211" i="6"/>
  <c r="K211" i="6" s="1"/>
  <c r="L211" i="6"/>
  <c r="O211" i="6" s="1"/>
  <c r="P211" i="6" s="1"/>
  <c r="J984" i="6"/>
  <c r="K984" i="6" s="1"/>
  <c r="L984" i="6"/>
  <c r="J536" i="6"/>
  <c r="K536" i="6" s="1"/>
  <c r="L536" i="6"/>
  <c r="O536" i="6" s="1"/>
  <c r="P536" i="6" s="1"/>
  <c r="J286" i="6"/>
  <c r="K286" i="6" s="1"/>
  <c r="L286" i="6"/>
  <c r="O286" i="6" s="1"/>
  <c r="P286" i="6" s="1"/>
  <c r="J516" i="6"/>
  <c r="K516" i="6" s="1"/>
  <c r="L516" i="6"/>
  <c r="J783" i="6"/>
  <c r="K783" i="6" s="1"/>
  <c r="L783" i="6"/>
  <c r="O783" i="6" s="1"/>
  <c r="P783" i="6" s="1"/>
  <c r="J146" i="6"/>
  <c r="K146" i="6" s="1"/>
  <c r="L146" i="6"/>
  <c r="O146" i="6" s="1"/>
  <c r="P146" i="6" s="1"/>
  <c r="J156" i="6"/>
  <c r="K156" i="6" s="1"/>
  <c r="L156" i="6"/>
  <c r="J245" i="6"/>
  <c r="K245" i="6" s="1"/>
  <c r="L245" i="6"/>
  <c r="O245" i="6" s="1"/>
  <c r="P245" i="6" s="1"/>
  <c r="J45" i="6"/>
  <c r="K45" i="6" s="1"/>
  <c r="L45" i="6"/>
  <c r="O45" i="6" s="1"/>
  <c r="P45" i="6" s="1"/>
  <c r="J330" i="6"/>
  <c r="K330" i="6" s="1"/>
  <c r="L330" i="6"/>
  <c r="O330" i="6" s="1"/>
  <c r="P330" i="6" s="1"/>
  <c r="J528" i="6"/>
  <c r="K528" i="6" s="1"/>
  <c r="L528" i="6"/>
  <c r="J193" i="6"/>
  <c r="K193" i="6" s="1"/>
  <c r="L193" i="6"/>
  <c r="J885" i="6"/>
  <c r="K885" i="6" s="1"/>
  <c r="L885" i="6"/>
  <c r="J860" i="6"/>
  <c r="K860" i="6" s="1"/>
  <c r="L860" i="6"/>
  <c r="O860" i="6" s="1"/>
  <c r="P860" i="6" s="1"/>
  <c r="J353" i="6"/>
  <c r="K353" i="6" s="1"/>
  <c r="L353" i="6"/>
  <c r="O353" i="6" s="1"/>
  <c r="P353" i="6" s="1"/>
  <c r="J165" i="6"/>
  <c r="K165" i="6" s="1"/>
  <c r="L165" i="6"/>
  <c r="O165" i="6" s="1"/>
  <c r="P165" i="6" s="1"/>
  <c r="J110" i="6"/>
  <c r="K110" i="6" s="1"/>
  <c r="L110" i="6"/>
  <c r="O110" i="6" s="1"/>
  <c r="P110" i="6" s="1"/>
  <c r="J1007" i="6"/>
  <c r="K1007" i="6" s="1"/>
  <c r="L1007" i="6"/>
  <c r="J697" i="6"/>
  <c r="K697" i="6" s="1"/>
  <c r="L697" i="6"/>
  <c r="J660" i="6"/>
  <c r="K660" i="6" s="1"/>
  <c r="L660" i="6"/>
  <c r="O660" i="6" s="1"/>
  <c r="P660" i="6" s="1"/>
  <c r="J103" i="6"/>
  <c r="K103" i="6" s="1"/>
  <c r="L103" i="6"/>
  <c r="J284" i="6"/>
  <c r="K284" i="6" s="1"/>
  <c r="L284" i="6"/>
  <c r="J651" i="6"/>
  <c r="K651" i="6" s="1"/>
  <c r="L651" i="6"/>
  <c r="J771" i="6"/>
  <c r="K771" i="6" s="1"/>
  <c r="L771" i="6"/>
  <c r="J964" i="6"/>
  <c r="K964" i="6" s="1"/>
  <c r="L964" i="6"/>
  <c r="O964" i="6" s="1"/>
  <c r="P964" i="6" s="1"/>
  <c r="J8" i="6"/>
  <c r="K8" i="6" s="1"/>
  <c r="L8" i="6"/>
  <c r="O8" i="6" s="1"/>
  <c r="P8" i="6" s="1"/>
  <c r="J945" i="6"/>
  <c r="K945" i="6" s="1"/>
  <c r="L945" i="6"/>
  <c r="O945" i="6" s="1"/>
  <c r="P945" i="6" s="1"/>
  <c r="J114" i="6"/>
  <c r="K114" i="6" s="1"/>
  <c r="L114" i="6"/>
  <c r="O114" i="6" s="1"/>
  <c r="P114" i="6" s="1"/>
  <c r="J388" i="6"/>
  <c r="K388" i="6" s="1"/>
  <c r="L388" i="6"/>
  <c r="O388" i="6" s="1"/>
  <c r="P388" i="6" s="1"/>
  <c r="J753" i="6"/>
  <c r="K753" i="6" s="1"/>
  <c r="L753" i="6"/>
  <c r="O753" i="6" s="1"/>
  <c r="P753" i="6" s="1"/>
  <c r="J343" i="6"/>
  <c r="K343" i="6" s="1"/>
  <c r="L343" i="6"/>
  <c r="O343" i="6" s="1"/>
  <c r="P343" i="6" s="1"/>
  <c r="J1057" i="6"/>
  <c r="K1057" i="6" s="1"/>
  <c r="L1057" i="6"/>
  <c r="O1057" i="6" s="1"/>
  <c r="P1057" i="6" s="1"/>
  <c r="J397" i="6"/>
  <c r="K397" i="6" s="1"/>
  <c r="L397" i="6"/>
  <c r="J731" i="6"/>
  <c r="K731" i="6" s="1"/>
  <c r="L731" i="6"/>
  <c r="J903" i="6"/>
  <c r="K903" i="6" s="1"/>
  <c r="L903" i="6"/>
  <c r="O903" i="6" s="1"/>
  <c r="P903" i="6" s="1"/>
  <c r="J78" i="6"/>
  <c r="K78" i="6" s="1"/>
  <c r="L78" i="6"/>
  <c r="J558" i="6"/>
  <c r="K558" i="6" s="1"/>
  <c r="L558" i="6"/>
  <c r="J1075" i="6"/>
  <c r="K1075" i="6" s="1"/>
  <c r="L1075" i="6"/>
  <c r="O1075" i="6" s="1"/>
  <c r="P1075" i="6" s="1"/>
  <c r="J1059" i="6"/>
  <c r="K1059" i="6" s="1"/>
  <c r="L1059" i="6"/>
  <c r="J44" i="6"/>
  <c r="K44" i="6" s="1"/>
  <c r="L44" i="6"/>
  <c r="O44" i="6" s="1"/>
  <c r="P44" i="6" s="1"/>
  <c r="J959" i="6"/>
  <c r="K959" i="6" s="1"/>
  <c r="L959" i="6"/>
  <c r="O959" i="6" s="1"/>
  <c r="P959" i="6" s="1"/>
  <c r="J581" i="6"/>
  <c r="K581" i="6" s="1"/>
  <c r="L581" i="6"/>
  <c r="J386" i="6"/>
  <c r="K386" i="6" s="1"/>
  <c r="L386" i="6"/>
  <c r="O386" i="6" s="1"/>
  <c r="P386" i="6" s="1"/>
  <c r="J376" i="6"/>
  <c r="K376" i="6" s="1"/>
  <c r="L376" i="6"/>
  <c r="O376" i="6" s="1"/>
  <c r="P376" i="6" s="1"/>
  <c r="J172" i="6"/>
  <c r="K172" i="6" s="1"/>
  <c r="L172" i="6"/>
  <c r="O172" i="6" s="1"/>
  <c r="P172" i="6" s="1"/>
  <c r="J339" i="6"/>
  <c r="K339" i="6" s="1"/>
  <c r="L339" i="6"/>
  <c r="O339" i="6" s="1"/>
  <c r="P339" i="6" s="1"/>
  <c r="J1048" i="6"/>
  <c r="K1048" i="6" s="1"/>
  <c r="L1048" i="6"/>
  <c r="O1048" i="6" s="1"/>
  <c r="P1048" i="6" s="1"/>
  <c r="J42" i="6"/>
  <c r="K42" i="6" s="1"/>
  <c r="L42" i="6"/>
  <c r="J303" i="6"/>
  <c r="K303" i="6" s="1"/>
  <c r="L303" i="6"/>
  <c r="O303" i="6" s="1"/>
  <c r="P303" i="6" s="1"/>
  <c r="J767" i="6"/>
  <c r="K767" i="6" s="1"/>
  <c r="L767" i="6"/>
  <c r="J471" i="6"/>
  <c r="K471" i="6" s="1"/>
  <c r="L471" i="6"/>
  <c r="O471" i="6" s="1"/>
  <c r="P471" i="6" s="1"/>
  <c r="J605" i="6"/>
  <c r="K605" i="6" s="1"/>
  <c r="L605" i="6"/>
  <c r="J589" i="6"/>
  <c r="K589" i="6" s="1"/>
  <c r="L589" i="6"/>
  <c r="J99" i="6"/>
  <c r="K99" i="6" s="1"/>
  <c r="L99" i="6"/>
  <c r="J302" i="6"/>
  <c r="K302" i="6" s="1"/>
  <c r="L302" i="6"/>
  <c r="O302" i="6" s="1"/>
  <c r="P302" i="6" s="1"/>
  <c r="J359" i="6"/>
  <c r="K359" i="6" s="1"/>
  <c r="L359" i="6"/>
  <c r="J1071" i="6"/>
  <c r="K1071" i="6" s="1"/>
  <c r="L1071" i="6"/>
  <c r="J580" i="6"/>
  <c r="K580" i="6" s="1"/>
  <c r="L580" i="6"/>
  <c r="J904" i="6"/>
  <c r="K904" i="6" s="1"/>
  <c r="L904" i="6"/>
  <c r="J277" i="6"/>
  <c r="K277" i="6" s="1"/>
  <c r="L277" i="6"/>
  <c r="J508" i="6"/>
  <c r="K508" i="6" s="1"/>
  <c r="L508" i="6"/>
  <c r="O508" i="6" s="1"/>
  <c r="P508" i="6" s="1"/>
  <c r="J547" i="6"/>
  <c r="K547" i="6" s="1"/>
  <c r="L547" i="6"/>
  <c r="J271" i="6"/>
  <c r="K271" i="6" s="1"/>
  <c r="L271" i="6"/>
  <c r="J350" i="6"/>
  <c r="K350" i="6" s="1"/>
  <c r="L350" i="6"/>
  <c r="J658" i="6"/>
  <c r="K658" i="6" s="1"/>
  <c r="L658" i="6"/>
  <c r="J452" i="6"/>
  <c r="K452" i="6" s="1"/>
  <c r="L452" i="6"/>
  <c r="J420" i="6"/>
  <c r="K420" i="6" s="1"/>
  <c r="L420" i="6"/>
  <c r="J61" i="6"/>
  <c r="K61" i="6" s="1"/>
  <c r="L61" i="6"/>
  <c r="J595" i="6"/>
  <c r="K595" i="6" s="1"/>
  <c r="L595" i="6"/>
  <c r="O595" i="6" s="1"/>
  <c r="P595" i="6" s="1"/>
  <c r="J73" i="6"/>
  <c r="K73" i="6" s="1"/>
  <c r="L73" i="6"/>
  <c r="O73" i="6" s="1"/>
  <c r="P73" i="6" s="1"/>
  <c r="J557" i="6"/>
  <c r="K557" i="6" s="1"/>
  <c r="L557" i="6"/>
  <c r="J1016" i="6"/>
  <c r="K1016" i="6" s="1"/>
  <c r="L1016" i="6"/>
  <c r="J249" i="6"/>
  <c r="K249" i="6" s="1"/>
  <c r="L249" i="6"/>
  <c r="O249" i="6" s="1"/>
  <c r="P249" i="6" s="1"/>
  <c r="J296" i="6"/>
  <c r="K296" i="6" s="1"/>
  <c r="L296" i="6"/>
  <c r="J837" i="6"/>
  <c r="K837" i="6" s="1"/>
  <c r="L837" i="6"/>
  <c r="O837" i="6" s="1"/>
  <c r="P837" i="6" s="1"/>
  <c r="J417" i="6"/>
  <c r="K417" i="6" s="1"/>
  <c r="L417" i="6"/>
  <c r="J875" i="6"/>
  <c r="K875" i="6" s="1"/>
  <c r="L875" i="6"/>
  <c r="J762" i="6"/>
  <c r="K762" i="6" s="1"/>
  <c r="L762" i="6"/>
  <c r="J159" i="6"/>
  <c r="K159" i="6" s="1"/>
  <c r="L159" i="6"/>
  <c r="O159" i="6" s="1"/>
  <c r="P159" i="6" s="1"/>
  <c r="J358" i="6"/>
  <c r="K358" i="6" s="1"/>
  <c r="L358" i="6"/>
  <c r="J936" i="6"/>
  <c r="K936" i="6" s="1"/>
  <c r="L936" i="6"/>
  <c r="O936" i="6" s="1"/>
  <c r="P936" i="6" s="1"/>
  <c r="J711" i="6"/>
  <c r="K711" i="6" s="1"/>
  <c r="L711" i="6"/>
  <c r="O711" i="6" s="1"/>
  <c r="P711" i="6" s="1"/>
  <c r="J725" i="6"/>
  <c r="K725" i="6" s="1"/>
  <c r="L725" i="6"/>
  <c r="J729" i="6"/>
  <c r="K729" i="6" s="1"/>
  <c r="L729" i="6"/>
  <c r="J1017" i="6"/>
  <c r="K1017" i="6" s="1"/>
  <c r="L1017" i="6"/>
  <c r="O1017" i="6" s="1"/>
  <c r="P1017" i="6" s="1"/>
  <c r="J515" i="6"/>
  <c r="K515" i="6" s="1"/>
  <c r="L515" i="6"/>
  <c r="J538" i="6"/>
  <c r="K538" i="6" s="1"/>
  <c r="L538" i="6"/>
  <c r="J190" i="6"/>
  <c r="K190" i="6" s="1"/>
  <c r="L190" i="6"/>
  <c r="O190" i="6" s="1"/>
  <c r="P190" i="6" s="1"/>
  <c r="J342" i="6"/>
  <c r="K342" i="6" s="1"/>
  <c r="L342" i="6"/>
  <c r="O342" i="6" s="1"/>
  <c r="P342" i="6" s="1"/>
  <c r="J590" i="6"/>
  <c r="K590" i="6" s="1"/>
  <c r="L590" i="6"/>
  <c r="O590" i="6" s="1"/>
  <c r="P590" i="6" s="1"/>
  <c r="J953" i="6"/>
  <c r="K953" i="6" s="1"/>
  <c r="L953" i="6"/>
  <c r="J657" i="6"/>
  <c r="K657" i="6" s="1"/>
  <c r="L657" i="6"/>
  <c r="J821" i="6"/>
  <c r="K821" i="6" s="1"/>
  <c r="L821" i="6"/>
  <c r="O821" i="6" s="1"/>
  <c r="P821" i="6" s="1"/>
  <c r="J436" i="6"/>
  <c r="K436" i="6" s="1"/>
  <c r="L436" i="6"/>
  <c r="O436" i="6" s="1"/>
  <c r="P436" i="6" s="1"/>
  <c r="J666" i="6"/>
  <c r="K666" i="6" s="1"/>
  <c r="L666" i="6"/>
  <c r="J257" i="6"/>
  <c r="K257" i="6" s="1"/>
  <c r="L257" i="6"/>
  <c r="J293" i="6"/>
  <c r="K293" i="6" s="1"/>
  <c r="L293" i="6"/>
  <c r="J435" i="6"/>
  <c r="K435" i="6" s="1"/>
  <c r="L435" i="6"/>
  <c r="O435" i="6" s="1"/>
  <c r="P435" i="6" s="1"/>
  <c r="J663" i="6"/>
  <c r="K663" i="6" s="1"/>
  <c r="L663" i="6"/>
  <c r="J1003" i="6"/>
  <c r="K1003" i="6" s="1"/>
  <c r="L1003" i="6"/>
  <c r="O1003" i="6" s="1"/>
  <c r="P1003" i="6" s="1"/>
  <c r="J430" i="6"/>
  <c r="K430" i="6" s="1"/>
  <c r="L430" i="6"/>
  <c r="J7" i="6"/>
  <c r="K7" i="6" s="1"/>
  <c r="L7" i="6"/>
  <c r="O7" i="6" s="1"/>
  <c r="P7" i="6" s="1"/>
  <c r="J509" i="6"/>
  <c r="K509" i="6" s="1"/>
  <c r="L509" i="6"/>
  <c r="J298" i="6"/>
  <c r="K298" i="6" s="1"/>
  <c r="L298" i="6"/>
  <c r="O298" i="6" s="1"/>
  <c r="P298" i="6" s="1"/>
  <c r="J132" i="6"/>
  <c r="K132" i="6" s="1"/>
  <c r="L132" i="6"/>
  <c r="J63" i="6"/>
  <c r="K63" i="6" s="1"/>
  <c r="L63" i="6"/>
  <c r="J415" i="6"/>
  <c r="K415" i="6" s="1"/>
  <c r="L415" i="6"/>
  <c r="J793" i="6"/>
  <c r="K793" i="6" s="1"/>
  <c r="L793" i="6"/>
  <c r="J685" i="6"/>
  <c r="K685" i="6" s="1"/>
  <c r="L685" i="6"/>
  <c r="J819" i="6"/>
  <c r="K819" i="6" s="1"/>
  <c r="L819" i="6"/>
  <c r="O819" i="6" s="1"/>
  <c r="P819" i="6" s="1"/>
  <c r="J379" i="6"/>
  <c r="K379" i="6" s="1"/>
  <c r="L379" i="6"/>
  <c r="J442" i="6"/>
  <c r="K442" i="6" s="1"/>
  <c r="L442" i="6"/>
  <c r="O442" i="6" s="1"/>
  <c r="P442" i="6" s="1"/>
  <c r="J1065" i="6"/>
  <c r="K1065" i="6" s="1"/>
  <c r="L1065" i="6"/>
  <c r="J843" i="6"/>
  <c r="K843" i="6" s="1"/>
  <c r="L843" i="6"/>
  <c r="O843" i="6" s="1"/>
  <c r="P843" i="6" s="1"/>
  <c r="J983" i="6"/>
  <c r="K983" i="6" s="1"/>
  <c r="L983" i="6"/>
  <c r="J755" i="6"/>
  <c r="K755" i="6" s="1"/>
  <c r="L755" i="6"/>
  <c r="J694" i="6"/>
  <c r="K694" i="6" s="1"/>
  <c r="L694" i="6"/>
  <c r="O694" i="6" s="1"/>
  <c r="P694" i="6" s="1"/>
  <c r="J337" i="6"/>
  <c r="K337" i="6" s="1"/>
  <c r="L337" i="6"/>
  <c r="O337" i="6" s="1"/>
  <c r="P337" i="6" s="1"/>
  <c r="J539" i="6"/>
  <c r="K539" i="6" s="1"/>
  <c r="L539" i="6"/>
  <c r="J265" i="6"/>
  <c r="K265" i="6" s="1"/>
  <c r="L265" i="6"/>
  <c r="J623" i="6"/>
  <c r="K623" i="6" s="1"/>
  <c r="L623" i="6"/>
  <c r="J668" i="6"/>
  <c r="K668" i="6" s="1"/>
  <c r="L668" i="6"/>
  <c r="O668" i="6" s="1"/>
  <c r="P668" i="6" s="1"/>
  <c r="J674" i="6"/>
  <c r="K674" i="6" s="1"/>
  <c r="L674" i="6"/>
  <c r="J867" i="6"/>
  <c r="K867" i="6" s="1"/>
  <c r="L867" i="6"/>
  <c r="O867" i="6" s="1"/>
  <c r="P867" i="6" s="1"/>
  <c r="J439" i="6"/>
  <c r="K439" i="6" s="1"/>
  <c r="L439" i="6"/>
  <c r="J434" i="6"/>
  <c r="K434" i="6" s="1"/>
  <c r="L434" i="6"/>
  <c r="O434" i="6" s="1"/>
  <c r="P434" i="6" s="1"/>
  <c r="J365" i="6"/>
  <c r="K365" i="6" s="1"/>
  <c r="L365" i="6"/>
  <c r="J278" i="6"/>
  <c r="K278" i="6" s="1"/>
  <c r="L278" i="6"/>
  <c r="J498" i="6"/>
  <c r="K498" i="6" s="1"/>
  <c r="L498" i="6"/>
  <c r="O498" i="6" s="1"/>
  <c r="P498" i="6" s="1"/>
  <c r="J16" i="6"/>
  <c r="K16" i="6" s="1"/>
  <c r="L16" i="6"/>
  <c r="O16" i="6" s="1"/>
  <c r="P16" i="6" s="1"/>
  <c r="J426" i="6"/>
  <c r="K426" i="6" s="1"/>
  <c r="L426" i="6"/>
  <c r="O426" i="6" s="1"/>
  <c r="P426" i="6" s="1"/>
  <c r="J817" i="6"/>
  <c r="K817" i="6" s="1"/>
  <c r="L817" i="6"/>
  <c r="O817" i="6" s="1"/>
  <c r="P817" i="6" s="1"/>
  <c r="J801" i="6"/>
  <c r="K801" i="6" s="1"/>
  <c r="L801" i="6"/>
  <c r="O801" i="6" s="1"/>
  <c r="P801" i="6" s="1"/>
  <c r="J81" i="6"/>
  <c r="K81" i="6" s="1"/>
  <c r="L81" i="6"/>
  <c r="O81" i="6" s="1"/>
  <c r="P81" i="6" s="1"/>
  <c r="J157" i="6"/>
  <c r="K157" i="6" s="1"/>
  <c r="L157" i="6"/>
  <c r="O157" i="6" s="1"/>
  <c r="P157" i="6" s="1"/>
  <c r="J267" i="6"/>
  <c r="K267" i="6" s="1"/>
  <c r="L267" i="6"/>
  <c r="O267" i="6" s="1"/>
  <c r="P267" i="6" s="1"/>
  <c r="J571" i="6"/>
  <c r="K571" i="6" s="1"/>
  <c r="L571" i="6"/>
  <c r="O571" i="6" s="1"/>
  <c r="P571" i="6" s="1"/>
  <c r="J597" i="6"/>
  <c r="K597" i="6" s="1"/>
  <c r="L597" i="6"/>
  <c r="J816" i="6"/>
  <c r="K816" i="6" s="1"/>
  <c r="L816" i="6"/>
  <c r="O816" i="6" s="1"/>
  <c r="P816" i="6" s="1"/>
  <c r="J709" i="6"/>
  <c r="K709" i="6" s="1"/>
  <c r="L709" i="6"/>
  <c r="O709" i="6" s="1"/>
  <c r="P709" i="6" s="1"/>
  <c r="J583" i="6"/>
  <c r="K583" i="6" s="1"/>
  <c r="L583" i="6"/>
  <c r="J259" i="6"/>
  <c r="K259" i="6" s="1"/>
  <c r="L259" i="6"/>
  <c r="O259" i="6" s="1"/>
  <c r="P259" i="6" s="1"/>
  <c r="J49" i="6"/>
  <c r="K49" i="6" s="1"/>
  <c r="L49" i="6"/>
  <c r="O49" i="6" s="1"/>
  <c r="P49" i="6" s="1"/>
  <c r="J1011" i="6"/>
  <c r="K1011" i="6" s="1"/>
  <c r="L1011" i="6"/>
  <c r="J449" i="6"/>
  <c r="K449" i="6" s="1"/>
  <c r="L449" i="6"/>
  <c r="J481" i="6"/>
  <c r="K481" i="6" s="1"/>
  <c r="L481" i="6"/>
  <c r="J421" i="6"/>
  <c r="K421" i="6" s="1"/>
  <c r="L421" i="6"/>
  <c r="J158" i="6"/>
  <c r="K158" i="6" s="1"/>
  <c r="L158" i="6"/>
  <c r="O158" i="6" s="1"/>
  <c r="P158" i="6" s="1"/>
  <c r="J693" i="6"/>
  <c r="K693" i="6" s="1"/>
  <c r="L693" i="6"/>
  <c r="O693" i="6" s="1"/>
  <c r="P693" i="6" s="1"/>
  <c r="J977" i="6"/>
  <c r="K977" i="6" s="1"/>
  <c r="L977" i="6"/>
  <c r="O977" i="6" s="1"/>
  <c r="P977" i="6" s="1"/>
  <c r="J155" i="6"/>
  <c r="K155" i="6" s="1"/>
  <c r="L155" i="6"/>
  <c r="J868" i="6"/>
  <c r="K868" i="6" s="1"/>
  <c r="L868" i="6"/>
  <c r="O868" i="6" s="1"/>
  <c r="P868" i="6" s="1"/>
  <c r="J312" i="6"/>
  <c r="K312" i="6" s="1"/>
  <c r="L312" i="6"/>
  <c r="J381" i="6"/>
  <c r="K381" i="6" s="1"/>
  <c r="L381" i="6"/>
  <c r="J765" i="6"/>
  <c r="K765" i="6" s="1"/>
  <c r="L765" i="6"/>
  <c r="O765" i="6" s="1"/>
  <c r="P765" i="6" s="1"/>
  <c r="J206" i="6"/>
  <c r="K206" i="6" s="1"/>
  <c r="L206" i="6"/>
  <c r="O206" i="6" s="1"/>
  <c r="P206" i="6" s="1"/>
  <c r="J939" i="6"/>
  <c r="K939" i="6" s="1"/>
  <c r="L939" i="6"/>
  <c r="J295" i="6"/>
  <c r="K295" i="6" s="1"/>
  <c r="L295" i="6"/>
  <c r="J1055" i="6"/>
  <c r="K1055" i="6" s="1"/>
  <c r="L1055" i="6"/>
  <c r="J68" i="6"/>
  <c r="K68" i="6" s="1"/>
  <c r="L68" i="6"/>
  <c r="O68" i="6" s="1"/>
  <c r="P68" i="6" s="1"/>
  <c r="J181" i="6"/>
  <c r="K181" i="6" s="1"/>
  <c r="L181" i="6"/>
  <c r="J928" i="6"/>
  <c r="K928" i="6" s="1"/>
  <c r="L928" i="6"/>
  <c r="O928" i="6" s="1"/>
  <c r="P928" i="6" s="1"/>
  <c r="J667" i="6"/>
  <c r="K667" i="6" s="1"/>
  <c r="L667" i="6"/>
  <c r="O667" i="6" s="1"/>
  <c r="P667" i="6" s="1"/>
  <c r="J336" i="6"/>
  <c r="K336" i="6" s="1"/>
  <c r="L336" i="6"/>
  <c r="O336" i="6" s="1"/>
  <c r="P336" i="6" s="1"/>
  <c r="J577" i="6"/>
  <c r="K577" i="6" s="1"/>
  <c r="L577" i="6"/>
  <c r="O577" i="6" s="1"/>
  <c r="P577" i="6" s="1"/>
  <c r="J832" i="6"/>
  <c r="K832" i="6" s="1"/>
  <c r="L832" i="6"/>
  <c r="J491" i="6"/>
  <c r="K491" i="6" s="1"/>
  <c r="L491" i="6"/>
  <c r="O491" i="6" s="1"/>
  <c r="P491" i="6" s="1"/>
  <c r="J396" i="6"/>
  <c r="K396" i="6" s="1"/>
  <c r="L396" i="6"/>
  <c r="O396" i="6" s="1"/>
  <c r="P396" i="6" s="1"/>
  <c r="J908" i="6"/>
  <c r="K908" i="6" s="1"/>
  <c r="L908" i="6"/>
  <c r="J188" i="6"/>
  <c r="K188" i="6" s="1"/>
  <c r="L188" i="6"/>
  <c r="O188" i="6" s="1"/>
  <c r="P188" i="6" s="1"/>
  <c r="J642" i="6"/>
  <c r="K642" i="6" s="1"/>
  <c r="L642" i="6"/>
  <c r="J6" i="6"/>
  <c r="K6" i="6" s="1"/>
  <c r="L6" i="6"/>
  <c r="O6" i="6" s="1"/>
  <c r="P6" i="6" s="1"/>
  <c r="J735" i="6"/>
  <c r="K735" i="6" s="1"/>
  <c r="L735" i="6"/>
  <c r="J328" i="6"/>
  <c r="K328" i="6" s="1"/>
  <c r="L328" i="6"/>
  <c r="O328" i="6" s="1"/>
  <c r="P328" i="6" s="1"/>
  <c r="J242" i="6"/>
  <c r="K242" i="6" s="1"/>
  <c r="L242" i="6"/>
  <c r="O242" i="6" s="1"/>
  <c r="P242" i="6" s="1"/>
  <c r="J915" i="6"/>
  <c r="K915" i="6" s="1"/>
  <c r="L915" i="6"/>
  <c r="O915" i="6" s="1"/>
  <c r="P915" i="6" s="1"/>
  <c r="J314" i="6"/>
  <c r="K314" i="6" s="1"/>
  <c r="L314" i="6"/>
  <c r="J1037" i="6"/>
  <c r="K1037" i="6" s="1"/>
  <c r="L1037" i="6"/>
  <c r="J541" i="6"/>
  <c r="K541" i="6" s="1"/>
  <c r="L541" i="6"/>
  <c r="J883" i="6"/>
  <c r="K883" i="6" s="1"/>
  <c r="L883" i="6"/>
  <c r="J173" i="6"/>
  <c r="K173" i="6" s="1"/>
  <c r="L173" i="6"/>
  <c r="O173" i="6" s="1"/>
  <c r="P173" i="6" s="1"/>
  <c r="J294" i="6"/>
  <c r="K294" i="6" s="1"/>
  <c r="L294" i="6"/>
  <c r="J502" i="6"/>
  <c r="K502" i="6" s="1"/>
  <c r="L502" i="6"/>
  <c r="J377" i="6"/>
  <c r="K377" i="6" s="1"/>
  <c r="L377" i="6"/>
  <c r="O377" i="6" s="1"/>
  <c r="P377" i="6" s="1"/>
  <c r="J522" i="6"/>
  <c r="K522" i="6" s="1"/>
  <c r="L522" i="6"/>
  <c r="J779" i="6"/>
  <c r="K779" i="6" s="1"/>
  <c r="L779" i="6"/>
  <c r="O779" i="6" s="1"/>
  <c r="P779" i="6" s="1"/>
  <c r="J171" i="6"/>
  <c r="K171" i="6" s="1"/>
  <c r="L171" i="6"/>
  <c r="J166" i="6"/>
  <c r="K166" i="6" s="1"/>
  <c r="L166" i="6"/>
  <c r="J448" i="6"/>
  <c r="K448" i="6" s="1"/>
  <c r="L448" i="6"/>
  <c r="J402" i="6"/>
  <c r="K402" i="6" s="1"/>
  <c r="L402" i="6"/>
  <c r="J47" i="6"/>
  <c r="K47" i="6" s="1"/>
  <c r="L47" i="6"/>
  <c r="J648" i="6"/>
  <c r="K648" i="6" s="1"/>
  <c r="L648" i="6"/>
  <c r="J840" i="6"/>
  <c r="K840" i="6" s="1"/>
  <c r="L840" i="6"/>
  <c r="O840" i="6" s="1"/>
  <c r="P840" i="6" s="1"/>
  <c r="J236" i="6"/>
  <c r="K236" i="6" s="1"/>
  <c r="L236" i="6"/>
  <c r="J585" i="6"/>
  <c r="K585" i="6" s="1"/>
  <c r="L585" i="6"/>
  <c r="O585" i="6" s="1"/>
  <c r="P585" i="6" s="1"/>
  <c r="J968" i="6"/>
  <c r="K968" i="6" s="1"/>
  <c r="L968" i="6"/>
  <c r="O968" i="6" s="1"/>
  <c r="P968" i="6" s="1"/>
  <c r="J746" i="6"/>
  <c r="K746" i="6" s="1"/>
  <c r="L746" i="6"/>
  <c r="J25" i="6"/>
  <c r="K25" i="6" s="1"/>
  <c r="L25" i="6"/>
  <c r="O25" i="6" s="1"/>
  <c r="P25" i="6" s="1"/>
  <c r="J781" i="6"/>
  <c r="K781" i="6" s="1"/>
  <c r="L781" i="6"/>
  <c r="O781" i="6" s="1"/>
  <c r="P781" i="6" s="1"/>
  <c r="J602" i="6"/>
  <c r="K602" i="6" s="1"/>
  <c r="L602" i="6"/>
  <c r="J500" i="6"/>
  <c r="K500" i="6" s="1"/>
  <c r="L500" i="6"/>
  <c r="J621" i="6"/>
  <c r="K621" i="6" s="1"/>
  <c r="L621" i="6"/>
  <c r="J79" i="6"/>
  <c r="K79" i="6" s="1"/>
  <c r="L79" i="6"/>
  <c r="O79" i="6" s="1"/>
  <c r="P79" i="6" s="1"/>
  <c r="J1028" i="6"/>
  <c r="K1028" i="6" s="1"/>
  <c r="L1028" i="6"/>
  <c r="O1028" i="6" s="1"/>
  <c r="P1028" i="6" s="1"/>
  <c r="J2" i="6"/>
  <c r="K2" i="6" s="1"/>
  <c r="L2" i="6"/>
  <c r="J1044" i="6"/>
  <c r="K1044" i="6" s="1"/>
  <c r="L1044" i="6"/>
  <c r="O1044" i="6" s="1"/>
  <c r="P1044" i="6" s="1"/>
  <c r="J525" i="6"/>
  <c r="K525" i="6" s="1"/>
  <c r="L525" i="6"/>
  <c r="O525" i="6" s="1"/>
  <c r="P525" i="6" s="1"/>
  <c r="J737" i="6"/>
  <c r="K737" i="6" s="1"/>
  <c r="L737" i="6"/>
  <c r="J370" i="6"/>
  <c r="K370" i="6" s="1"/>
  <c r="L370" i="6"/>
  <c r="J321" i="6"/>
  <c r="K321" i="6" s="1"/>
  <c r="L321" i="6"/>
  <c r="O321" i="6" s="1"/>
  <c r="P321" i="6" s="1"/>
  <c r="J361" i="6"/>
  <c r="K361" i="6" s="1"/>
  <c r="L361" i="6"/>
  <c r="O361" i="6" s="1"/>
  <c r="P361" i="6" s="1"/>
  <c r="J222" i="6"/>
  <c r="K222" i="6" s="1"/>
  <c r="L222" i="6"/>
  <c r="J792" i="6"/>
  <c r="K792" i="6" s="1"/>
  <c r="L792" i="6"/>
  <c r="O792" i="6" s="1"/>
  <c r="P792" i="6" s="1"/>
  <c r="J130" i="6"/>
  <c r="K130" i="6" s="1"/>
  <c r="L130" i="6"/>
  <c r="J800" i="6"/>
  <c r="K800" i="6" s="1"/>
  <c r="L800" i="6"/>
  <c r="O800" i="6" s="1"/>
  <c r="P800" i="6" s="1"/>
  <c r="J773" i="6"/>
  <c r="K773" i="6" s="1"/>
  <c r="L773" i="6"/>
  <c r="J366" i="6"/>
  <c r="K366" i="6" s="1"/>
  <c r="L366" i="6"/>
  <c r="O366" i="6" s="1"/>
  <c r="P366" i="6" s="1"/>
  <c r="J301" i="6"/>
  <c r="K301" i="6" s="1"/>
  <c r="L301" i="6"/>
  <c r="J332" i="6"/>
  <c r="K332" i="6" s="1"/>
  <c r="L332" i="6"/>
  <c r="O332" i="6" s="1"/>
  <c r="P332" i="6" s="1"/>
  <c r="J499" i="6"/>
  <c r="K499" i="6" s="1"/>
  <c r="L499" i="6"/>
  <c r="J487" i="6"/>
  <c r="K487" i="6" s="1"/>
  <c r="L487" i="6"/>
  <c r="O487" i="6" s="1"/>
  <c r="P487" i="6" s="1"/>
  <c r="J639" i="6"/>
  <c r="K639" i="6" s="1"/>
  <c r="L639" i="6"/>
  <c r="O639" i="6" s="1"/>
  <c r="P639" i="6" s="1"/>
  <c r="J85" i="6"/>
  <c r="K85" i="6" s="1"/>
  <c r="L85" i="6"/>
  <c r="J620" i="6"/>
  <c r="K620" i="6" s="1"/>
  <c r="L620" i="6"/>
  <c r="O620" i="6" s="1"/>
  <c r="P620" i="6" s="1"/>
  <c r="J400" i="6"/>
  <c r="K400" i="6" s="1"/>
  <c r="L400" i="6"/>
  <c r="O400" i="6" s="1"/>
  <c r="P400" i="6" s="1"/>
  <c r="J701" i="6"/>
  <c r="K701" i="6" s="1"/>
  <c r="L701" i="6"/>
  <c r="J791" i="6"/>
  <c r="K791" i="6" s="1"/>
  <c r="L791" i="6"/>
  <c r="J1063" i="6"/>
  <c r="K1063" i="6" s="1"/>
  <c r="L1063" i="6"/>
  <c r="J125" i="6"/>
  <c r="K125" i="6" s="1"/>
  <c r="L125" i="6"/>
  <c r="O125" i="6" s="1"/>
  <c r="P125" i="6" s="1"/>
  <c r="J596" i="6"/>
  <c r="K596" i="6" s="1"/>
  <c r="L596" i="6"/>
  <c r="J208" i="6"/>
  <c r="K208" i="6" s="1"/>
  <c r="L208" i="6"/>
  <c r="O208" i="6" s="1"/>
  <c r="P208" i="6" s="1"/>
  <c r="J323" i="6"/>
  <c r="K323" i="6" s="1"/>
  <c r="L323" i="6"/>
  <c r="O323" i="6" s="1"/>
  <c r="P323" i="6" s="1"/>
  <c r="J759" i="6"/>
  <c r="K759" i="6" s="1"/>
  <c r="L759" i="6"/>
  <c r="O759" i="6" s="1"/>
  <c r="P759" i="6" s="1"/>
  <c r="J120" i="6"/>
  <c r="K120" i="6" s="1"/>
  <c r="L120" i="6"/>
  <c r="O120" i="6" s="1"/>
  <c r="P120" i="6" s="1"/>
  <c r="J661" i="6"/>
  <c r="K661" i="6" s="1"/>
  <c r="L661" i="6"/>
  <c r="J1008" i="6"/>
  <c r="K1008" i="6" s="1"/>
  <c r="L1008" i="6"/>
  <c r="J510" i="6"/>
  <c r="K510" i="6" s="1"/>
  <c r="L510" i="6"/>
  <c r="O510" i="6" s="1"/>
  <c r="P510" i="6" s="1"/>
  <c r="J829" i="6"/>
  <c r="K829" i="6" s="1"/>
  <c r="L829" i="6"/>
  <c r="J244" i="6"/>
  <c r="K244" i="6" s="1"/>
  <c r="L244" i="6"/>
  <c r="O244" i="6" s="1"/>
  <c r="P244" i="6" s="1"/>
  <c r="L1062" i="6"/>
  <c r="L1046" i="6"/>
  <c r="L1030" i="6"/>
  <c r="O1030" i="6" s="1"/>
  <c r="P1030" i="6" s="1"/>
  <c r="L1014" i="6"/>
  <c r="O1014" i="6" s="1"/>
  <c r="P1014" i="6" s="1"/>
  <c r="L998" i="6"/>
  <c r="O998" i="6" s="1"/>
  <c r="P998" i="6" s="1"/>
  <c r="L982" i="6"/>
  <c r="L966" i="6"/>
  <c r="O966" i="6" s="1"/>
  <c r="P966" i="6" s="1"/>
  <c r="L950" i="6"/>
  <c r="L934" i="6"/>
  <c r="O934" i="6" s="1"/>
  <c r="P934" i="6" s="1"/>
  <c r="L918" i="6"/>
  <c r="L902" i="6"/>
  <c r="L886" i="6"/>
  <c r="O886" i="6" s="1"/>
  <c r="P886" i="6" s="1"/>
  <c r="L870" i="6"/>
  <c r="L854" i="6"/>
  <c r="L838" i="6"/>
  <c r="O838" i="6" s="1"/>
  <c r="P838" i="6" s="1"/>
  <c r="L822" i="6"/>
  <c r="O822" i="6" s="1"/>
  <c r="P822" i="6" s="1"/>
  <c r="L806" i="6"/>
  <c r="O806" i="6" s="1"/>
  <c r="P806" i="6" s="1"/>
  <c r="L790" i="6"/>
  <c r="O790" i="6" s="1"/>
  <c r="P790" i="6" s="1"/>
  <c r="L774" i="6"/>
  <c r="J489" i="6"/>
  <c r="K489" i="6" s="1"/>
  <c r="L489" i="6"/>
  <c r="O489" i="6" s="1"/>
  <c r="P489" i="6" s="1"/>
  <c r="J137" i="6"/>
  <c r="K137" i="6" s="1"/>
  <c r="L137" i="6"/>
  <c r="O137" i="6" s="1"/>
  <c r="P137" i="6" s="1"/>
  <c r="J987" i="6"/>
  <c r="K987" i="6" s="1"/>
  <c r="L987" i="6"/>
  <c r="O987" i="6" s="1"/>
  <c r="P987" i="6" s="1"/>
  <c r="J669" i="6"/>
  <c r="K669" i="6" s="1"/>
  <c r="L669" i="6"/>
  <c r="O669" i="6" s="1"/>
  <c r="P669" i="6" s="1"/>
  <c r="J488" i="6"/>
  <c r="K488" i="6" s="1"/>
  <c r="L488" i="6"/>
  <c r="O488" i="6" s="1"/>
  <c r="P488" i="6" s="1"/>
  <c r="J444" i="6"/>
  <c r="K444" i="6" s="1"/>
  <c r="L444" i="6"/>
  <c r="J100" i="6"/>
  <c r="K100" i="6" s="1"/>
  <c r="L100" i="6"/>
  <c r="J369" i="6"/>
  <c r="K369" i="6" s="1"/>
  <c r="L369" i="6"/>
  <c r="O369" i="6" s="1"/>
  <c r="P369" i="6" s="1"/>
  <c r="J282" i="6"/>
  <c r="K282" i="6" s="1"/>
  <c r="L282" i="6"/>
  <c r="O282" i="6" s="1"/>
  <c r="P282" i="6" s="1"/>
  <c r="J122" i="6"/>
  <c r="K122" i="6" s="1"/>
  <c r="L122" i="6"/>
  <c r="J90" i="6"/>
  <c r="K90" i="6" s="1"/>
  <c r="L90" i="6"/>
  <c r="J319" i="6"/>
  <c r="K319" i="6" s="1"/>
  <c r="L319" i="6"/>
  <c r="J128" i="6"/>
  <c r="K128" i="6" s="1"/>
  <c r="L128" i="6"/>
  <c r="O128" i="6" s="1"/>
  <c r="P128" i="6" s="1"/>
  <c r="J304" i="6"/>
  <c r="K304" i="6" s="1"/>
  <c r="L304" i="6"/>
  <c r="O304" i="6" s="1"/>
  <c r="P304" i="6" s="1"/>
  <c r="J532" i="6"/>
  <c r="K532" i="6" s="1"/>
  <c r="L532" i="6"/>
  <c r="J160" i="6"/>
  <c r="K160" i="6" s="1"/>
  <c r="L160" i="6"/>
  <c r="O160" i="6" s="1"/>
  <c r="P160" i="6" s="1"/>
  <c r="J888" i="6"/>
  <c r="K888" i="6" s="1"/>
  <c r="L888" i="6"/>
  <c r="J881" i="6"/>
  <c r="K881" i="6" s="1"/>
  <c r="L881" i="6"/>
  <c r="O881" i="6" s="1"/>
  <c r="P881" i="6" s="1"/>
  <c r="J999" i="6"/>
  <c r="K999" i="6" s="1"/>
  <c r="L999" i="6"/>
  <c r="J445" i="6"/>
  <c r="K445" i="6" s="1"/>
  <c r="L445" i="6"/>
  <c r="J646" i="6"/>
  <c r="K646" i="6" s="1"/>
  <c r="L646" i="6"/>
  <c r="J326" i="6"/>
  <c r="K326" i="6" s="1"/>
  <c r="L326" i="6"/>
  <c r="O326" i="6" s="1"/>
  <c r="P326" i="6" s="1"/>
  <c r="J246" i="6"/>
  <c r="K246" i="6" s="1"/>
  <c r="L246" i="6"/>
  <c r="O246" i="6" s="1"/>
  <c r="P246" i="6" s="1"/>
  <c r="J721" i="6"/>
  <c r="K721" i="6" s="1"/>
  <c r="L721" i="6"/>
  <c r="J446" i="6"/>
  <c r="K446" i="6" s="1"/>
  <c r="L446" i="6"/>
  <c r="O446" i="6" s="1"/>
  <c r="P446" i="6" s="1"/>
  <c r="J560" i="6"/>
  <c r="K560" i="6" s="1"/>
  <c r="L560" i="6"/>
  <c r="O560" i="6" s="1"/>
  <c r="P560" i="6" s="1"/>
  <c r="J251" i="6"/>
  <c r="K251" i="6" s="1"/>
  <c r="L251" i="6"/>
  <c r="O251" i="6" s="1"/>
  <c r="P251" i="6" s="1"/>
  <c r="J360" i="6"/>
  <c r="K360" i="6" s="1"/>
  <c r="L360" i="6"/>
  <c r="J645" i="6"/>
  <c r="K645" i="6" s="1"/>
  <c r="L645" i="6"/>
  <c r="O645" i="6" s="1"/>
  <c r="P645" i="6" s="1"/>
  <c r="J718" i="6"/>
  <c r="K718" i="6" s="1"/>
  <c r="L718" i="6"/>
  <c r="J418" i="6"/>
  <c r="K418" i="6" s="1"/>
  <c r="L418" i="6"/>
  <c r="J250" i="6"/>
  <c r="K250" i="6" s="1"/>
  <c r="L250" i="6"/>
  <c r="O250" i="6" s="1"/>
  <c r="P250" i="6" s="1"/>
  <c r="J777" i="6"/>
  <c r="K777" i="6" s="1"/>
  <c r="L777" i="6"/>
  <c r="J750" i="6"/>
  <c r="K750" i="6" s="1"/>
  <c r="L750" i="6"/>
  <c r="J121" i="6"/>
  <c r="K121" i="6" s="1"/>
  <c r="L121" i="6"/>
  <c r="O121" i="6" s="1"/>
  <c r="P121" i="6" s="1"/>
  <c r="J947" i="6"/>
  <c r="K947" i="6" s="1"/>
  <c r="L947" i="6"/>
  <c r="O947" i="6" s="1"/>
  <c r="P947" i="6" s="1"/>
  <c r="J225" i="6"/>
  <c r="K225" i="6" s="1"/>
  <c r="L225" i="6"/>
  <c r="O225" i="6" s="1"/>
  <c r="P225" i="6" s="1"/>
  <c r="J1051" i="6"/>
  <c r="K1051" i="6" s="1"/>
  <c r="L1051" i="6"/>
  <c r="O1051" i="6" s="1"/>
  <c r="P1051" i="6" s="1"/>
  <c r="J59" i="6"/>
  <c r="K59" i="6" s="1"/>
  <c r="L59" i="6"/>
  <c r="J592" i="6"/>
  <c r="K592" i="6" s="1"/>
  <c r="L592" i="6"/>
  <c r="O592" i="6" s="1"/>
  <c r="P592" i="6" s="1"/>
  <c r="J347" i="6"/>
  <c r="K347" i="6" s="1"/>
  <c r="L347" i="6"/>
  <c r="O347" i="6" s="1"/>
  <c r="P347" i="6" s="1"/>
  <c r="J892" i="6"/>
  <c r="K892" i="6" s="1"/>
  <c r="L892" i="6"/>
  <c r="O892" i="6" s="1"/>
  <c r="P892" i="6" s="1"/>
  <c r="J919" i="6"/>
  <c r="K919" i="6" s="1"/>
  <c r="L919" i="6"/>
  <c r="J11" i="6"/>
  <c r="K11" i="6" s="1"/>
  <c r="L11" i="6"/>
  <c r="J76" i="6"/>
  <c r="K76" i="6" s="1"/>
  <c r="L76" i="6"/>
  <c r="O76" i="6" s="1"/>
  <c r="P76" i="6" s="1"/>
  <c r="J93" i="6"/>
  <c r="K93" i="6" s="1"/>
  <c r="L93" i="6"/>
  <c r="J427" i="6"/>
  <c r="K427" i="6" s="1"/>
  <c r="L427" i="6"/>
  <c r="J664" i="6"/>
  <c r="K664" i="6" s="1"/>
  <c r="L664" i="6"/>
  <c r="J643" i="6"/>
  <c r="K643" i="6" s="1"/>
  <c r="L643" i="6"/>
  <c r="O643" i="6" s="1"/>
  <c r="P643" i="6" s="1"/>
  <c r="J472" i="6"/>
  <c r="K472" i="6" s="1"/>
  <c r="L472" i="6"/>
  <c r="O472" i="6" s="1"/>
  <c r="P472" i="6" s="1"/>
  <c r="J736" i="6"/>
  <c r="K736" i="6" s="1"/>
  <c r="L736" i="6"/>
  <c r="J612" i="6"/>
  <c r="K612" i="6" s="1"/>
  <c r="L612" i="6"/>
  <c r="O612" i="6" s="1"/>
  <c r="P612" i="6" s="1"/>
  <c r="J912" i="6"/>
  <c r="K912" i="6" s="1"/>
  <c r="L912" i="6"/>
  <c r="O912" i="6" s="1"/>
  <c r="P912" i="6" s="1"/>
  <c r="J65" i="6"/>
  <c r="K65" i="6" s="1"/>
  <c r="L65" i="6"/>
  <c r="O65" i="6" s="1"/>
  <c r="P65" i="6" s="1"/>
  <c r="J22" i="6"/>
  <c r="K22" i="6" s="1"/>
  <c r="L22" i="6"/>
  <c r="J398" i="6"/>
  <c r="K398" i="6" s="1"/>
  <c r="L398" i="6"/>
  <c r="J313" i="6"/>
  <c r="K313" i="6" s="1"/>
  <c r="L313" i="6"/>
  <c r="O313" i="6" s="1"/>
  <c r="P313" i="6" s="1"/>
  <c r="J688" i="6"/>
  <c r="K688" i="6" s="1"/>
  <c r="L688" i="6"/>
  <c r="J924" i="6"/>
  <c r="K924" i="6" s="1"/>
  <c r="L924" i="6"/>
  <c r="O924" i="6" s="1"/>
  <c r="P924" i="6" s="1"/>
  <c r="J743" i="6"/>
  <c r="K743" i="6" s="1"/>
  <c r="L743" i="6"/>
  <c r="O743" i="6" s="1"/>
  <c r="P743" i="6" s="1"/>
  <c r="J141" i="6"/>
  <c r="K141" i="6" s="1"/>
  <c r="L141" i="6"/>
  <c r="O141" i="6" s="1"/>
  <c r="P141" i="6" s="1"/>
  <c r="J52" i="6"/>
  <c r="K52" i="6" s="1"/>
  <c r="L52" i="6"/>
  <c r="O52" i="6" s="1"/>
  <c r="P52" i="6" s="1"/>
  <c r="J960" i="6"/>
  <c r="K960" i="6" s="1"/>
  <c r="L960" i="6"/>
  <c r="O960" i="6" s="1"/>
  <c r="P960" i="6" s="1"/>
  <c r="J905" i="6"/>
  <c r="K905" i="6" s="1"/>
  <c r="L905" i="6"/>
  <c r="O905" i="6" s="1"/>
  <c r="P905" i="6" s="1"/>
  <c r="J732" i="6"/>
  <c r="K732" i="6" s="1"/>
  <c r="L732" i="6"/>
  <c r="J72" i="6"/>
  <c r="K72" i="6" s="1"/>
  <c r="L72" i="6"/>
  <c r="O72" i="6" s="1"/>
  <c r="P72" i="6" s="1"/>
  <c r="J1023" i="6"/>
  <c r="K1023" i="6" s="1"/>
  <c r="L1023" i="6"/>
  <c r="J131" i="6"/>
  <c r="K131" i="6" s="1"/>
  <c r="L131" i="6"/>
  <c r="J4" i="6"/>
  <c r="K4" i="6" s="1"/>
  <c r="L4" i="6"/>
  <c r="J897" i="6"/>
  <c r="K897" i="6" s="1"/>
  <c r="L897" i="6"/>
  <c r="J724" i="6"/>
  <c r="K724" i="6" s="1"/>
  <c r="L724" i="6"/>
  <c r="J828" i="6"/>
  <c r="K828" i="6" s="1"/>
  <c r="L828" i="6"/>
  <c r="O828" i="6" s="1"/>
  <c r="P828" i="6" s="1"/>
  <c r="J317" i="6"/>
  <c r="K317" i="6" s="1"/>
  <c r="L317" i="6"/>
  <c r="O317" i="6" s="1"/>
  <c r="P317" i="6" s="1"/>
  <c r="J92" i="6"/>
  <c r="K92" i="6" s="1"/>
  <c r="L92" i="6"/>
  <c r="J493" i="6"/>
  <c r="K493" i="6" s="1"/>
  <c r="L493" i="6"/>
  <c r="J134" i="6"/>
  <c r="K134" i="6" s="1"/>
  <c r="L134" i="6"/>
  <c r="O134" i="6" s="1"/>
  <c r="P134" i="6" s="1"/>
  <c r="J75" i="6"/>
  <c r="K75" i="6" s="1"/>
  <c r="L75" i="6"/>
  <c r="J653" i="6"/>
  <c r="K653" i="6" s="1"/>
  <c r="L653" i="6"/>
  <c r="O653" i="6" s="1"/>
  <c r="P653" i="6" s="1"/>
  <c r="J824" i="6"/>
  <c r="K824" i="6" s="1"/>
  <c r="L824" i="6"/>
  <c r="J659" i="6"/>
  <c r="K659" i="6" s="1"/>
  <c r="L659" i="6"/>
  <c r="J311" i="6"/>
  <c r="K311" i="6" s="1"/>
  <c r="L311" i="6"/>
  <c r="J535" i="6"/>
  <c r="K535" i="6" s="1"/>
  <c r="L535" i="6"/>
  <c r="O535" i="6" s="1"/>
  <c r="P535" i="6" s="1"/>
  <c r="J809" i="6"/>
  <c r="K809" i="6" s="1"/>
  <c r="L809" i="6"/>
  <c r="J216" i="6"/>
  <c r="K216" i="6" s="1"/>
  <c r="L216" i="6"/>
  <c r="J462" i="6"/>
  <c r="K462" i="6" s="1"/>
  <c r="L462" i="6"/>
  <c r="O462" i="6" s="1"/>
  <c r="P462" i="6" s="1"/>
  <c r="J175" i="6"/>
  <c r="K175" i="6" s="1"/>
  <c r="L175" i="6"/>
  <c r="O175" i="6" s="1"/>
  <c r="P175" i="6" s="1"/>
  <c r="J441" i="6"/>
  <c r="K441" i="6" s="1"/>
  <c r="L441" i="6"/>
  <c r="J3" i="6"/>
  <c r="K3" i="6" s="1"/>
  <c r="L3" i="6"/>
  <c r="J252" i="6"/>
  <c r="K252" i="6" s="1"/>
  <c r="L252" i="6"/>
  <c r="O252" i="6" s="1"/>
  <c r="P252" i="6" s="1"/>
  <c r="J944" i="6"/>
  <c r="K944" i="6" s="1"/>
  <c r="L944" i="6"/>
  <c r="J228" i="6"/>
  <c r="K228" i="6" s="1"/>
  <c r="L228" i="6"/>
  <c r="J606" i="6"/>
  <c r="K606" i="6" s="1"/>
  <c r="L606" i="6"/>
  <c r="J264" i="6"/>
  <c r="K264" i="6" s="1"/>
  <c r="L264" i="6"/>
  <c r="J170" i="6"/>
  <c r="K170" i="6" s="1"/>
  <c r="L170" i="6"/>
  <c r="J615" i="6"/>
  <c r="K615" i="6" s="1"/>
  <c r="L615" i="6"/>
  <c r="J235" i="6"/>
  <c r="K235" i="6" s="1"/>
  <c r="L235" i="6"/>
  <c r="J1031" i="6"/>
  <c r="K1031" i="6" s="1"/>
  <c r="L1031" i="6"/>
  <c r="J923" i="6"/>
  <c r="K923" i="6" s="1"/>
  <c r="L923" i="6"/>
  <c r="J138" i="6"/>
  <c r="K138" i="6" s="1"/>
  <c r="L138" i="6"/>
  <c r="J631" i="6"/>
  <c r="K631" i="6" s="1"/>
  <c r="L631" i="6"/>
  <c r="O631" i="6" s="1"/>
  <c r="P631" i="6" s="1"/>
  <c r="J345" i="6"/>
  <c r="K345" i="6" s="1"/>
  <c r="L345" i="6"/>
  <c r="O345" i="6" s="1"/>
  <c r="P345" i="6" s="1"/>
  <c r="J764" i="6"/>
  <c r="K764" i="6" s="1"/>
  <c r="L764" i="6"/>
  <c r="O764" i="6" s="1"/>
  <c r="P764" i="6" s="1"/>
  <c r="J561" i="6"/>
  <c r="K561" i="6" s="1"/>
  <c r="L561" i="6"/>
  <c r="O561" i="6" s="1"/>
  <c r="P561" i="6" s="1"/>
  <c r="J564" i="6"/>
  <c r="K564" i="6" s="1"/>
  <c r="L564" i="6"/>
  <c r="O564" i="6" s="1"/>
  <c r="P564" i="6" s="1"/>
  <c r="J531" i="6"/>
  <c r="K531" i="6" s="1"/>
  <c r="L531" i="6"/>
  <c r="J717" i="6"/>
  <c r="K717" i="6" s="1"/>
  <c r="L717" i="6"/>
  <c r="J363" i="6"/>
  <c r="K363" i="6" s="1"/>
  <c r="L363" i="6"/>
  <c r="O363" i="6" s="1"/>
  <c r="P363" i="6" s="1"/>
  <c r="J748" i="6"/>
  <c r="K748" i="6" s="1"/>
  <c r="L748" i="6"/>
  <c r="J559" i="6"/>
  <c r="K559" i="6" s="1"/>
  <c r="L559" i="6"/>
  <c r="J637" i="6"/>
  <c r="K637" i="6" s="1"/>
  <c r="L637" i="6"/>
  <c r="J971" i="6"/>
  <c r="K971" i="6" s="1"/>
  <c r="L971" i="6"/>
  <c r="J476" i="6"/>
  <c r="K476" i="6" s="1"/>
  <c r="L476" i="6"/>
  <c r="J231" i="6"/>
  <c r="K231" i="6" s="1"/>
  <c r="L231" i="6"/>
  <c r="J673" i="6"/>
  <c r="K673" i="6" s="1"/>
  <c r="L673" i="6"/>
  <c r="O673" i="6" s="1"/>
  <c r="P673" i="6" s="1"/>
  <c r="J655" i="6"/>
  <c r="K655" i="6" s="1"/>
  <c r="L655" i="6"/>
  <c r="O655" i="6" s="1"/>
  <c r="P655" i="6" s="1"/>
  <c r="J716" i="6"/>
  <c r="K716" i="6" s="1"/>
  <c r="L716" i="6"/>
  <c r="J196" i="6"/>
  <c r="K196" i="6" s="1"/>
  <c r="L196" i="6"/>
  <c r="J691" i="6"/>
  <c r="K691" i="6" s="1"/>
  <c r="L691" i="6"/>
  <c r="O691" i="6" s="1"/>
  <c r="P691" i="6" s="1"/>
  <c r="J872" i="6"/>
  <c r="K872" i="6" s="1"/>
  <c r="L872" i="6"/>
  <c r="J760" i="6"/>
  <c r="K760" i="6" s="1"/>
  <c r="L760" i="6"/>
  <c r="O760" i="6" s="1"/>
  <c r="P760" i="6" s="1"/>
  <c r="J352" i="6"/>
  <c r="K352" i="6" s="1"/>
  <c r="L352" i="6"/>
  <c r="O352" i="6" s="1"/>
  <c r="P352" i="6" s="1"/>
  <c r="J482" i="6"/>
  <c r="K482" i="6" s="1"/>
  <c r="L482" i="6"/>
  <c r="O482" i="6" s="1"/>
  <c r="P482" i="6" s="1"/>
  <c r="J579" i="6"/>
  <c r="K579" i="6" s="1"/>
  <c r="L579" i="6"/>
  <c r="J920" i="6"/>
  <c r="K920" i="6" s="1"/>
  <c r="L920" i="6"/>
  <c r="J625" i="6"/>
  <c r="K625" i="6" s="1"/>
  <c r="L625" i="6"/>
  <c r="J610" i="6"/>
  <c r="K610" i="6" s="1"/>
  <c r="L610" i="6"/>
  <c r="O610" i="6" s="1"/>
  <c r="P610" i="6" s="1"/>
  <c r="J124" i="6"/>
  <c r="K124" i="6" s="1"/>
  <c r="L124" i="6"/>
  <c r="O124" i="6" s="1"/>
  <c r="P124" i="6" s="1"/>
  <c r="J279" i="6"/>
  <c r="K279" i="6" s="1"/>
  <c r="L279" i="6"/>
  <c r="J261" i="6"/>
  <c r="K261" i="6" s="1"/>
  <c r="L261" i="6"/>
  <c r="O261" i="6" s="1"/>
  <c r="P261" i="6" s="1"/>
  <c r="J722" i="6"/>
  <c r="K722" i="6" s="1"/>
  <c r="L722" i="6"/>
  <c r="O722" i="6" s="1"/>
  <c r="P722" i="6" s="1"/>
  <c r="J424" i="6"/>
  <c r="K424" i="6" s="1"/>
  <c r="L424" i="6"/>
  <c r="J943" i="6"/>
  <c r="K943" i="6" s="1"/>
  <c r="L943" i="6"/>
  <c r="J780" i="6"/>
  <c r="K780" i="6" s="1"/>
  <c r="L780" i="6"/>
  <c r="O780" i="6" s="1"/>
  <c r="P780" i="6" s="1"/>
  <c r="J754" i="6"/>
  <c r="K754" i="6" s="1"/>
  <c r="L754" i="6"/>
  <c r="O754" i="6" s="1"/>
  <c r="P754" i="6" s="1"/>
  <c r="J387" i="6"/>
  <c r="K387" i="6" s="1"/>
  <c r="L387" i="6"/>
  <c r="J34" i="6"/>
  <c r="K34" i="6" s="1"/>
  <c r="L34" i="6"/>
  <c r="O34" i="6" s="1"/>
  <c r="P34" i="6" s="1"/>
  <c r="J464" i="6"/>
  <c r="K464" i="6" s="1"/>
  <c r="L464" i="6"/>
  <c r="O464" i="6" s="1"/>
  <c r="P464" i="6" s="1"/>
  <c r="J841" i="6"/>
  <c r="K841" i="6" s="1"/>
  <c r="L841" i="6"/>
  <c r="O841" i="6" s="1"/>
  <c r="P841" i="6" s="1"/>
  <c r="J776" i="6"/>
  <c r="K776" i="6" s="1"/>
  <c r="L776" i="6"/>
  <c r="J578" i="6"/>
  <c r="K578" i="6" s="1"/>
  <c r="L578" i="6"/>
  <c r="J1027" i="6"/>
  <c r="K1027" i="6" s="1"/>
  <c r="L1027" i="6"/>
  <c r="J87" i="6"/>
  <c r="K87" i="6" s="1"/>
  <c r="L87" i="6"/>
  <c r="J703" i="6"/>
  <c r="K703" i="6" s="1"/>
  <c r="L703" i="6"/>
  <c r="J60" i="6"/>
  <c r="K60" i="6" s="1"/>
  <c r="L60" i="6"/>
  <c r="J672" i="6"/>
  <c r="K672" i="6" s="1"/>
  <c r="L672" i="6"/>
  <c r="J395" i="6"/>
  <c r="K395" i="6" s="1"/>
  <c r="L395" i="6"/>
  <c r="O395" i="6" s="1"/>
  <c r="P395" i="6" s="1"/>
  <c r="J799" i="6"/>
  <c r="K799" i="6" s="1"/>
  <c r="L799" i="6"/>
  <c r="J28" i="6"/>
  <c r="K28" i="6" s="1"/>
  <c r="L28" i="6"/>
  <c r="O28" i="6" s="1"/>
  <c r="P28" i="6" s="1"/>
  <c r="J689" i="6"/>
  <c r="K689" i="6" s="1"/>
  <c r="L689" i="6"/>
  <c r="J956" i="6"/>
  <c r="K956" i="6" s="1"/>
  <c r="L956" i="6"/>
  <c r="O956" i="6" s="1"/>
  <c r="P956" i="6" s="1"/>
  <c r="J833" i="6"/>
  <c r="K833" i="6" s="1"/>
  <c r="L833" i="6"/>
  <c r="J937" i="6"/>
  <c r="K937" i="6" s="1"/>
  <c r="L937" i="6"/>
  <c r="O937" i="6" s="1"/>
  <c r="P937" i="6" s="1"/>
  <c r="J900" i="6"/>
  <c r="K900" i="6" s="1"/>
  <c r="L900" i="6"/>
  <c r="J14" i="6"/>
  <c r="K14" i="6" s="1"/>
  <c r="L14" i="6"/>
  <c r="J569" i="6"/>
  <c r="K569" i="6" s="1"/>
  <c r="L569" i="6"/>
  <c r="J617" i="6"/>
  <c r="K617" i="6" s="1"/>
  <c r="L617" i="6"/>
  <c r="O617" i="6" s="1"/>
  <c r="P617" i="6" s="1"/>
  <c r="J477" i="6"/>
  <c r="K477" i="6" s="1"/>
  <c r="L477" i="6"/>
  <c r="J638" i="6"/>
  <c r="K638" i="6" s="1"/>
  <c r="L638" i="6"/>
  <c r="O638" i="6" s="1"/>
  <c r="P638" i="6" s="1"/>
  <c r="J223" i="6"/>
  <c r="K223" i="6" s="1"/>
  <c r="L223" i="6"/>
  <c r="J899" i="6"/>
  <c r="K899" i="6" s="1"/>
  <c r="L899" i="6"/>
  <c r="J32" i="6"/>
  <c r="K32" i="6" s="1"/>
  <c r="L32" i="6"/>
  <c r="J374" i="6"/>
  <c r="K374" i="6" s="1"/>
  <c r="L374" i="6"/>
  <c r="J473" i="6"/>
  <c r="K473" i="6" s="1"/>
  <c r="L473" i="6"/>
  <c r="O473" i="6" s="1"/>
  <c r="P473" i="6" s="1"/>
  <c r="J812" i="6"/>
  <c r="K812" i="6" s="1"/>
  <c r="L812" i="6"/>
  <c r="J576" i="6"/>
  <c r="K576" i="6" s="1"/>
  <c r="L576" i="6"/>
  <c r="J992" i="6"/>
  <c r="K992" i="6" s="1"/>
  <c r="L992" i="6"/>
  <c r="J707" i="6"/>
  <c r="K707" i="6" s="1"/>
  <c r="L707" i="6"/>
  <c r="O707" i="6" s="1"/>
  <c r="P707" i="6" s="1"/>
  <c r="J678" i="6"/>
  <c r="K678" i="6" s="1"/>
  <c r="L678" i="6"/>
  <c r="O678" i="6" s="1"/>
  <c r="P678" i="6" s="1"/>
  <c r="J355" i="6"/>
  <c r="K355" i="6" s="1"/>
  <c r="L355" i="6"/>
  <c r="O355" i="6" s="1"/>
  <c r="P355" i="6" s="1"/>
  <c r="J55" i="6"/>
  <c r="K55" i="6" s="1"/>
  <c r="L55" i="6"/>
  <c r="J450" i="6"/>
  <c r="K450" i="6" s="1"/>
  <c r="L450" i="6"/>
  <c r="J71" i="6"/>
  <c r="K71" i="6" s="1"/>
  <c r="L71" i="6"/>
  <c r="O71" i="6" s="1"/>
  <c r="P71" i="6" s="1"/>
  <c r="J179" i="6"/>
  <c r="K179" i="6" s="1"/>
  <c r="L179" i="6"/>
  <c r="O179" i="6" s="1"/>
  <c r="P179" i="6" s="1"/>
  <c r="J27" i="6"/>
  <c r="K27" i="6" s="1"/>
  <c r="L27" i="6"/>
  <c r="O27" i="6" s="1"/>
  <c r="P27" i="6" s="1"/>
  <c r="J53" i="6"/>
  <c r="K53" i="6" s="1"/>
  <c r="L53" i="6"/>
  <c r="O53" i="6" s="1"/>
  <c r="P53" i="6" s="1"/>
  <c r="J118" i="6"/>
  <c r="K118" i="6" s="1"/>
  <c r="L118" i="6"/>
  <c r="J148" i="6"/>
  <c r="K148" i="6" s="1"/>
  <c r="L148" i="6"/>
  <c r="J720" i="6"/>
  <c r="K720" i="6" s="1"/>
  <c r="L720" i="6"/>
  <c r="J248" i="6"/>
  <c r="K248" i="6" s="1"/>
  <c r="L248" i="6"/>
  <c r="O248" i="6" s="1"/>
  <c r="P248" i="6" s="1"/>
  <c r="J470" i="6"/>
  <c r="K470" i="6" s="1"/>
  <c r="L470" i="6"/>
  <c r="J411" i="6"/>
  <c r="K411" i="6" s="1"/>
  <c r="L411" i="6"/>
  <c r="O411" i="6" s="1"/>
  <c r="P411" i="6" s="1"/>
  <c r="J917" i="6"/>
  <c r="K917" i="6" s="1"/>
  <c r="L917" i="6"/>
  <c r="O917" i="6" s="1"/>
  <c r="P917" i="6" s="1"/>
  <c r="J495" i="6"/>
  <c r="K495" i="6" s="1"/>
  <c r="L495" i="6"/>
  <c r="O495" i="6" s="1"/>
  <c r="P495" i="6" s="1"/>
  <c r="J325" i="6"/>
  <c r="K325" i="6" s="1"/>
  <c r="L325" i="6"/>
  <c r="O325" i="6" s="1"/>
  <c r="P325" i="6" s="1"/>
  <c r="J116" i="6"/>
  <c r="K116" i="6" s="1"/>
  <c r="L116" i="6"/>
  <c r="O116" i="6" s="1"/>
  <c r="P116" i="6" s="1"/>
  <c r="J19" i="6"/>
  <c r="K19" i="6" s="1"/>
  <c r="L19" i="6"/>
  <c r="O19" i="6" s="1"/>
  <c r="P19" i="6" s="1"/>
  <c r="J184" i="6"/>
  <c r="K184" i="6" s="1"/>
  <c r="L184" i="6"/>
  <c r="J96" i="6"/>
  <c r="K96" i="6" s="1"/>
  <c r="L96" i="6"/>
  <c r="O96" i="6" s="1"/>
  <c r="P96" i="6" s="1"/>
  <c r="J1004" i="6"/>
  <c r="K1004" i="6" s="1"/>
  <c r="L1004" i="6"/>
  <c r="O1004" i="6" s="1"/>
  <c r="P1004" i="6" s="1"/>
  <c r="J563" i="6"/>
  <c r="K563" i="6" s="1"/>
  <c r="L563" i="6"/>
  <c r="O563" i="6" s="1"/>
  <c r="P563" i="6" s="1"/>
  <c r="J419" i="6"/>
  <c r="K419" i="6" s="1"/>
  <c r="L419" i="6"/>
  <c r="J247" i="6"/>
  <c r="K247" i="6" s="1"/>
  <c r="L247" i="6"/>
  <c r="O247" i="6" s="1"/>
  <c r="P247" i="6" s="1"/>
  <c r="J613" i="6"/>
  <c r="K613" i="6" s="1"/>
  <c r="L613" i="6"/>
  <c r="O613" i="6" s="1"/>
  <c r="P613" i="6" s="1"/>
  <c r="J546" i="6"/>
  <c r="K546" i="6" s="1"/>
  <c r="L546" i="6"/>
  <c r="J468" i="6"/>
  <c r="K468" i="6" s="1"/>
  <c r="L468" i="6"/>
  <c r="O468" i="6" s="1"/>
  <c r="P468" i="6" s="1"/>
  <c r="J797" i="6"/>
  <c r="K797" i="6" s="1"/>
  <c r="L797" i="6"/>
  <c r="J884" i="6"/>
  <c r="K884" i="6" s="1"/>
  <c r="L884" i="6"/>
  <c r="J260" i="6"/>
  <c r="K260" i="6" s="1"/>
  <c r="L260" i="6"/>
  <c r="O260" i="6" s="1"/>
  <c r="P260" i="6" s="1"/>
  <c r="J552" i="6"/>
  <c r="K552" i="6" s="1"/>
  <c r="L552" i="6"/>
  <c r="J514" i="6"/>
  <c r="K514" i="6" s="1"/>
  <c r="L514" i="6"/>
  <c r="J853" i="6"/>
  <c r="K853" i="6" s="1"/>
  <c r="L853" i="6"/>
  <c r="O853" i="6" s="1"/>
  <c r="P853" i="6" s="1"/>
  <c r="J382" i="6"/>
  <c r="K382" i="6" s="1"/>
  <c r="L382" i="6"/>
  <c r="O382" i="6" s="1"/>
  <c r="P382" i="6" s="1"/>
  <c r="J43" i="6"/>
  <c r="K43" i="6" s="1"/>
  <c r="L43" i="6"/>
  <c r="J609" i="6"/>
  <c r="K609" i="6" s="1"/>
  <c r="L609" i="6"/>
  <c r="O609" i="6" s="1"/>
  <c r="P609" i="6" s="1"/>
  <c r="J529" i="6"/>
  <c r="K529" i="6" s="1"/>
  <c r="L529" i="6"/>
  <c r="J788" i="6"/>
  <c r="K788" i="6" s="1"/>
  <c r="L788" i="6"/>
  <c r="O788" i="6" s="1"/>
  <c r="P788" i="6" s="1"/>
  <c r="J465" i="6"/>
  <c r="K465" i="6" s="1"/>
  <c r="L465" i="6"/>
  <c r="J178" i="6"/>
  <c r="K178" i="6" s="1"/>
  <c r="L178" i="6"/>
  <c r="J176" i="6"/>
  <c r="K176" i="6" s="1"/>
  <c r="L176" i="6"/>
  <c r="J985" i="6"/>
  <c r="K985" i="6" s="1"/>
  <c r="L985" i="6"/>
  <c r="J307" i="6"/>
  <c r="K307" i="6" s="1"/>
  <c r="L307" i="6"/>
  <c r="J346" i="6"/>
  <c r="K346" i="6" s="1"/>
  <c r="L346" i="6"/>
  <c r="O346" i="6" s="1"/>
  <c r="P346" i="6" s="1"/>
  <c r="J640" i="6"/>
  <c r="K640" i="6" s="1"/>
  <c r="L640" i="6"/>
  <c r="O640" i="6" s="1"/>
  <c r="P640" i="6" s="1"/>
  <c r="J105" i="6"/>
  <c r="K105" i="6" s="1"/>
  <c r="L105" i="6"/>
  <c r="J393" i="6"/>
  <c r="K393" i="6" s="1"/>
  <c r="L393" i="6"/>
  <c r="O393" i="6" s="1"/>
  <c r="P393" i="6" s="1"/>
  <c r="J505" i="6"/>
  <c r="K505" i="6" s="1"/>
  <c r="L505" i="6"/>
  <c r="J268" i="6"/>
  <c r="K268" i="6" s="1"/>
  <c r="L268" i="6"/>
  <c r="O268" i="6" s="1"/>
  <c r="P268" i="6" s="1"/>
  <c r="J852" i="6"/>
  <c r="K852" i="6" s="1"/>
  <c r="L852" i="6"/>
  <c r="O852" i="6" s="1"/>
  <c r="P852" i="6" s="1"/>
  <c r="J706" i="6"/>
  <c r="K706" i="6" s="1"/>
  <c r="L706" i="6"/>
  <c r="O706" i="6" s="1"/>
  <c r="P706" i="6" s="1"/>
  <c r="J575" i="6"/>
  <c r="K575" i="6" s="1"/>
  <c r="L575" i="6"/>
  <c r="J1021" i="6"/>
  <c r="K1021" i="6" s="1"/>
  <c r="L1021" i="6"/>
  <c r="O1021" i="6" s="1"/>
  <c r="P1021" i="6" s="1"/>
  <c r="J233" i="6"/>
  <c r="K233" i="6" s="1"/>
  <c r="L233" i="6"/>
  <c r="J322" i="6"/>
  <c r="K322" i="6" s="1"/>
  <c r="L322" i="6"/>
  <c r="O322" i="6" s="1"/>
  <c r="P322" i="6" s="1"/>
  <c r="J340" i="6"/>
  <c r="K340" i="6" s="1"/>
  <c r="L340" i="6"/>
  <c r="O340" i="6" s="1"/>
  <c r="P340" i="6" s="1"/>
  <c r="J33" i="6"/>
  <c r="K33" i="6" s="1"/>
  <c r="L33" i="6"/>
  <c r="O33" i="6" s="1"/>
  <c r="P33" i="6" s="1"/>
  <c r="J671" i="6"/>
  <c r="K671" i="6" s="1"/>
  <c r="L671" i="6"/>
  <c r="J715" i="6"/>
  <c r="K715" i="6" s="1"/>
  <c r="L715" i="6"/>
  <c r="J887" i="6"/>
  <c r="K887" i="6" s="1"/>
  <c r="L887" i="6"/>
  <c r="J453" i="6"/>
  <c r="K453" i="6" s="1"/>
  <c r="L453" i="6"/>
  <c r="O453" i="6" s="1"/>
  <c r="P453" i="6" s="1"/>
  <c r="J916" i="6"/>
  <c r="K916" i="6" s="1"/>
  <c r="L916" i="6"/>
  <c r="O916" i="6" s="1"/>
  <c r="P916" i="6" s="1"/>
  <c r="J662" i="6"/>
  <c r="K662" i="6" s="1"/>
  <c r="L662" i="6"/>
  <c r="J948" i="6"/>
  <c r="K948" i="6" s="1"/>
  <c r="L948" i="6"/>
  <c r="J422" i="6"/>
  <c r="K422" i="6" s="1"/>
  <c r="L422" i="6"/>
  <c r="J112" i="6"/>
  <c r="K112" i="6" s="1"/>
  <c r="L112" i="6"/>
  <c r="J566" i="6"/>
  <c r="K566" i="6" s="1"/>
  <c r="L566" i="6"/>
  <c r="O566" i="6" s="1"/>
  <c r="P566" i="6" s="1"/>
  <c r="J1045" i="6"/>
  <c r="K1045" i="6" s="1"/>
  <c r="L1045" i="6"/>
  <c r="O1045" i="6" s="1"/>
  <c r="P1045" i="6" s="1"/>
  <c r="J555" i="6"/>
  <c r="K555" i="6" s="1"/>
  <c r="L555" i="6"/>
  <c r="J194" i="6"/>
  <c r="K194" i="6" s="1"/>
  <c r="L194" i="6"/>
  <c r="J94" i="6"/>
  <c r="K94" i="6" s="1"/>
  <c r="L94" i="6"/>
  <c r="J929" i="6"/>
  <c r="K929" i="6" s="1"/>
  <c r="L929" i="6"/>
  <c r="J229" i="6"/>
  <c r="K229" i="6" s="1"/>
  <c r="L229" i="6"/>
  <c r="O229" i="6" s="1"/>
  <c r="P229" i="6" s="1"/>
  <c r="J656" i="6"/>
  <c r="K656" i="6" s="1"/>
  <c r="L656" i="6"/>
  <c r="J710" i="6"/>
  <c r="K710" i="6" s="1"/>
  <c r="L710" i="6"/>
  <c r="O710" i="6" s="1"/>
  <c r="P710" i="6" s="1"/>
  <c r="J845" i="6"/>
  <c r="K845" i="6" s="1"/>
  <c r="L845" i="6"/>
  <c r="J511" i="6"/>
  <c r="K511" i="6" s="1"/>
  <c r="L511" i="6"/>
  <c r="O511" i="6" s="1"/>
  <c r="P511" i="6" s="1"/>
  <c r="J362" i="6"/>
  <c r="K362" i="6" s="1"/>
  <c r="L362" i="6"/>
  <c r="O362" i="6" s="1"/>
  <c r="P362" i="6" s="1"/>
  <c r="J873" i="6"/>
  <c r="K873" i="6" s="1"/>
  <c r="L873" i="6"/>
  <c r="J281" i="6"/>
  <c r="K281" i="6" s="1"/>
  <c r="L281" i="6"/>
  <c r="O281" i="6" s="1"/>
  <c r="P281" i="6" s="1"/>
  <c r="J258" i="6"/>
  <c r="K258" i="6" s="1"/>
  <c r="L258" i="6"/>
  <c r="O258" i="6" s="1"/>
  <c r="P258" i="6" s="1"/>
  <c r="J608" i="6"/>
  <c r="K608" i="6" s="1"/>
  <c r="L608" i="6"/>
  <c r="O608" i="6" s="1"/>
  <c r="P608" i="6" s="1"/>
  <c r="J443" i="6"/>
  <c r="K443" i="6" s="1"/>
  <c r="L443" i="6"/>
  <c r="J119" i="6"/>
  <c r="K119" i="6" s="1"/>
  <c r="L119" i="6"/>
  <c r="O119" i="6" s="1"/>
  <c r="P119" i="6" s="1"/>
  <c r="J554" i="6"/>
  <c r="K554" i="6" s="1"/>
  <c r="L554" i="6"/>
  <c r="J880" i="6"/>
  <c r="K880" i="6" s="1"/>
  <c r="L880" i="6"/>
  <c r="O880" i="6" s="1"/>
  <c r="P880" i="6" s="1"/>
  <c r="J823" i="6"/>
  <c r="K823" i="6" s="1"/>
  <c r="L823" i="6"/>
  <c r="J503" i="6"/>
  <c r="K503" i="6" s="1"/>
  <c r="L503" i="6"/>
  <c r="O503" i="6" s="1"/>
  <c r="P503" i="6" s="1"/>
  <c r="J705" i="6"/>
  <c r="K705" i="6" s="1"/>
  <c r="L705" i="6"/>
  <c r="O705" i="6" s="1"/>
  <c r="P705" i="6" s="1"/>
  <c r="J384" i="6"/>
  <c r="K384" i="6" s="1"/>
  <c r="L384" i="6"/>
  <c r="J204" i="6"/>
  <c r="K204" i="6" s="1"/>
  <c r="L204" i="6"/>
  <c r="J324" i="6"/>
  <c r="K324" i="6" s="1"/>
  <c r="L324" i="6"/>
  <c r="O324" i="6" s="1"/>
  <c r="P324" i="6" s="1"/>
  <c r="J135" i="6"/>
  <c r="K135" i="6" s="1"/>
  <c r="L135" i="6"/>
  <c r="O135" i="6" s="1"/>
  <c r="P135" i="6" s="1"/>
  <c r="J111" i="6"/>
  <c r="K111" i="6" s="1"/>
  <c r="L111" i="6"/>
  <c r="J1067" i="6"/>
  <c r="K1067" i="6" s="1"/>
  <c r="L1067" i="6"/>
  <c r="J641" i="6"/>
  <c r="K641" i="6" s="1"/>
  <c r="L641" i="6"/>
  <c r="J991" i="6"/>
  <c r="K991" i="6" s="1"/>
  <c r="L991" i="6"/>
  <c r="O991" i="6" s="1"/>
  <c r="P991" i="6" s="1"/>
  <c r="J622" i="6"/>
  <c r="K622" i="6" s="1"/>
  <c r="L622" i="6"/>
  <c r="J212" i="6"/>
  <c r="K212" i="6" s="1"/>
  <c r="L212" i="6"/>
  <c r="J975" i="6"/>
  <c r="K975" i="6" s="1"/>
  <c r="L975" i="6"/>
  <c r="J507" i="6"/>
  <c r="K507" i="6" s="1"/>
  <c r="L507" i="6"/>
  <c r="O507" i="6" s="1"/>
  <c r="P507" i="6" s="1"/>
  <c r="J404" i="6"/>
  <c r="K404" i="6" s="1"/>
  <c r="L404" i="6"/>
  <c r="O404" i="6" s="1"/>
  <c r="P404" i="6" s="1"/>
  <c r="J835" i="6"/>
  <c r="K835" i="6" s="1"/>
  <c r="L835" i="6"/>
  <c r="O835" i="6" s="1"/>
  <c r="P835" i="6" s="1"/>
  <c r="J747" i="6"/>
  <c r="K747" i="6" s="1"/>
  <c r="L747" i="6"/>
  <c r="J35" i="6"/>
  <c r="K35" i="6" s="1"/>
  <c r="L35" i="6"/>
  <c r="J628" i="6"/>
  <c r="K628" i="6" s="1"/>
  <c r="L628" i="6"/>
  <c r="J537" i="6"/>
  <c r="K537" i="6" s="1"/>
  <c r="L537" i="6"/>
  <c r="J895" i="6"/>
  <c r="K895" i="6" s="1"/>
  <c r="L895" i="6"/>
  <c r="J644" i="6"/>
  <c r="K644" i="6" s="1"/>
  <c r="L644" i="6"/>
  <c r="O644" i="6" s="1"/>
  <c r="P644" i="6" s="1"/>
  <c r="J145" i="6"/>
  <c r="K145" i="6" s="1"/>
  <c r="L145" i="6"/>
  <c r="O145" i="6" s="1"/>
  <c r="P145" i="6" s="1"/>
  <c r="J734" i="6"/>
  <c r="K734" i="6" s="1"/>
  <c r="L734" i="6"/>
  <c r="J383" i="6"/>
  <c r="K383" i="6" s="1"/>
  <c r="L383" i="6"/>
  <c r="J907" i="6"/>
  <c r="K907" i="6" s="1"/>
  <c r="L907" i="6"/>
  <c r="J74" i="6"/>
  <c r="K74" i="6" s="1"/>
  <c r="L74" i="6"/>
  <c r="J752" i="6"/>
  <c r="K752" i="6" s="1"/>
  <c r="L752" i="6"/>
  <c r="O752" i="6" s="1"/>
  <c r="P752" i="6" s="1"/>
  <c r="J1064" i="6"/>
  <c r="K1064" i="6" s="1"/>
  <c r="L1064" i="6"/>
  <c r="J288" i="6"/>
  <c r="K288" i="6" s="1"/>
  <c r="L288" i="6"/>
  <c r="J877" i="6"/>
  <c r="K877" i="6" s="1"/>
  <c r="L877" i="6"/>
  <c r="O877" i="6" s="1"/>
  <c r="P877" i="6" s="1"/>
  <c r="J466" i="6"/>
  <c r="K466" i="6" s="1"/>
  <c r="L466" i="6"/>
  <c r="O466" i="6" s="1"/>
  <c r="P466" i="6" s="1"/>
  <c r="J686" i="6"/>
  <c r="K686" i="6" s="1"/>
  <c r="L686" i="6"/>
  <c r="O686" i="6" s="1"/>
  <c r="P686" i="6" s="1"/>
  <c r="J217" i="6"/>
  <c r="K217" i="6" s="1"/>
  <c r="L217" i="6"/>
  <c r="J198" i="6"/>
  <c r="K198" i="6" s="1"/>
  <c r="L198" i="6"/>
  <c r="O198" i="6" s="1"/>
  <c r="P198" i="6" s="1"/>
  <c r="J30" i="6"/>
  <c r="K30" i="6" s="1"/>
  <c r="L30" i="6"/>
  <c r="J186" i="6"/>
  <c r="K186" i="6" s="1"/>
  <c r="L186" i="6"/>
  <c r="J101" i="6"/>
  <c r="K101" i="6" s="1"/>
  <c r="L101" i="6"/>
  <c r="O101" i="6" s="1"/>
  <c r="P101" i="6" s="1"/>
  <c r="J95" i="6"/>
  <c r="K95" i="6" s="1"/>
  <c r="L95" i="6"/>
  <c r="J568" i="6"/>
  <c r="K568" i="6" s="1"/>
  <c r="L568" i="6"/>
  <c r="J988" i="6"/>
  <c r="K988" i="6" s="1"/>
  <c r="L988" i="6"/>
  <c r="O988" i="6" s="1"/>
  <c r="P988" i="6" s="1"/>
  <c r="J413" i="6"/>
  <c r="K413" i="6" s="1"/>
  <c r="L413" i="6"/>
  <c r="O413" i="6" s="1"/>
  <c r="P413" i="6" s="1"/>
  <c r="J51" i="6"/>
  <c r="K51" i="6" s="1"/>
  <c r="L51" i="6"/>
  <c r="O51" i="6" s="1"/>
  <c r="P51" i="6" s="1"/>
  <c r="J1033" i="6"/>
  <c r="K1033" i="6" s="1"/>
  <c r="L1033" i="6"/>
  <c r="O1033" i="6" s="1"/>
  <c r="P1033" i="6" s="1"/>
  <c r="J584" i="6"/>
  <c r="K584" i="6" s="1"/>
  <c r="L584" i="6"/>
  <c r="O584" i="6" s="1"/>
  <c r="P584" i="6" s="1"/>
  <c r="J272" i="6"/>
  <c r="K272" i="6" s="1"/>
  <c r="L272" i="6"/>
  <c r="O272" i="6" s="1"/>
  <c r="P272" i="6" s="1"/>
  <c r="J588" i="6"/>
  <c r="K588" i="6" s="1"/>
  <c r="L588" i="6"/>
  <c r="J550" i="6"/>
  <c r="K550" i="6" s="1"/>
  <c r="L550" i="6"/>
  <c r="J863" i="6"/>
  <c r="K863" i="6" s="1"/>
  <c r="L863" i="6"/>
  <c r="O863" i="6" s="1"/>
  <c r="P863" i="6" s="1"/>
  <c r="J230" i="6"/>
  <c r="K230" i="6" s="1"/>
  <c r="L230" i="6"/>
  <c r="J392" i="6"/>
  <c r="K392" i="6" s="1"/>
  <c r="L392" i="6"/>
  <c r="J932" i="6"/>
  <c r="K932" i="6" s="1"/>
  <c r="L932" i="6"/>
  <c r="J687" i="6"/>
  <c r="K687" i="6" s="1"/>
  <c r="L687" i="6"/>
  <c r="J91" i="6"/>
  <c r="K91" i="6" s="1"/>
  <c r="L91" i="6"/>
  <c r="O91" i="6" s="1"/>
  <c r="P91" i="6" s="1"/>
  <c r="J543" i="6"/>
  <c r="K543" i="6" s="1"/>
  <c r="L543" i="6"/>
  <c r="J117" i="6"/>
  <c r="K117" i="6" s="1"/>
  <c r="L117" i="6"/>
  <c r="J989" i="6"/>
  <c r="K989" i="6" s="1"/>
  <c r="L989" i="6"/>
  <c r="J534" i="6"/>
  <c r="K534" i="6" s="1"/>
  <c r="L534" i="6"/>
  <c r="O534" i="6" s="1"/>
  <c r="P534" i="6" s="1"/>
  <c r="J879" i="6"/>
  <c r="K879" i="6" s="1"/>
  <c r="L879" i="6"/>
  <c r="O879" i="6" s="1"/>
  <c r="P879" i="6" s="1"/>
  <c r="J207" i="6"/>
  <c r="K207" i="6" s="1"/>
  <c r="L207" i="6"/>
  <c r="O207" i="6" s="1"/>
  <c r="P207" i="6" s="1"/>
  <c r="J227" i="6"/>
  <c r="K227" i="6" s="1"/>
  <c r="L227" i="6"/>
  <c r="J200" i="6"/>
  <c r="K200" i="6" s="1"/>
  <c r="L200" i="6"/>
  <c r="O200" i="6" s="1"/>
  <c r="P200" i="6" s="1"/>
  <c r="J839" i="6"/>
  <c r="K839" i="6" s="1"/>
  <c r="L839" i="6"/>
  <c r="O839" i="6" s="1"/>
  <c r="P839" i="6" s="1"/>
  <c r="J432" i="6"/>
  <c r="K432" i="6" s="1"/>
  <c r="L432" i="6"/>
  <c r="O432" i="6" s="1"/>
  <c r="P432" i="6" s="1"/>
  <c r="J723" i="6"/>
  <c r="K723" i="6" s="1"/>
  <c r="L723" i="6"/>
  <c r="J385" i="6"/>
  <c r="K385" i="6" s="1"/>
  <c r="L385" i="6"/>
  <c r="O385" i="6" s="1"/>
  <c r="P385" i="6" s="1"/>
  <c r="J46" i="6"/>
  <c r="K46" i="6" s="1"/>
  <c r="L46" i="6"/>
  <c r="J542" i="6"/>
  <c r="K542" i="6" s="1"/>
  <c r="L542" i="6"/>
  <c r="J408" i="6"/>
  <c r="K408" i="6" s="1"/>
  <c r="L408" i="6"/>
  <c r="O408" i="6" s="1"/>
  <c r="P408" i="6" s="1"/>
  <c r="J316" i="6"/>
  <c r="K316" i="6" s="1"/>
  <c r="L316" i="6"/>
  <c r="O316" i="6" s="1"/>
  <c r="P316" i="6" s="1"/>
  <c r="J772" i="6"/>
  <c r="K772" i="6" s="1"/>
  <c r="L772" i="6"/>
  <c r="J677" i="6"/>
  <c r="K677" i="6" s="1"/>
  <c r="L677" i="6"/>
  <c r="O677" i="6" s="1"/>
  <c r="P677" i="6" s="1"/>
  <c r="J197" i="6"/>
  <c r="K197" i="6" s="1"/>
  <c r="L197" i="6"/>
  <c r="J1039" i="6"/>
  <c r="K1039" i="6" s="1"/>
  <c r="L1039" i="6"/>
  <c r="O1039" i="6" s="1"/>
  <c r="P1039" i="6" s="1"/>
  <c r="J455" i="6"/>
  <c r="K455" i="6" s="1"/>
  <c r="L455" i="6"/>
  <c r="O455" i="6" s="1"/>
  <c r="P455" i="6" s="1"/>
  <c r="J611" i="6"/>
  <c r="K611" i="6" s="1"/>
  <c r="L611" i="6"/>
  <c r="J700" i="6"/>
  <c r="K700" i="6" s="1"/>
  <c r="L700" i="6"/>
  <c r="J48" i="6"/>
  <c r="K48" i="6" s="1"/>
  <c r="L48" i="6"/>
  <c r="O48" i="6" s="1"/>
  <c r="P48" i="6" s="1"/>
  <c r="J310" i="6"/>
  <c r="K310" i="6" s="1"/>
  <c r="L310" i="6"/>
  <c r="J62" i="6"/>
  <c r="K62" i="6" s="1"/>
  <c r="L62" i="6"/>
  <c r="J57" i="6"/>
  <c r="K57" i="6" s="1"/>
  <c r="L57" i="6"/>
  <c r="J634" i="6"/>
  <c r="K634" i="6" s="1"/>
  <c r="L634" i="6"/>
  <c r="J292" i="6"/>
  <c r="K292" i="6" s="1"/>
  <c r="L292" i="6"/>
  <c r="J483" i="6"/>
  <c r="K483" i="6" s="1"/>
  <c r="L483" i="6"/>
  <c r="J438" i="6"/>
  <c r="K438" i="6" s="1"/>
  <c r="L438" i="6"/>
  <c r="J189" i="6"/>
  <c r="K189" i="6" s="1"/>
  <c r="L189" i="6"/>
  <c r="O189" i="6" s="1"/>
  <c r="P189" i="6" s="1"/>
  <c r="J219" i="6"/>
  <c r="K219" i="6" s="1"/>
  <c r="L219" i="6"/>
  <c r="J273" i="6"/>
  <c r="K273" i="6" s="1"/>
  <c r="L273" i="6"/>
  <c r="L1074" i="6"/>
  <c r="L1058" i="6"/>
  <c r="L1042" i="6"/>
  <c r="O1042" i="6" s="1"/>
  <c r="P1042" i="6" s="1"/>
  <c r="L1026" i="6"/>
  <c r="O1026" i="6" s="1"/>
  <c r="P1026" i="6" s="1"/>
  <c r="L1010" i="6"/>
  <c r="L994" i="6"/>
  <c r="L978" i="6"/>
  <c r="O978" i="6" s="1"/>
  <c r="P978" i="6" s="1"/>
  <c r="L962" i="6"/>
  <c r="L946" i="6"/>
  <c r="O946" i="6" s="1"/>
  <c r="P946" i="6" s="1"/>
  <c r="L930" i="6"/>
  <c r="O930" i="6" s="1"/>
  <c r="P930" i="6" s="1"/>
  <c r="L914" i="6"/>
  <c r="L898" i="6"/>
  <c r="L882" i="6"/>
  <c r="O882" i="6" s="1"/>
  <c r="P882" i="6" s="1"/>
  <c r="L866" i="6"/>
  <c r="L850" i="6"/>
  <c r="L834" i="6"/>
  <c r="O834" i="6" s="1"/>
  <c r="P834" i="6" s="1"/>
  <c r="L818" i="6"/>
  <c r="O818" i="6" s="1"/>
  <c r="P818" i="6" s="1"/>
  <c r="L802" i="6"/>
  <c r="O802" i="6" s="1"/>
  <c r="P802" i="6" s="1"/>
  <c r="L786" i="6"/>
  <c r="O786" i="6" s="1"/>
  <c r="P786" i="6" s="1"/>
  <c r="L770" i="6"/>
  <c r="J54" i="6"/>
  <c r="K54" i="6" s="1"/>
  <c r="L54" i="6"/>
  <c r="O54" i="6" s="1"/>
  <c r="P54" i="6" s="1"/>
  <c r="J979" i="6"/>
  <c r="K979" i="6" s="1"/>
  <c r="L979" i="6"/>
  <c r="O979" i="6" s="1"/>
  <c r="P979" i="6" s="1"/>
  <c r="J334" i="6"/>
  <c r="K334" i="6" s="1"/>
  <c r="L334" i="6"/>
  <c r="O334" i="6" s="1"/>
  <c r="P334" i="6" s="1"/>
  <c r="J891" i="6"/>
  <c r="K891" i="6" s="1"/>
  <c r="L891" i="6"/>
  <c r="J202" i="6"/>
  <c r="K202" i="6" s="1"/>
  <c r="L202" i="6"/>
  <c r="O202" i="6" s="1"/>
  <c r="P202" i="6" s="1"/>
  <c r="J364" i="6"/>
  <c r="K364" i="6" s="1"/>
  <c r="L364" i="6"/>
  <c r="O364" i="6" s="1"/>
  <c r="P364" i="6" s="1"/>
  <c r="J136" i="6"/>
  <c r="K136" i="6" s="1"/>
  <c r="L136" i="6"/>
  <c r="O136" i="6" s="1"/>
  <c r="P136" i="6" s="1"/>
  <c r="J210" i="6"/>
  <c r="K210" i="6" s="1"/>
  <c r="L210" i="6"/>
  <c r="O210" i="6" s="1"/>
  <c r="P210" i="6" s="1"/>
  <c r="J562" i="6"/>
  <c r="K562" i="6" s="1"/>
  <c r="L562" i="6"/>
  <c r="O562" i="6" s="1"/>
  <c r="P562" i="6" s="1"/>
  <c r="J406" i="6"/>
  <c r="K406" i="6" s="1"/>
  <c r="L406" i="6"/>
  <c r="O406" i="6" s="1"/>
  <c r="P406" i="6" s="1"/>
  <c r="J109" i="6"/>
  <c r="K109" i="6" s="1"/>
  <c r="L109" i="6"/>
  <c r="J600" i="6"/>
  <c r="K600" i="6" s="1"/>
  <c r="L600" i="6"/>
  <c r="J859" i="6"/>
  <c r="K859" i="6" s="1"/>
  <c r="L859" i="6"/>
  <c r="O859" i="6" s="1"/>
  <c r="P859" i="6" s="1"/>
  <c r="J976" i="6"/>
  <c r="K976" i="6" s="1"/>
  <c r="L976" i="6"/>
  <c r="J348" i="6"/>
  <c r="K348" i="6" s="1"/>
  <c r="L348" i="6"/>
  <c r="O348" i="6" s="1"/>
  <c r="P348" i="6" s="1"/>
  <c r="J24" i="6"/>
  <c r="K24" i="6" s="1"/>
  <c r="L24" i="6"/>
  <c r="O24" i="6" s="1"/>
  <c r="P24" i="6" s="1"/>
  <c r="J681" i="6"/>
  <c r="K681" i="6" s="1"/>
  <c r="L681" i="6"/>
  <c r="O681" i="6" s="1"/>
  <c r="P681" i="6" s="1"/>
  <c r="J368" i="6"/>
  <c r="K368" i="6" s="1"/>
  <c r="L368" i="6"/>
  <c r="J407" i="6"/>
  <c r="K407" i="6" s="1"/>
  <c r="L407" i="6"/>
  <c r="J394" i="6"/>
  <c r="K394" i="6" s="1"/>
  <c r="L394" i="6"/>
  <c r="O394" i="6" s="1"/>
  <c r="P394" i="6" s="1"/>
  <c r="J308" i="6"/>
  <c r="K308" i="6" s="1"/>
  <c r="L308" i="6"/>
  <c r="J1035" i="6"/>
  <c r="K1035" i="6" s="1"/>
  <c r="L1035" i="6"/>
  <c r="O1035" i="6" s="1"/>
  <c r="P1035" i="6" s="1"/>
  <c r="J437" i="6"/>
  <c r="K437" i="6" s="1"/>
  <c r="L437" i="6"/>
  <c r="O437" i="6" s="1"/>
  <c r="P437" i="6" s="1"/>
  <c r="J423" i="6"/>
  <c r="K423" i="6" s="1"/>
  <c r="L423" i="6"/>
  <c r="J410" i="6"/>
  <c r="K410" i="6" s="1"/>
  <c r="L410" i="6"/>
  <c r="O410" i="6" s="1"/>
  <c r="P410" i="6" s="1"/>
  <c r="J512" i="6"/>
  <c r="K512" i="6" s="1"/>
  <c r="L512" i="6"/>
  <c r="O512" i="6" s="1"/>
  <c r="P512" i="6" s="1"/>
  <c r="J243" i="6"/>
  <c r="K243" i="6" s="1"/>
  <c r="L243" i="6"/>
  <c r="J492" i="6"/>
  <c r="K492" i="6" s="1"/>
  <c r="L492" i="6"/>
  <c r="J567" i="6"/>
  <c r="K567" i="6" s="1"/>
  <c r="L567" i="6"/>
  <c r="O567" i="6" s="1"/>
  <c r="P567" i="6" s="1"/>
  <c r="J143" i="6"/>
  <c r="K143" i="6" s="1"/>
  <c r="L143" i="6"/>
  <c r="O143" i="6" s="1"/>
  <c r="P143" i="6" s="1"/>
  <c r="J447" i="6"/>
  <c r="K447" i="6" s="1"/>
  <c r="L447" i="6"/>
  <c r="O447" i="6" s="1"/>
  <c r="P447" i="6" s="1"/>
  <c r="J182" i="6"/>
  <c r="K182" i="6" s="1"/>
  <c r="L182" i="6"/>
  <c r="J598" i="6"/>
  <c r="K598" i="6" s="1"/>
  <c r="L598" i="6"/>
  <c r="J699" i="6"/>
  <c r="K699" i="6" s="1"/>
  <c r="L699" i="6"/>
  <c r="O699" i="6" s="1"/>
  <c r="P699" i="6" s="1"/>
  <c r="J654" i="6"/>
  <c r="K654" i="6" s="1"/>
  <c r="L654" i="6"/>
  <c r="O654" i="6" s="1"/>
  <c r="P654" i="6" s="1"/>
  <c r="J836" i="6"/>
  <c r="K836" i="6" s="1"/>
  <c r="L836" i="6"/>
  <c r="O836" i="6" s="1"/>
  <c r="P836" i="6" s="1"/>
  <c r="J199" i="6"/>
  <c r="K199" i="6" s="1"/>
  <c r="L199" i="6"/>
  <c r="O199" i="6" s="1"/>
  <c r="P199" i="6" s="1"/>
  <c r="J530" i="6"/>
  <c r="K530" i="6" s="1"/>
  <c r="L530" i="6"/>
  <c r="J813" i="6"/>
  <c r="K813" i="6" s="1"/>
  <c r="L813" i="6"/>
  <c r="O813" i="6" s="1"/>
  <c r="P813" i="6" s="1"/>
  <c r="J457" i="6"/>
  <c r="K457" i="6" s="1"/>
  <c r="L457" i="6"/>
  <c r="O457" i="6" s="1"/>
  <c r="P457" i="6" s="1"/>
  <c r="J636" i="6"/>
  <c r="K636" i="6" s="1"/>
  <c r="L636" i="6"/>
  <c r="J1041" i="6"/>
  <c r="K1041" i="6" s="1"/>
  <c r="L1041" i="6"/>
  <c r="O1041" i="6" s="1"/>
  <c r="P1041" i="6" s="1"/>
  <c r="J23" i="6"/>
  <c r="K23" i="6" s="1"/>
  <c r="L23" i="6"/>
  <c r="O23" i="6" s="1"/>
  <c r="P23" i="6" s="1"/>
  <c r="J965" i="6"/>
  <c r="K965" i="6" s="1"/>
  <c r="L965" i="6"/>
  <c r="O965" i="6" s="1"/>
  <c r="P965" i="6" s="1"/>
  <c r="J496" i="6"/>
  <c r="K496" i="6" s="1"/>
  <c r="L496" i="6"/>
  <c r="O496" i="6" s="1"/>
  <c r="P496" i="6" s="1"/>
  <c r="J1024" i="6"/>
  <c r="K1024" i="6" s="1"/>
  <c r="L1024" i="6"/>
  <c r="J205" i="6"/>
  <c r="K205" i="6" s="1"/>
  <c r="L205" i="6"/>
  <c r="J996" i="6"/>
  <c r="K996" i="6" s="1"/>
  <c r="L996" i="6"/>
  <c r="J856" i="6"/>
  <c r="K856" i="6" s="1"/>
  <c r="L856" i="6"/>
  <c r="J82" i="6"/>
  <c r="K82" i="6" s="1"/>
  <c r="L82" i="6"/>
  <c r="J690" i="6"/>
  <c r="K690" i="6" s="1"/>
  <c r="L690" i="6"/>
  <c r="J201" i="6"/>
  <c r="K201" i="6" s="1"/>
  <c r="L201" i="6"/>
  <c r="O201" i="6" s="1"/>
  <c r="P201" i="6" s="1"/>
  <c r="J414" i="6"/>
  <c r="K414" i="6" s="1"/>
  <c r="L414" i="6"/>
  <c r="J371" i="6"/>
  <c r="K371" i="6" s="1"/>
  <c r="L371" i="6"/>
  <c r="J787" i="6"/>
  <c r="K787" i="6" s="1"/>
  <c r="L787" i="6"/>
  <c r="O787" i="6" s="1"/>
  <c r="P787" i="6" s="1"/>
  <c r="J676" i="6"/>
  <c r="K676" i="6" s="1"/>
  <c r="L676" i="6"/>
  <c r="J478" i="6"/>
  <c r="K478" i="6" s="1"/>
  <c r="L478" i="6"/>
  <c r="O478" i="6" s="1"/>
  <c r="P478" i="6" s="1"/>
  <c r="J573" i="6"/>
  <c r="K573" i="6" s="1"/>
  <c r="L573" i="6"/>
  <c r="O573" i="6" s="1"/>
  <c r="P573" i="6" s="1"/>
  <c r="J572" i="6"/>
  <c r="K572" i="6" s="1"/>
  <c r="L572" i="6"/>
  <c r="O572" i="6" s="1"/>
  <c r="P572" i="6" s="1"/>
  <c r="J147" i="6"/>
  <c r="K147" i="6" s="1"/>
  <c r="L147" i="6"/>
  <c r="J315" i="6"/>
  <c r="K315" i="6" s="1"/>
  <c r="L315" i="6"/>
  <c r="J586" i="6"/>
  <c r="K586" i="6" s="1"/>
  <c r="L586" i="6"/>
  <c r="O586" i="6" s="1"/>
  <c r="P586" i="6" s="1"/>
  <c r="J467" i="6"/>
  <c r="K467" i="6" s="1"/>
  <c r="L467" i="6"/>
  <c r="O467" i="6" s="1"/>
  <c r="P467" i="6" s="1"/>
  <c r="J356" i="6"/>
  <c r="K356" i="6" s="1"/>
  <c r="L356" i="6"/>
  <c r="O356" i="6" s="1"/>
  <c r="P356" i="6" s="1"/>
  <c r="J375" i="6"/>
  <c r="K375" i="6" s="1"/>
  <c r="L375" i="6"/>
  <c r="J518" i="6"/>
  <c r="K518" i="6" s="1"/>
  <c r="L518" i="6"/>
  <c r="J849" i="6"/>
  <c r="K849" i="6" s="1"/>
  <c r="L849" i="6"/>
  <c r="J162" i="6"/>
  <c r="K162" i="6" s="1"/>
  <c r="L162" i="6"/>
  <c r="J796" i="6"/>
  <c r="K796" i="6" s="1"/>
  <c r="L796" i="6"/>
  <c r="J220" i="6"/>
  <c r="K220" i="6" s="1"/>
  <c r="L220" i="6"/>
  <c r="O220" i="6" s="1"/>
  <c r="P220" i="6" s="1"/>
  <c r="J795" i="6"/>
  <c r="K795" i="6" s="1"/>
  <c r="L795" i="6"/>
  <c r="J88" i="6"/>
  <c r="K88" i="6" s="1"/>
  <c r="L88" i="6"/>
  <c r="O88" i="6" s="1"/>
  <c r="P88" i="6" s="1"/>
  <c r="J21" i="6"/>
  <c r="K21" i="6" s="1"/>
  <c r="L21" i="6"/>
  <c r="O21" i="6" s="1"/>
  <c r="P21" i="6" s="1"/>
  <c r="J742" i="6"/>
  <c r="K742" i="6" s="1"/>
  <c r="L742" i="6"/>
  <c r="O742" i="6" s="1"/>
  <c r="P742" i="6" s="1"/>
  <c r="J650" i="6"/>
  <c r="K650" i="6" s="1"/>
  <c r="L650" i="6"/>
  <c r="J513" i="6"/>
  <c r="K513" i="6" s="1"/>
  <c r="L513" i="6"/>
  <c r="J240" i="6"/>
  <c r="K240" i="6" s="1"/>
  <c r="L240" i="6"/>
  <c r="O240" i="6" s="1"/>
  <c r="P240" i="6" s="1"/>
  <c r="J544" i="6"/>
  <c r="K544" i="6" s="1"/>
  <c r="L544" i="6"/>
  <c r="J151" i="6"/>
  <c r="K151" i="6" s="1"/>
  <c r="L151" i="6"/>
  <c r="J825" i="6"/>
  <c r="K825" i="6" s="1"/>
  <c r="L825" i="6"/>
  <c r="J239" i="6"/>
  <c r="K239" i="6" s="1"/>
  <c r="L239" i="6"/>
  <c r="O239" i="6" s="1"/>
  <c r="P239" i="6" s="1"/>
  <c r="J548" i="6"/>
  <c r="K548" i="6" s="1"/>
  <c r="L548" i="6"/>
  <c r="O548" i="6" s="1"/>
  <c r="P548" i="6" s="1"/>
  <c r="J871" i="6"/>
  <c r="K871" i="6" s="1"/>
  <c r="L871" i="6"/>
  <c r="J38" i="6"/>
  <c r="K38" i="6" s="1"/>
  <c r="L38" i="6"/>
  <c r="J1032" i="6"/>
  <c r="K1032" i="6" s="1"/>
  <c r="L1032" i="6"/>
  <c r="J807" i="6"/>
  <c r="K807" i="6" s="1"/>
  <c r="L807" i="6"/>
  <c r="J751" i="6"/>
  <c r="K751" i="6" s="1"/>
  <c r="L751" i="6"/>
  <c r="J935" i="6"/>
  <c r="K935" i="6" s="1"/>
  <c r="L935" i="6"/>
  <c r="O935" i="6" s="1"/>
  <c r="P935" i="6" s="1"/>
  <c r="J213" i="6"/>
  <c r="K213" i="6" s="1"/>
  <c r="L213" i="6"/>
  <c r="J80" i="6"/>
  <c r="K80" i="6" s="1"/>
  <c r="L80" i="6"/>
  <c r="O80" i="6" s="1"/>
  <c r="P80" i="6" s="1"/>
  <c r="J1020" i="6"/>
  <c r="K1020" i="6" s="1"/>
  <c r="L1020" i="6"/>
  <c r="O1020" i="6" s="1"/>
  <c r="P1020" i="6" s="1"/>
  <c r="J280" i="6"/>
  <c r="K280" i="6" s="1"/>
  <c r="L280" i="6"/>
  <c r="O280" i="6" s="1"/>
  <c r="P280" i="6" s="1"/>
  <c r="J925" i="6"/>
  <c r="K925" i="6" s="1"/>
  <c r="L925" i="6"/>
  <c r="O925" i="6" s="1"/>
  <c r="P925" i="6" s="1"/>
  <c r="J896" i="6"/>
  <c r="K896" i="6" s="1"/>
  <c r="L896" i="6"/>
  <c r="J203" i="6"/>
  <c r="K203" i="6" s="1"/>
  <c r="L203" i="6"/>
  <c r="J523" i="6"/>
  <c r="K523" i="6" s="1"/>
  <c r="L523" i="6"/>
  <c r="J594" i="6"/>
  <c r="K594" i="6" s="1"/>
  <c r="L594" i="6"/>
  <c r="O594" i="6" s="1"/>
  <c r="P594" i="6" s="1"/>
  <c r="J306" i="6"/>
  <c r="K306" i="6" s="1"/>
  <c r="L306" i="6"/>
  <c r="J861" i="6"/>
  <c r="K861" i="6" s="1"/>
  <c r="L861" i="6"/>
  <c r="O861" i="6" s="1"/>
  <c r="P861" i="6" s="1"/>
  <c r="J909" i="6"/>
  <c r="K909" i="6" s="1"/>
  <c r="L909" i="6"/>
  <c r="J1029" i="6"/>
  <c r="K1029" i="6" s="1"/>
  <c r="L1029" i="6"/>
  <c r="O1029" i="6" s="1"/>
  <c r="P1029" i="6" s="1"/>
  <c r="J1056" i="6"/>
  <c r="K1056" i="6" s="1"/>
  <c r="L1056" i="6"/>
  <c r="J163" i="6"/>
  <c r="K163" i="6" s="1"/>
  <c r="L163" i="6"/>
  <c r="O163" i="6" s="1"/>
  <c r="P163" i="6" s="1"/>
  <c r="J696" i="6"/>
  <c r="K696" i="6" s="1"/>
  <c r="L696" i="6"/>
  <c r="J409" i="6"/>
  <c r="K409" i="6" s="1"/>
  <c r="L409" i="6"/>
  <c r="O409" i="6" s="1"/>
  <c r="P409" i="6" s="1"/>
  <c r="J429" i="6"/>
  <c r="K429" i="6" s="1"/>
  <c r="L429" i="6"/>
  <c r="J456" i="6"/>
  <c r="K456" i="6" s="1"/>
  <c r="L456" i="6"/>
  <c r="O456" i="6" s="1"/>
  <c r="P456" i="6" s="1"/>
  <c r="J373" i="6"/>
  <c r="K373" i="6" s="1"/>
  <c r="L373" i="6"/>
  <c r="O373" i="6" s="1"/>
  <c r="P373" i="6" s="1"/>
  <c r="J433" i="6"/>
  <c r="K433" i="6" s="1"/>
  <c r="L433" i="6"/>
  <c r="O433" i="6" s="1"/>
  <c r="P433" i="6" s="1"/>
  <c r="J167" i="6"/>
  <c r="K167" i="6" s="1"/>
  <c r="L167" i="6"/>
  <c r="O167" i="6" s="1"/>
  <c r="P167" i="6" s="1"/>
  <c r="J77" i="6"/>
  <c r="K77" i="6" s="1"/>
  <c r="L77" i="6"/>
  <c r="J614" i="6"/>
  <c r="K614" i="6" s="1"/>
  <c r="L614" i="6"/>
  <c r="J893" i="6"/>
  <c r="K893" i="6" s="1"/>
  <c r="L893" i="6"/>
  <c r="J232" i="6"/>
  <c r="K232" i="6" s="1"/>
  <c r="L232" i="6"/>
  <c r="O232" i="6" s="1"/>
  <c r="P232" i="6" s="1"/>
  <c r="J913" i="6"/>
  <c r="K913" i="6" s="1"/>
  <c r="L913" i="6"/>
  <c r="J803" i="6"/>
  <c r="K803" i="6" s="1"/>
  <c r="L803" i="6"/>
  <c r="O803" i="6" s="1"/>
  <c r="P803" i="6" s="1"/>
  <c r="J727" i="6"/>
  <c r="K727" i="6" s="1"/>
  <c r="L727" i="6"/>
  <c r="O727" i="6" s="1"/>
  <c r="P727" i="6" s="1"/>
  <c r="J338" i="6"/>
  <c r="K338" i="6" s="1"/>
  <c r="L338" i="6"/>
  <c r="O338" i="6" s="1"/>
  <c r="P338" i="6" s="1"/>
  <c r="J144" i="6"/>
  <c r="K144" i="6" s="1"/>
  <c r="L144" i="6"/>
  <c r="O144" i="6" s="1"/>
  <c r="P144" i="6" s="1"/>
  <c r="J463" i="6"/>
  <c r="K463" i="6" s="1"/>
  <c r="L463" i="6"/>
  <c r="O463" i="6" s="1"/>
  <c r="P463" i="6" s="1"/>
  <c r="J123" i="6"/>
  <c r="K123" i="6" s="1"/>
  <c r="L123" i="6"/>
  <c r="O123" i="6" s="1"/>
  <c r="P123" i="6" s="1"/>
  <c r="J221" i="6"/>
  <c r="K221" i="6" s="1"/>
  <c r="L221" i="6"/>
  <c r="O221" i="6" s="1"/>
  <c r="P221" i="6" s="1"/>
  <c r="J553" i="6"/>
  <c r="K553" i="6" s="1"/>
  <c r="L553" i="6"/>
  <c r="J665" i="6"/>
  <c r="K665" i="6" s="1"/>
  <c r="L665" i="6"/>
  <c r="J150" i="6"/>
  <c r="K150" i="6" s="1"/>
  <c r="L150" i="6"/>
  <c r="J58" i="6"/>
  <c r="K58" i="6" s="1"/>
  <c r="L58" i="6"/>
  <c r="J440" i="6"/>
  <c r="K440" i="6" s="1"/>
  <c r="L440" i="6"/>
  <c r="J957" i="6"/>
  <c r="K957" i="6" s="1"/>
  <c r="L957" i="6"/>
  <c r="O957" i="6" s="1"/>
  <c r="P957" i="6" s="1"/>
  <c r="J126" i="6"/>
  <c r="K126" i="6" s="1"/>
  <c r="L126" i="6"/>
  <c r="O126" i="6" s="1"/>
  <c r="P126" i="6" s="1"/>
  <c r="J425" i="6"/>
  <c r="K425" i="6" s="1"/>
  <c r="L425" i="6"/>
  <c r="J785" i="6"/>
  <c r="K785" i="6" s="1"/>
  <c r="L785" i="6"/>
  <c r="O785" i="6" s="1"/>
  <c r="P785" i="6" s="1"/>
  <c r="J847" i="6"/>
  <c r="K847" i="6" s="1"/>
  <c r="L847" i="6"/>
  <c r="J876" i="6"/>
  <c r="K876" i="6" s="1"/>
  <c r="L876" i="6"/>
  <c r="O876" i="6" s="1"/>
  <c r="P876" i="6" s="1"/>
  <c r="J349" i="6"/>
  <c r="K349" i="6" s="1"/>
  <c r="L349" i="6"/>
  <c r="J26" i="6"/>
  <c r="K26" i="6" s="1"/>
  <c r="L26" i="6"/>
  <c r="O26" i="6" s="1"/>
  <c r="P26" i="6" s="1"/>
  <c r="J215" i="6"/>
  <c r="K215" i="6" s="1"/>
  <c r="L215" i="6"/>
  <c r="J921" i="6"/>
  <c r="K921" i="6" s="1"/>
  <c r="L921" i="6"/>
  <c r="J18" i="6"/>
  <c r="K18" i="6" s="1"/>
  <c r="L18" i="6"/>
  <c r="O18" i="6" s="1"/>
  <c r="P18" i="6" s="1"/>
  <c r="J351" i="6"/>
  <c r="K351" i="6" s="1"/>
  <c r="L351" i="6"/>
  <c r="O351" i="6" s="1"/>
  <c r="P351" i="6" s="1"/>
  <c r="J741" i="6"/>
  <c r="K741" i="6" s="1"/>
  <c r="L741" i="6"/>
  <c r="O741" i="6" s="1"/>
  <c r="P741" i="6" s="1"/>
  <c r="J164" i="6"/>
  <c r="K164" i="6" s="1"/>
  <c r="L164" i="6"/>
  <c r="O164" i="6" s="1"/>
  <c r="P164" i="6" s="1"/>
  <c r="J98" i="6"/>
  <c r="K98" i="6" s="1"/>
  <c r="L98" i="6"/>
  <c r="J526" i="6"/>
  <c r="K526" i="6" s="1"/>
  <c r="L526" i="6"/>
  <c r="O526" i="6" s="1"/>
  <c r="P526" i="6" s="1"/>
  <c r="J624" i="6"/>
  <c r="K624" i="6" s="1"/>
  <c r="L624" i="6"/>
  <c r="J955" i="6"/>
  <c r="K955" i="6" s="1"/>
  <c r="L955" i="6"/>
  <c r="O955" i="6" s="1"/>
  <c r="P955" i="6" s="1"/>
  <c r="J475" i="6"/>
  <c r="K475" i="6" s="1"/>
  <c r="L475" i="6"/>
  <c r="J1015" i="6"/>
  <c r="K1015" i="6" s="1"/>
  <c r="L1015" i="6"/>
  <c r="J102" i="6"/>
  <c r="K102" i="6" s="1"/>
  <c r="L102" i="6"/>
  <c r="J626" i="6"/>
  <c r="K626" i="6" s="1"/>
  <c r="L626" i="6"/>
  <c r="O626" i="6" s="1"/>
  <c r="P626" i="6" s="1"/>
  <c r="J67" i="6"/>
  <c r="K67" i="6" s="1"/>
  <c r="L67" i="6"/>
  <c r="O67" i="6" s="1"/>
  <c r="P67" i="6" s="1"/>
  <c r="J949" i="6"/>
  <c r="K949" i="6" s="1"/>
  <c r="L949" i="6"/>
  <c r="J169" i="6"/>
  <c r="K169" i="6" s="1"/>
  <c r="L169" i="6"/>
  <c r="J266" i="6"/>
  <c r="K266" i="6" s="1"/>
  <c r="L266" i="6"/>
  <c r="O266" i="6" s="1"/>
  <c r="P266" i="6" s="1"/>
  <c r="J153" i="6"/>
  <c r="K153" i="6" s="1"/>
  <c r="L153" i="6"/>
  <c r="O153" i="6" s="1"/>
  <c r="P153" i="6" s="1"/>
  <c r="J973" i="6"/>
  <c r="K973" i="6" s="1"/>
  <c r="L973" i="6"/>
  <c r="J335" i="6"/>
  <c r="K335" i="6" s="1"/>
  <c r="L335" i="6"/>
  <c r="J521" i="6"/>
  <c r="K521" i="6" s="1"/>
  <c r="L521" i="6"/>
  <c r="O521" i="6" s="1"/>
  <c r="P521" i="6" s="1"/>
  <c r="J380" i="6"/>
  <c r="K380" i="6" s="1"/>
  <c r="L380" i="6"/>
  <c r="J1040" i="6"/>
  <c r="K1040" i="6" s="1"/>
  <c r="L1040" i="6"/>
  <c r="O1040" i="6" s="1"/>
  <c r="P1040" i="6" s="1"/>
  <c r="J276" i="6"/>
  <c r="K276" i="6" s="1"/>
  <c r="L276" i="6"/>
  <c r="J305" i="6"/>
  <c r="K305" i="6" s="1"/>
  <c r="L305" i="6"/>
  <c r="J142" i="6"/>
  <c r="K142" i="6" s="1"/>
  <c r="L142" i="6"/>
  <c r="O142" i="6" s="1"/>
  <c r="P142" i="6" s="1"/>
  <c r="J320" i="6"/>
  <c r="K320" i="6" s="1"/>
  <c r="L320" i="6"/>
  <c r="O320" i="6" s="1"/>
  <c r="P320" i="6" s="1"/>
  <c r="J185" i="6"/>
  <c r="K185" i="6" s="1"/>
  <c r="L185" i="6"/>
  <c r="J327" i="6"/>
  <c r="K327" i="6" s="1"/>
  <c r="L327" i="6"/>
  <c r="O327" i="6" s="1"/>
  <c r="P327" i="6" s="1"/>
  <c r="J486" i="6"/>
  <c r="K486" i="6" s="1"/>
  <c r="L486" i="6"/>
  <c r="O486" i="6" s="1"/>
  <c r="P486" i="6" s="1"/>
  <c r="J695" i="6"/>
  <c r="K695" i="6" s="1"/>
  <c r="L695" i="6"/>
  <c r="J274" i="6"/>
  <c r="K274" i="6" s="1"/>
  <c r="L274" i="6"/>
  <c r="J287" i="6"/>
  <c r="K287" i="6" s="1"/>
  <c r="L287" i="6"/>
  <c r="J601" i="6"/>
  <c r="K601" i="6" s="1"/>
  <c r="L601" i="6"/>
  <c r="J50" i="6"/>
  <c r="K50" i="6" s="1"/>
  <c r="L50" i="6"/>
  <c r="O50" i="6" s="1"/>
  <c r="P50" i="6" s="1"/>
  <c r="J820" i="6"/>
  <c r="K820" i="6" s="1"/>
  <c r="L820" i="6"/>
  <c r="O820" i="6" s="1"/>
  <c r="P820" i="6" s="1"/>
  <c r="J299" i="6"/>
  <c r="K299" i="6" s="1"/>
  <c r="L299" i="6"/>
  <c r="J485" i="6"/>
  <c r="K485" i="6" s="1"/>
  <c r="L485" i="6"/>
  <c r="O485" i="6" s="1"/>
  <c r="P485" i="6" s="1"/>
  <c r="J647" i="6"/>
  <c r="K647" i="6" s="1"/>
  <c r="L647" i="6"/>
  <c r="J565" i="6"/>
  <c r="K565" i="6" s="1"/>
  <c r="L565" i="6"/>
  <c r="O565" i="6" s="1"/>
  <c r="P565" i="6" s="1"/>
  <c r="J275" i="6"/>
  <c r="K275" i="6" s="1"/>
  <c r="L275" i="6"/>
  <c r="O275" i="6" s="1"/>
  <c r="P275" i="6" s="1"/>
  <c r="L1070" i="6"/>
  <c r="L1054" i="6"/>
  <c r="O1054" i="6" s="1"/>
  <c r="P1054" i="6" s="1"/>
  <c r="L1038" i="6"/>
  <c r="L1022" i="6"/>
  <c r="O1022" i="6" s="1"/>
  <c r="P1022" i="6" s="1"/>
  <c r="L1006" i="6"/>
  <c r="L990" i="6"/>
  <c r="L974" i="6"/>
  <c r="L958" i="6"/>
  <c r="O958" i="6" s="1"/>
  <c r="P958" i="6" s="1"/>
  <c r="L942" i="6"/>
  <c r="L926" i="6"/>
  <c r="O926" i="6" s="1"/>
  <c r="P926" i="6" s="1"/>
  <c r="L910" i="6"/>
  <c r="L894" i="6"/>
  <c r="O894" i="6" s="1"/>
  <c r="P894" i="6" s="1"/>
  <c r="L878" i="6"/>
  <c r="O878" i="6" s="1"/>
  <c r="P878" i="6" s="1"/>
  <c r="L862" i="6"/>
  <c r="O862" i="6" s="1"/>
  <c r="P862" i="6" s="1"/>
  <c r="L846" i="6"/>
  <c r="O846" i="6" s="1"/>
  <c r="P846" i="6" s="1"/>
  <c r="L830" i="6"/>
  <c r="L814" i="6"/>
  <c r="O814" i="6" s="1"/>
  <c r="P814" i="6" s="1"/>
  <c r="L798" i="6"/>
  <c r="L782" i="6"/>
  <c r="O782" i="6" s="1"/>
  <c r="P782" i="6" s="1"/>
  <c r="L766" i="6"/>
  <c r="O766" i="6" s="1"/>
  <c r="P766" i="6" s="1"/>
  <c r="O990" i="6" l="1"/>
  <c r="O185" i="6"/>
  <c r="O335" i="6"/>
  <c r="O98" i="6"/>
  <c r="O349" i="6"/>
  <c r="O58" i="6"/>
  <c r="O614" i="6"/>
  <c r="O942" i="6"/>
  <c r="O830" i="6"/>
  <c r="O647" i="6"/>
  <c r="O299" i="6"/>
  <c r="O287" i="6"/>
  <c r="O695" i="6"/>
  <c r="O305" i="6"/>
  <c r="O973" i="6"/>
  <c r="O949" i="6"/>
  <c r="O1015" i="6"/>
  <c r="O921" i="6"/>
  <c r="O440" i="6"/>
  <c r="O150" i="6"/>
  <c r="O553" i="6"/>
  <c r="O913" i="6"/>
  <c r="O893" i="6"/>
  <c r="O77" i="6"/>
  <c r="O203" i="6"/>
  <c r="O213" i="6"/>
  <c r="O751" i="6"/>
  <c r="O1032" i="6"/>
  <c r="O871" i="6"/>
  <c r="O151" i="6"/>
  <c r="O650" i="6"/>
  <c r="O795" i="6"/>
  <c r="O796" i="6"/>
  <c r="O849" i="6"/>
  <c r="O375" i="6"/>
  <c r="O315" i="6"/>
  <c r="O414" i="6"/>
  <c r="O690" i="6"/>
  <c r="O856" i="6"/>
  <c r="O205" i="6"/>
  <c r="O636" i="6"/>
  <c r="O598" i="6"/>
  <c r="O243" i="6"/>
  <c r="O308" i="6"/>
  <c r="O407" i="6"/>
  <c r="O109" i="6"/>
  <c r="O866" i="6"/>
  <c r="O994" i="6"/>
  <c r="O1058" i="6"/>
  <c r="O219" i="6"/>
  <c r="O438" i="6"/>
  <c r="O292" i="6"/>
  <c r="O57" i="6"/>
  <c r="O310" i="6"/>
  <c r="O700" i="6"/>
  <c r="O197" i="6"/>
  <c r="O772" i="6"/>
  <c r="O46" i="6"/>
  <c r="O723" i="6"/>
  <c r="O227" i="6"/>
  <c r="O989" i="6"/>
  <c r="O543" i="6"/>
  <c r="O687" i="6"/>
  <c r="O392" i="6"/>
  <c r="O588" i="6"/>
  <c r="O95" i="6"/>
  <c r="O186" i="6"/>
  <c r="O1064" i="6"/>
  <c r="O74" i="6"/>
  <c r="O383" i="6"/>
  <c r="O895" i="6"/>
  <c r="O628" i="6"/>
  <c r="O747" i="6"/>
  <c r="O975" i="6"/>
  <c r="O622" i="6"/>
  <c r="O641" i="6"/>
  <c r="O111" i="6"/>
  <c r="O384" i="6"/>
  <c r="O845" i="6"/>
  <c r="O656" i="6"/>
  <c r="O929" i="6"/>
  <c r="O194" i="6"/>
  <c r="O112" i="6"/>
  <c r="O948" i="6"/>
  <c r="O887" i="6"/>
  <c r="O671" i="6"/>
  <c r="O233" i="6"/>
  <c r="O575" i="6"/>
  <c r="O505" i="6"/>
  <c r="O105" i="6"/>
  <c r="O985" i="6"/>
  <c r="O178" i="6"/>
  <c r="O514" i="6"/>
  <c r="O797" i="6"/>
  <c r="O546" i="6"/>
  <c r="O470" i="6"/>
  <c r="O720" i="6"/>
  <c r="O118" i="6"/>
  <c r="O55" i="6"/>
  <c r="O992" i="6"/>
  <c r="O812" i="6"/>
  <c r="O374" i="6"/>
  <c r="O899" i="6"/>
  <c r="O14" i="6"/>
  <c r="O60" i="6"/>
  <c r="O87" i="6"/>
  <c r="O578" i="6"/>
  <c r="O943" i="6"/>
  <c r="O279" i="6"/>
  <c r="O920" i="6"/>
  <c r="O716" i="6"/>
  <c r="O476" i="6"/>
  <c r="O637" i="6"/>
  <c r="O748" i="6"/>
  <c r="O717" i="6"/>
  <c r="O923" i="6"/>
  <c r="O235" i="6"/>
  <c r="O170" i="6"/>
  <c r="O606" i="6"/>
  <c r="O944" i="6"/>
  <c r="O3" i="6"/>
  <c r="O216" i="6"/>
  <c r="O659" i="6"/>
  <c r="O92" i="6"/>
  <c r="O897" i="6"/>
  <c r="O131" i="6"/>
  <c r="O688" i="6"/>
  <c r="O398" i="6"/>
  <c r="O664" i="6"/>
  <c r="O93" i="6"/>
  <c r="O11" i="6"/>
  <c r="O750" i="6"/>
  <c r="O718" i="6"/>
  <c r="O360" i="6"/>
  <c r="O721" i="6"/>
  <c r="O445" i="6"/>
  <c r="O319" i="6"/>
  <c r="O122" i="6"/>
  <c r="O444" i="6"/>
  <c r="O774" i="6"/>
  <c r="O902" i="6"/>
  <c r="O826" i="6"/>
  <c r="O1018" i="6"/>
  <c r="O582" i="6"/>
  <c r="O1061" i="6"/>
  <c r="O161" i="6"/>
  <c r="O15" i="6"/>
  <c r="O40" i="6"/>
  <c r="O469" i="6"/>
  <c r="O811" i="6"/>
  <c r="O951" i="6"/>
  <c r="O714" i="6"/>
  <c r="O1068" i="6"/>
  <c r="O84" i="6"/>
  <c r="O969" i="6"/>
  <c r="O70" i="6"/>
  <c r="O238" i="6"/>
  <c r="O195" i="6"/>
  <c r="O256" i="6"/>
  <c r="O41" i="6"/>
  <c r="O952" i="6"/>
  <c r="O1019" i="6"/>
  <c r="O848" i="6"/>
  <c r="O12" i="6"/>
  <c r="O763" i="6"/>
  <c r="O756" i="6"/>
  <c r="O941" i="6"/>
  <c r="O652" i="6"/>
  <c r="O309" i="6"/>
  <c r="O1012" i="6"/>
  <c r="O607" i="6"/>
  <c r="O997" i="6"/>
  <c r="O262" i="6"/>
  <c r="O604" i="6"/>
  <c r="O276" i="6"/>
  <c r="O169" i="6"/>
  <c r="O475" i="6"/>
  <c r="O429" i="6"/>
  <c r="O1006" i="6"/>
  <c r="O910" i="6"/>
  <c r="O974" i="6"/>
  <c r="O1038" i="6"/>
  <c r="O1010" i="6"/>
  <c r="O1074" i="6"/>
  <c r="O854" i="6"/>
  <c r="O918" i="6"/>
  <c r="O982" i="6"/>
  <c r="O1046" i="6"/>
  <c r="O829" i="6"/>
  <c r="O1008" i="6"/>
  <c r="O596" i="6"/>
  <c r="O1063" i="6"/>
  <c r="O701" i="6"/>
  <c r="O499" i="6"/>
  <c r="O301" i="6"/>
  <c r="O773" i="6"/>
  <c r="O130" i="6"/>
  <c r="O222" i="6"/>
  <c r="O737" i="6"/>
  <c r="O621" i="6"/>
  <c r="O602" i="6"/>
  <c r="O236" i="6"/>
  <c r="O648" i="6"/>
  <c r="O402" i="6"/>
  <c r="O166" i="6"/>
  <c r="O294" i="6"/>
  <c r="O883" i="6"/>
  <c r="O1037" i="6"/>
  <c r="O832" i="6"/>
  <c r="O295" i="6"/>
  <c r="O381" i="6"/>
  <c r="O481" i="6"/>
  <c r="O1011" i="6"/>
  <c r="O597" i="6"/>
  <c r="O278" i="6"/>
  <c r="O265" i="6"/>
  <c r="O755" i="6"/>
  <c r="O793" i="6"/>
  <c r="O63" i="6"/>
  <c r="O257" i="6"/>
  <c r="O657" i="6"/>
  <c r="O515" i="6"/>
  <c r="O729" i="6"/>
  <c r="O358" i="6"/>
  <c r="O762" i="6"/>
  <c r="O417" i="6"/>
  <c r="O296" i="6"/>
  <c r="O1016" i="6"/>
  <c r="O61" i="6"/>
  <c r="O452" i="6"/>
  <c r="O350" i="6"/>
  <c r="O547" i="6"/>
  <c r="O277" i="6"/>
  <c r="O580" i="6"/>
  <c r="O359" i="6"/>
  <c r="O99" i="6"/>
  <c r="O605" i="6"/>
  <c r="O767" i="6"/>
  <c r="O42" i="6"/>
  <c r="O581" i="6"/>
  <c r="O78" i="6"/>
  <c r="O731" i="6"/>
  <c r="O771" i="6"/>
  <c r="O284" i="6"/>
  <c r="O1007" i="6"/>
  <c r="O193" i="6"/>
  <c r="O516" i="6"/>
  <c r="O431" i="6"/>
  <c r="O549" i="6"/>
  <c r="O113" i="6"/>
  <c r="O501" i="6"/>
  <c r="O551" i="6"/>
  <c r="O702" i="6"/>
  <c r="O459" i="6"/>
  <c r="O367" i="6"/>
  <c r="O13" i="6"/>
  <c r="O224" i="6"/>
  <c r="O149" i="6"/>
  <c r="O524" i="6"/>
  <c r="O214" i="6"/>
  <c r="O300" i="6"/>
  <c r="O263" i="6"/>
  <c r="O484" i="6"/>
  <c r="O39" i="6"/>
  <c r="O237" i="6"/>
  <c r="O889" i="6"/>
  <c r="O757" i="6"/>
  <c r="O183" i="6"/>
  <c r="O290" i="6"/>
  <c r="O808" i="6"/>
  <c r="O254" i="6"/>
  <c r="O545" i="6"/>
  <c r="O599" i="6"/>
  <c r="O416" i="6"/>
  <c r="O297" i="6"/>
  <c r="O726" i="6"/>
  <c r="O177" i="6"/>
  <c r="O704" i="6"/>
  <c r="O1060" i="6"/>
  <c r="O506" i="6"/>
  <c r="O778" i="6"/>
  <c r="O970" i="6"/>
  <c r="O798" i="6"/>
  <c r="O274" i="6"/>
  <c r="O380" i="6"/>
  <c r="O102" i="6"/>
  <c r="O847" i="6"/>
  <c r="O665" i="6"/>
  <c r="O696" i="6"/>
  <c r="O1056" i="6"/>
  <c r="O909" i="6"/>
  <c r="O306" i="6"/>
  <c r="O523" i="6"/>
  <c r="O896" i="6"/>
  <c r="O807" i="6"/>
  <c r="O38" i="6"/>
  <c r="O825" i="6"/>
  <c r="O544" i="6"/>
  <c r="O513" i="6"/>
  <c r="O162" i="6"/>
  <c r="O518" i="6"/>
  <c r="O147" i="6"/>
  <c r="O676" i="6"/>
  <c r="O371" i="6"/>
  <c r="O82" i="6"/>
  <c r="O996" i="6"/>
  <c r="O1024" i="6"/>
  <c r="O530" i="6"/>
  <c r="O182" i="6"/>
  <c r="O492" i="6"/>
  <c r="O423" i="6"/>
  <c r="O368" i="6"/>
  <c r="O976" i="6"/>
  <c r="O600" i="6"/>
  <c r="O891" i="6"/>
  <c r="O770" i="6"/>
  <c r="O898" i="6"/>
  <c r="O962" i="6"/>
  <c r="O273" i="6"/>
  <c r="O483" i="6"/>
  <c r="O634" i="6"/>
  <c r="O62" i="6"/>
  <c r="O611" i="6"/>
  <c r="O542" i="6"/>
  <c r="O117" i="6"/>
  <c r="O932" i="6"/>
  <c r="O230" i="6"/>
  <c r="O550" i="6"/>
  <c r="O568" i="6"/>
  <c r="O30" i="6"/>
  <c r="O217" i="6"/>
  <c r="O288" i="6"/>
  <c r="O907" i="6"/>
  <c r="O734" i="6"/>
  <c r="O537" i="6"/>
  <c r="O35" i="6"/>
  <c r="O212" i="6"/>
  <c r="O1067" i="6"/>
  <c r="O204" i="6"/>
  <c r="O823" i="6"/>
  <c r="O554" i="6"/>
  <c r="O443" i="6"/>
  <c r="O873" i="6"/>
  <c r="O94" i="6"/>
  <c r="O555" i="6"/>
  <c r="O422" i="6"/>
  <c r="O662" i="6"/>
  <c r="O715" i="6"/>
  <c r="O307" i="6"/>
  <c r="O176" i="6"/>
  <c r="O465" i="6"/>
  <c r="O529" i="6"/>
  <c r="O43" i="6"/>
  <c r="O552" i="6"/>
  <c r="O884" i="6"/>
  <c r="O419" i="6"/>
  <c r="O184" i="6"/>
  <c r="O148" i="6"/>
  <c r="O450" i="6"/>
  <c r="O576" i="6"/>
  <c r="O32" i="6"/>
  <c r="O223" i="6"/>
  <c r="O477" i="6"/>
  <c r="O569" i="6"/>
  <c r="O900" i="6"/>
  <c r="O833" i="6"/>
  <c r="O689" i="6"/>
  <c r="O799" i="6"/>
  <c r="O672" i="6"/>
  <c r="O703" i="6"/>
  <c r="O1027" i="6"/>
  <c r="O776" i="6"/>
  <c r="O387" i="6"/>
  <c r="O424" i="6"/>
  <c r="O625" i="6"/>
  <c r="O579" i="6"/>
  <c r="O872" i="6"/>
  <c r="O196" i="6"/>
  <c r="O231" i="6"/>
  <c r="O971" i="6"/>
  <c r="O559" i="6"/>
  <c r="O531" i="6"/>
  <c r="O138" i="6"/>
  <c r="O1031" i="6"/>
  <c r="O615" i="6"/>
  <c r="O264" i="6"/>
  <c r="O228" i="6"/>
  <c r="O441" i="6"/>
  <c r="O809" i="6"/>
  <c r="O311" i="6"/>
  <c r="O824" i="6"/>
  <c r="O75" i="6"/>
  <c r="O493" i="6"/>
  <c r="O724" i="6"/>
  <c r="O4" i="6"/>
  <c r="O1023" i="6"/>
  <c r="O732" i="6"/>
  <c r="O22" i="6"/>
  <c r="O736" i="6"/>
  <c r="O427" i="6"/>
  <c r="O919" i="6"/>
  <c r="O59" i="6"/>
  <c r="O777" i="6"/>
  <c r="O418" i="6"/>
  <c r="O646" i="6"/>
  <c r="O999" i="6"/>
  <c r="O888" i="6"/>
  <c r="O532" i="6"/>
  <c r="O90" i="6"/>
  <c r="O100" i="6"/>
  <c r="O870" i="6"/>
  <c r="O1062" i="6"/>
  <c r="O794" i="6"/>
  <c r="O922" i="6"/>
  <c r="O412" i="6"/>
  <c r="O633" i="6"/>
  <c r="O670" i="6"/>
  <c r="O775" i="6"/>
  <c r="O519" i="6"/>
  <c r="O255" i="6"/>
  <c r="O401" i="6"/>
  <c r="O318" i="6"/>
  <c r="O97" i="6"/>
  <c r="O140" i="6"/>
  <c r="O458" i="6"/>
  <c r="O831" i="6"/>
  <c r="O855" i="6"/>
  <c r="O749" i="6"/>
  <c r="O933" i="6"/>
  <c r="O769" i="6"/>
  <c r="O675" i="6"/>
  <c r="O815" i="6"/>
  <c r="O357" i="6"/>
  <c r="O995" i="6"/>
  <c r="O556" i="6"/>
  <c r="O391" i="6"/>
  <c r="O86" i="6"/>
  <c r="O865" i="6"/>
  <c r="O1013" i="6"/>
  <c r="O428" i="6"/>
  <c r="O901" i="6"/>
  <c r="O152" i="6"/>
  <c r="O10" i="6"/>
  <c r="O911" i="6"/>
  <c r="O768" i="6"/>
  <c r="O234" i="6"/>
  <c r="O1025" i="6"/>
  <c r="O601" i="6"/>
  <c r="O624" i="6"/>
  <c r="O215" i="6"/>
  <c r="O425" i="6"/>
  <c r="O1070" i="6"/>
  <c r="O850" i="6"/>
  <c r="O914" i="6"/>
  <c r="O950" i="6"/>
  <c r="O661" i="6"/>
  <c r="O791" i="6"/>
  <c r="O85" i="6"/>
  <c r="O370" i="6"/>
  <c r="O2" i="6"/>
  <c r="O500" i="6"/>
  <c r="O746" i="6"/>
  <c r="O47" i="6"/>
  <c r="O448" i="6"/>
  <c r="O171" i="6"/>
  <c r="O522" i="6"/>
  <c r="O502" i="6"/>
  <c r="O541" i="6"/>
  <c r="O314" i="6"/>
  <c r="O735" i="6"/>
  <c r="O642" i="6"/>
  <c r="O908" i="6"/>
  <c r="O181" i="6"/>
  <c r="O1055" i="6"/>
  <c r="O939" i="6"/>
  <c r="O312" i="6"/>
  <c r="O155" i="6"/>
  <c r="O421" i="6"/>
  <c r="O449" i="6"/>
  <c r="O583" i="6"/>
  <c r="O365" i="6"/>
  <c r="O439" i="6"/>
  <c r="O674" i="6"/>
  <c r="O623" i="6"/>
  <c r="O539" i="6"/>
  <c r="O983" i="6"/>
  <c r="O1065" i="6"/>
  <c r="O379" i="6"/>
  <c r="O685" i="6"/>
  <c r="O415" i="6"/>
  <c r="O132" i="6"/>
  <c r="O509" i="6"/>
  <c r="O430" i="6"/>
  <c r="O663" i="6"/>
  <c r="O293" i="6"/>
  <c r="O666" i="6"/>
  <c r="O953" i="6"/>
  <c r="O538" i="6"/>
  <c r="O725" i="6"/>
  <c r="O875" i="6"/>
  <c r="O557" i="6"/>
  <c r="O420" i="6"/>
  <c r="O658" i="6"/>
  <c r="O271" i="6"/>
  <c r="O904" i="6"/>
  <c r="O1071" i="6"/>
  <c r="O589" i="6"/>
  <c r="O1059" i="6"/>
  <c r="O558" i="6"/>
  <c r="O397" i="6"/>
  <c r="O651" i="6"/>
  <c r="O103" i="6"/>
  <c r="O697" i="6"/>
  <c r="O885" i="6"/>
  <c r="O528" i="6"/>
  <c r="O156" i="6"/>
  <c r="O984" i="6"/>
  <c r="O1000" i="6"/>
  <c r="O285" i="6"/>
  <c r="O1043" i="6"/>
  <c r="O139" i="6"/>
  <c r="O603" i="6"/>
  <c r="O844" i="6"/>
  <c r="O451" i="6"/>
  <c r="O289" i="6"/>
  <c r="O192" i="6"/>
  <c r="O761" i="6"/>
  <c r="O218" i="6"/>
  <c r="O629" i="6"/>
  <c r="O1009" i="6"/>
  <c r="O56" i="6"/>
  <c r="O940" i="6"/>
  <c r="O733" i="6"/>
  <c r="O5" i="6"/>
  <c r="O1069" i="6"/>
  <c r="O253" i="6"/>
  <c r="O9" i="6"/>
  <c r="O83" i="6"/>
  <c r="O403" i="6"/>
  <c r="O378" i="6"/>
  <c r="O291" i="6"/>
  <c r="O739" i="6"/>
  <c r="O187" i="6"/>
  <c r="O635" i="6"/>
  <c r="O810" i="6"/>
  <c r="O874" i="6"/>
  <c r="O106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1167E-2371-478F-B672-4250DA0DC147}" keepAlive="1" name="Requête - Clients_Churn" description="Connexion à la requête « Clients_Churn » dans le classeur." type="5" refreshedVersion="8" background="1" saveData="1">
    <dbPr connection="Provider=Microsoft.Mashup.OleDb.1;Data Source=$Workbook$;Location=Clients_Churn;Extended Properties=&quot;&quot;" command="SELECT * FROM [Clients_Churn]"/>
  </connection>
  <connection id="2" xr16:uid="{FE747798-1961-413B-927E-34BFDD21470B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A5074FD1-B376-4FD4-B222-80F1808182E3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020E98A9-DC5E-46A2-B2D5-018A79C25D14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xr16:uid="{79EC8051-4033-4FE2-B4C0-E07CA775E9E9}" keepAlive="1" name="Requête - Logs_Reseau" description="Connexion à la requête « Logs_Reseau » dans le classeur." type="5" refreshedVersion="8" background="1" saveData="1">
    <dbPr connection="Provider=Microsoft.Mashup.OleDb.1;Data Source=$Workbook$;Location=Logs_Reseau;Extended Properties=&quot;&quot;" command="SELECT * FROM [Logs_Reseau]"/>
  </connection>
  <connection id="6" xr16:uid="{52A37AC9-F625-4478-A481-4F22E12D0C25}" keepAlive="1" name="Requête - Logs_Reseau (2)" description="Connexion à la requête « Logs_Reseau (2) » dans le classeur." type="5" refreshedVersion="8" background="1" saveData="1">
    <dbPr connection="Provider=Microsoft.Mashup.OleDb.1;Data Source=$Workbook$;Location=&quot;Logs_Reseau (2)&quot;;Extended Properties=&quot;&quot;" command="SELECT * FROM [Logs_Reseau (2)]"/>
  </connection>
  <connection id="7" xr16:uid="{7DC38D00-26B4-4951-ADD4-BB5C17A50C7A}" keepAlive="1" name="Requête - Logs_Reseau (3)" description="Connexion à la requête « Logs_Reseau (3) » dans le classeur." type="5" refreshedVersion="8" background="1" saveData="1">
    <dbPr connection="Provider=Microsoft.Mashup.OleDb.1;Data Source=$Workbook$;Location=&quot;Logs_Reseau (3)&quot;;Extended Properties=&quot;&quot;" command="SELECT * FROM [Logs_Reseau (3)]"/>
  </connection>
  <connection id="8" xr16:uid="{44474840-AA80-4352-BA0F-9463108148BD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9" xr16:uid="{03AEF96D-7175-4BB9-8C59-079AE248E91D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0" xr16:uid="{5E67D58F-D6FB-4FC6-B538-B0841720E8C2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1" xr16:uid="{662FA74D-0BAC-4177-900C-F7E54A385953}" keepAlive="1" name="Requête - Registre" description="Connexion à la requête « Registre » dans le classeur." type="5" refreshedVersion="8" background="1" saveData="1">
    <dbPr connection="Provider=Microsoft.Mashup.OleDb.1;Data Source=$Workbook$;Location=Registre;Extended Properties=&quot;&quot;" command="SELECT * FROM [Registre]"/>
  </connection>
  <connection id="12" xr16:uid="{5E749979-C7EB-457E-BFF8-55A874B762AA}" keepAlive="1" name="Requête - Registre (2)" description="Connexion à la requête « Registre (2) » dans le classeur." type="5" refreshedVersion="8" background="1" saveData="1">
    <dbPr connection="Provider=Microsoft.Mashup.OleDb.1;Data Source=$Workbook$;Location=&quot;Registre (2)&quot;;Extended Properties=&quot;&quot;" command="SELECT * FROM [Registre (2)]"/>
  </connection>
  <connection id="13" xr16:uid="{F6B61177-9CE3-4D19-9884-CDEA9516F782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4" xr16:uid="{5B22ADB6-D03F-4343-8892-B737F19340DD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5" xr16:uid="{4AE7D2E2-4DCA-401E-A816-19E457422E6B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6" xr16:uid="{0C2644CC-B21E-4ED2-B309-1BC961ECA172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7" xr16:uid="{37E85534-13C8-4C2C-A973-A2D9E0B981E0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18" xr16:uid="{89BAA036-E025-4D58-A940-32061294B38B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19" xr16:uid="{DA62A537-3C20-4BEF-A7A6-507AC2F67D10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0" xr16:uid="{A4B03436-BF6D-4DA0-B338-01EFF558B644}" name="WorksheetConnection_KADEA TELCO.xlsx!Logs_Reseau6" type="102" refreshedVersion="8" minRefreshableVersion="5">
    <extLst>
      <ext xmlns:x15="http://schemas.microsoft.com/office/spreadsheetml/2010/11/main" uri="{DE250136-89BD-433C-8126-D09CA5730AF9}">
        <x15:connection id="Logs_Reseau6" autoDelete="1">
          <x15:rangePr sourceName="_xlcn.WorksheetConnection_KADEATELCO.xlsxLogs_Reseau61"/>
        </x15:connection>
      </ext>
    </extLst>
  </connection>
</connections>
</file>

<file path=xl/sharedStrings.xml><?xml version="1.0" encoding="utf-8"?>
<sst xmlns="http://schemas.openxmlformats.org/spreadsheetml/2006/main" count="8635" uniqueCount="1659">
  <si>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</si>
  <si>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</si>
  <si>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</si>
  <si>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</si>
  <si>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</si>
  <si>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</si>
  <si>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</si>
  <si>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CLI-00007</t>
  </si>
  <si>
    <t>Tanganyika</t>
  </si>
  <si>
    <t>Bloqué 5Go</t>
  </si>
  <si>
    <t>CLI-00009</t>
  </si>
  <si>
    <t>Kwilu</t>
  </si>
  <si>
    <t>Pro Monde</t>
  </si>
  <si>
    <t>CLI-00011</t>
  </si>
  <si>
    <t>Mongala</t>
  </si>
  <si>
    <t>Illimité 50Go</t>
  </si>
  <si>
    <t>CLI-00012</t>
  </si>
  <si>
    <t>Kongo-Central</t>
  </si>
  <si>
    <t>CLI-00017</t>
  </si>
  <si>
    <t>CLI-00022</t>
  </si>
  <si>
    <t>Haut-Lomami</t>
  </si>
  <si>
    <t>Premium 5G 150Go</t>
  </si>
  <si>
    <t>CLI-00028</t>
  </si>
  <si>
    <t>CLI-00029</t>
  </si>
  <si>
    <t>Bas-Uele</t>
  </si>
  <si>
    <t>CLI-00033</t>
  </si>
  <si>
    <t>Tshuapa</t>
  </si>
  <si>
    <t>CLI-00034</t>
  </si>
  <si>
    <t>CLI-00037</t>
  </si>
  <si>
    <t>CLI-00039</t>
  </si>
  <si>
    <t>Maniema</t>
  </si>
  <si>
    <t>CLI-00041</t>
  </si>
  <si>
    <t>Ituri</t>
  </si>
  <si>
    <t>CLI-00043</t>
  </si>
  <si>
    <t>Nord-Kivu</t>
  </si>
  <si>
    <t>CLI-00044</t>
  </si>
  <si>
    <t>Lomami</t>
  </si>
  <si>
    <t>CLI-00045</t>
  </si>
  <si>
    <t>CLI-00048</t>
  </si>
  <si>
    <t>CLI-00054</t>
  </si>
  <si>
    <t>Sud-Kivu</t>
  </si>
  <si>
    <t>CLI-00055</t>
  </si>
  <si>
    <t>Haut-Uele</t>
  </si>
  <si>
    <t>CLI-00057</t>
  </si>
  <si>
    <t>Kasai</t>
  </si>
  <si>
    <t>CLI-00059</t>
  </si>
  <si>
    <t>Haut-Katanga</t>
  </si>
  <si>
    <t>CLI-00060</t>
  </si>
  <si>
    <t>Kasai-Central</t>
  </si>
  <si>
    <t>CLI-00070</t>
  </si>
  <si>
    <t>Sud-Ubangi</t>
  </si>
  <si>
    <t>CLI-00072</t>
  </si>
  <si>
    <t>CLI-00074</t>
  </si>
  <si>
    <t>CLI-00076</t>
  </si>
  <si>
    <t>CLI-00083</t>
  </si>
  <si>
    <t>CLI-00084</t>
  </si>
  <si>
    <t>CLI-00085</t>
  </si>
  <si>
    <t>CLI-00087</t>
  </si>
  <si>
    <t>CLI-00090</t>
  </si>
  <si>
    <t>Mai-Ndombe</t>
  </si>
  <si>
    <t>CLI-00091</t>
  </si>
  <si>
    <t>Equateur</t>
  </si>
  <si>
    <t>CLI-00093</t>
  </si>
  <si>
    <t>CLI-00094</t>
  </si>
  <si>
    <t>Kwango</t>
  </si>
  <si>
    <t>CLI-00098</t>
  </si>
  <si>
    <t>CLI-00100</t>
  </si>
  <si>
    <t>Tshopo</t>
  </si>
  <si>
    <t>CLI-00102</t>
  </si>
  <si>
    <t>CLI-00105</t>
  </si>
  <si>
    <t>CLI-00107</t>
  </si>
  <si>
    <t>Kasai-Oriental</t>
  </si>
  <si>
    <t>CLI-00109</t>
  </si>
  <si>
    <t>CLI-00112</t>
  </si>
  <si>
    <t>Nord-Ubangi</t>
  </si>
  <si>
    <t>CLI-00114</t>
  </si>
  <si>
    <t>CLI-00115</t>
  </si>
  <si>
    <t>CLI-00121</t>
  </si>
  <si>
    <t>CLI-00125</t>
  </si>
  <si>
    <t>CLI-00131</t>
  </si>
  <si>
    <t>CLI-00136</t>
  </si>
  <si>
    <t>CLI-00145</t>
  </si>
  <si>
    <t>CLI-00150</t>
  </si>
  <si>
    <t>CLI-00157</t>
  </si>
  <si>
    <t>CLI-00158</t>
  </si>
  <si>
    <t>CLI-00161</t>
  </si>
  <si>
    <t>CLI-00163</t>
  </si>
  <si>
    <t>CLI-00165</t>
  </si>
  <si>
    <t>CLI-00167</t>
  </si>
  <si>
    <t>CLI-00168</t>
  </si>
  <si>
    <t>CLI-00169</t>
  </si>
  <si>
    <t>CLI-00171</t>
  </si>
  <si>
    <t>CLI-00172</t>
  </si>
  <si>
    <t>CLI-00173</t>
  </si>
  <si>
    <t>CLI-00176</t>
  </si>
  <si>
    <t>CLI-00177</t>
  </si>
  <si>
    <t>CLI-00180</t>
  </si>
  <si>
    <t>CLI-00183</t>
  </si>
  <si>
    <t>CLI-00184</t>
  </si>
  <si>
    <t>Kinshasa</t>
  </si>
  <si>
    <t>CLI-00185</t>
  </si>
  <si>
    <t>CLI-00190</t>
  </si>
  <si>
    <t>CLI-00191</t>
  </si>
  <si>
    <t>CLI-00192</t>
  </si>
  <si>
    <t>CLI-00194</t>
  </si>
  <si>
    <t>CLI-00196</t>
  </si>
  <si>
    <t>CLI-00197</t>
  </si>
  <si>
    <t>Sankuru</t>
  </si>
  <si>
    <t>CLI-00206</t>
  </si>
  <si>
    <t>CLI-00211</t>
  </si>
  <si>
    <t>CLI-00218</t>
  </si>
  <si>
    <t>CLI-00219</t>
  </si>
  <si>
    <t>CLI-00221</t>
  </si>
  <si>
    <t>CLI-00227</t>
  </si>
  <si>
    <t>CLI-00230</t>
  </si>
  <si>
    <t>CLI-00231</t>
  </si>
  <si>
    <t>CLI-00232</t>
  </si>
  <si>
    <t>CLI-00234</t>
  </si>
  <si>
    <t>CLI-00238</t>
  </si>
  <si>
    <t>CLI-00239</t>
  </si>
  <si>
    <t>CLI-00240</t>
  </si>
  <si>
    <t>CLI-00241</t>
  </si>
  <si>
    <t>CLI-00243</t>
  </si>
  <si>
    <t>CLI-00247</t>
  </si>
  <si>
    <t>CLI-00248</t>
  </si>
  <si>
    <t>CLI-00250</t>
  </si>
  <si>
    <t>CLI-00251</t>
  </si>
  <si>
    <t>CLI-00254</t>
  </si>
  <si>
    <t>CLI-00257</t>
  </si>
  <si>
    <t>CLI-00262</t>
  </si>
  <si>
    <t>CLI-00265</t>
  </si>
  <si>
    <t>CLI-00267</t>
  </si>
  <si>
    <t>CLI-00269</t>
  </si>
  <si>
    <t>CLI-00271</t>
  </si>
  <si>
    <t>CLI-00273</t>
  </si>
  <si>
    <t>CLI-00274</t>
  </si>
  <si>
    <t>CLI-00277</t>
  </si>
  <si>
    <t>CLI-00279</t>
  </si>
  <si>
    <t>CLI-00280</t>
  </si>
  <si>
    <t>CLI-00288</t>
  </si>
  <si>
    <t>CLI-00291</t>
  </si>
  <si>
    <t>CLI-00296</t>
  </si>
  <si>
    <t>CLI-00297</t>
  </si>
  <si>
    <t>CLI-00298</t>
  </si>
  <si>
    <t>CLI-00299</t>
  </si>
  <si>
    <t>CLI-00304</t>
  </si>
  <si>
    <t>CLI-00305</t>
  </si>
  <si>
    <t>CLI-00306</t>
  </si>
  <si>
    <t>CLI-00310</t>
  </si>
  <si>
    <t>CLI-00313</t>
  </si>
  <si>
    <t>CLI-00315</t>
  </si>
  <si>
    <t>CLI-00316</t>
  </si>
  <si>
    <t>CLI-00318</t>
  </si>
  <si>
    <t>CLI-00324</t>
  </si>
  <si>
    <t>CLI-00327</t>
  </si>
  <si>
    <t>CLI-00329</t>
  </si>
  <si>
    <t>CLI-00331</t>
  </si>
  <si>
    <t>CLI-00334</t>
  </si>
  <si>
    <t>Lualaba</t>
  </si>
  <si>
    <t>CLI-00335</t>
  </si>
  <si>
    <t>CLI-00338</t>
  </si>
  <si>
    <t>CLI-00341</t>
  </si>
  <si>
    <t>CLI-00345</t>
  </si>
  <si>
    <t>CLI-00346</t>
  </si>
  <si>
    <t>CLI-00348</t>
  </si>
  <si>
    <t>CLI-00349</t>
  </si>
  <si>
    <t>CLI-00352</t>
  </si>
  <si>
    <t>CLI-00356</t>
  </si>
  <si>
    <t>CLI-00359</t>
  </si>
  <si>
    <t>CLI-00361</t>
  </si>
  <si>
    <t>CLI-00365</t>
  </si>
  <si>
    <t>CLI-00368</t>
  </si>
  <si>
    <t>CLI-00370</t>
  </si>
  <si>
    <t>CLI-00373</t>
  </si>
  <si>
    <t>CLI-00374</t>
  </si>
  <si>
    <t>CLI-00376</t>
  </si>
  <si>
    <t>CLI-00377</t>
  </si>
  <si>
    <t>CLI-00380</t>
  </si>
  <si>
    <t>CLI-00382</t>
  </si>
  <si>
    <t>CLI-00384</t>
  </si>
  <si>
    <t>CLI-00386</t>
  </si>
  <si>
    <t>CLI-00387</t>
  </si>
  <si>
    <t>CLI-00388</t>
  </si>
  <si>
    <t>CLI-00391</t>
  </si>
  <si>
    <t>CLI-00394</t>
  </si>
  <si>
    <t>CLI-00407</t>
  </si>
  <si>
    <t>CLI-00410</t>
  </si>
  <si>
    <t>CLI-00413</t>
  </si>
  <si>
    <t>CLI-00414</t>
  </si>
  <si>
    <t>CLI-00417</t>
  </si>
  <si>
    <t>CLI-00418</t>
  </si>
  <si>
    <t>CLI-00424</t>
  </si>
  <si>
    <t>CLI-00427</t>
  </si>
  <si>
    <t>CLI-00429</t>
  </si>
  <si>
    <t>CLI-00431</t>
  </si>
  <si>
    <t>CLI-00433</t>
  </si>
  <si>
    <t>CLI-00435</t>
  </si>
  <si>
    <t>CLI-00439</t>
  </si>
  <si>
    <t>CLI-00442</t>
  </si>
  <si>
    <t>CLI-00447</t>
  </si>
  <si>
    <t>CLI-00450</t>
  </si>
  <si>
    <t>CLI-00460</t>
  </si>
  <si>
    <t>CLI-00469</t>
  </si>
  <si>
    <t>CLI-00471</t>
  </si>
  <si>
    <t>CLI-00475</t>
  </si>
  <si>
    <t>CLI-00476</t>
  </si>
  <si>
    <t>CLI-00481</t>
  </si>
  <si>
    <t>CLI-00483</t>
  </si>
  <si>
    <t>CLI-00484</t>
  </si>
  <si>
    <t>CLI-00485</t>
  </si>
  <si>
    <t>CLI-00488</t>
  </si>
  <si>
    <t>CLI-00491</t>
  </si>
  <si>
    <t>CLI-00492</t>
  </si>
  <si>
    <t>CLI-00496</t>
  </si>
  <si>
    <t>CLI-00497</t>
  </si>
  <si>
    <t>CLI-00505</t>
  </si>
  <si>
    <t>CLI-00509</t>
  </si>
  <si>
    <t>CLI-00510</t>
  </si>
  <si>
    <t>CLI-00512</t>
  </si>
  <si>
    <t>CLI-00516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</si>
  <si>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</si>
  <si>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</si>
  <si>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</si>
  <si>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</si>
  <si>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</si>
  <si>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</si>
  <si>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</si>
  <si>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CLI-00530</t>
  </si>
  <si>
    <t>CLI-00532</t>
  </si>
  <si>
    <t>CLI-00533</t>
  </si>
  <si>
    <t>CLI-00534</t>
  </si>
  <si>
    <t>CLI-00535</t>
  </si>
  <si>
    <t>CLI-00537</t>
  </si>
  <si>
    <t>CLI-00540</t>
  </si>
  <si>
    <t>CLI-00541</t>
  </si>
  <si>
    <t>CLI-00543</t>
  </si>
  <si>
    <t>CLI-00546</t>
  </si>
  <si>
    <t>CLI-00549</t>
  </si>
  <si>
    <t>CLI-00550</t>
  </si>
  <si>
    <t>CLI-00552</t>
  </si>
  <si>
    <t>CLI-00559</t>
  </si>
  <si>
    <t>CLI-00562</t>
  </si>
  <si>
    <t>CLI-00563</t>
  </si>
  <si>
    <t>CLI-00569</t>
  </si>
  <si>
    <t>CLI-00576</t>
  </si>
  <si>
    <t>CLI-00578</t>
  </si>
  <si>
    <t>CLI-00580</t>
  </si>
  <si>
    <t>CLI-00582</t>
  </si>
  <si>
    <t>CLI-00583</t>
  </si>
  <si>
    <t>CLI-00584</t>
  </si>
  <si>
    <t>CLI-00590</t>
  </si>
  <si>
    <t>CLI-00595</t>
  </si>
  <si>
    <t>CLI-00596</t>
  </si>
  <si>
    <t>CLI-00601</t>
  </si>
  <si>
    <t>CLI-00604</t>
  </si>
  <si>
    <t>CLI-00606</t>
  </si>
  <si>
    <t>CLI-00610</t>
  </si>
  <si>
    <t>CLI-00611</t>
  </si>
  <si>
    <t>CLI-00612</t>
  </si>
  <si>
    <t>CLI-00616</t>
  </si>
  <si>
    <t>CLI-00617</t>
  </si>
  <si>
    <t>CLI-00620</t>
  </si>
  <si>
    <t>CLI-00621</t>
  </si>
  <si>
    <t>CLI-00626</t>
  </si>
  <si>
    <t>CLI-00632</t>
  </si>
  <si>
    <t>CLI-00634</t>
  </si>
  <si>
    <t>CLI-00636</t>
  </si>
  <si>
    <t>CLI-00642</t>
  </si>
  <si>
    <t>CLI-00643</t>
  </si>
  <si>
    <t>CLI-00647</t>
  </si>
  <si>
    <t>CLI-00649</t>
  </si>
  <si>
    <t>CLI-00650</t>
  </si>
  <si>
    <t>CLI-00655</t>
  </si>
  <si>
    <t>CLI-00662</t>
  </si>
  <si>
    <t>CLI-00663</t>
  </si>
  <si>
    <t>CLI-00666</t>
  </si>
  <si>
    <t>CLI-00670</t>
  </si>
  <si>
    <t>CLI-00671</t>
  </si>
  <si>
    <t>CLI-00674</t>
  </si>
  <si>
    <t>CLI-00675</t>
  </si>
  <si>
    <t>CLI-00682</t>
  </si>
  <si>
    <t>CLI-00684</t>
  </si>
  <si>
    <t>CLI-00695</t>
  </si>
  <si>
    <t>CLI-00700</t>
  </si>
  <si>
    <t>CLI-00705</t>
  </si>
  <si>
    <t>CLI-00711</t>
  </si>
  <si>
    <t>CLI-00716</t>
  </si>
  <si>
    <t>CLI-00721</t>
  </si>
  <si>
    <t>CLI-00726</t>
  </si>
  <si>
    <t>CLI-00728</t>
  </si>
  <si>
    <t>CLI-00731</t>
  </si>
  <si>
    <t>CLI-00736</t>
  </si>
  <si>
    <t>CLI-00739</t>
  </si>
  <si>
    <t>CLI-00744</t>
  </si>
  <si>
    <t>CLI-00745</t>
  </si>
  <si>
    <t>CLI-00753</t>
  </si>
  <si>
    <t>CLI-00754</t>
  </si>
  <si>
    <t>CLI-00755</t>
  </si>
  <si>
    <t>CLI-00758</t>
  </si>
  <si>
    <t>CLI-00760</t>
  </si>
  <si>
    <t>CLI-00766</t>
  </si>
  <si>
    <t>CLI-00768</t>
  </si>
  <si>
    <t>CLI-00773</t>
  </si>
  <si>
    <t>CLI-00781</t>
  </si>
  <si>
    <t>CLI-00782</t>
  </si>
  <si>
    <t>CLI-00783</t>
  </si>
  <si>
    <t>CLI-00786</t>
  </si>
  <si>
    <t>CLI-00788</t>
  </si>
  <si>
    <t>CLI-00795</t>
  </si>
  <si>
    <t>CLI-00796</t>
  </si>
  <si>
    <t>CLI-00799</t>
  </si>
  <si>
    <t>CLI-00800</t>
  </si>
  <si>
    <t>CLI-00803</t>
  </si>
  <si>
    <t>CLI-00805</t>
  </si>
  <si>
    <t>CLI-00806</t>
  </si>
  <si>
    <t>CLI-00808</t>
  </si>
  <si>
    <t>CLI-00809</t>
  </si>
  <si>
    <t>CLI-00813</t>
  </si>
  <si>
    <t>CLI-00815</t>
  </si>
  <si>
    <t>CLI-00817</t>
  </si>
  <si>
    <t>CLI-00819</t>
  </si>
  <si>
    <t>CLI-00821</t>
  </si>
  <si>
    <t>CLI-00822</t>
  </si>
  <si>
    <t>CLI-00825</t>
  </si>
  <si>
    <t>CLI-00830</t>
  </si>
  <si>
    <t>CLI-00833</t>
  </si>
  <si>
    <t>CLI-00834</t>
  </si>
  <si>
    <t>CLI-00837</t>
  </si>
  <si>
    <t>CLI-00841</t>
  </si>
  <si>
    <t>CLI-00846</t>
  </si>
  <si>
    <t>CLI-00849</t>
  </si>
  <si>
    <t>CLI-00852</t>
  </si>
  <si>
    <t>CLI-00853</t>
  </si>
  <si>
    <t>CLI-00855</t>
  </si>
  <si>
    <t>CLI-00857</t>
  </si>
  <si>
    <t>CLI-00862</t>
  </si>
  <si>
    <t>CLI-00865</t>
  </si>
  <si>
    <t>CLI-00866</t>
  </si>
  <si>
    <t>CLI-00867</t>
  </si>
  <si>
    <t>CLI-00868</t>
  </si>
  <si>
    <t>CLI-00871</t>
  </si>
  <si>
    <t>CLI-00873</t>
  </si>
  <si>
    <t>CLI-00876</t>
  </si>
  <si>
    <t>CLI-00879</t>
  </si>
  <si>
    <t>CLI-00881</t>
  </si>
  <si>
    <t>CLI-00884</t>
  </si>
  <si>
    <t>CLI-00885</t>
  </si>
  <si>
    <t>CLI-00886</t>
  </si>
  <si>
    <t>CLI-00887</t>
  </si>
  <si>
    <t>CLI-00889</t>
  </si>
  <si>
    <t>CLI-00890</t>
  </si>
  <si>
    <t>CLI-00892</t>
  </si>
  <si>
    <t>CLI-00893</t>
  </si>
  <si>
    <t>CLI-00894</t>
  </si>
  <si>
    <t>CLI-00896</t>
  </si>
  <si>
    <t>CLI-00898</t>
  </si>
  <si>
    <t>CLI-00899</t>
  </si>
  <si>
    <t>CLI-00901</t>
  </si>
  <si>
    <t>CLI-00902</t>
  </si>
  <si>
    <t>CLI-00905</t>
  </si>
  <si>
    <t>CLI-00907</t>
  </si>
  <si>
    <t>CLI-00909</t>
  </si>
  <si>
    <t>CLI-00912</t>
  </si>
  <si>
    <t>CLI-00913</t>
  </si>
  <si>
    <t>CLI-00919</t>
  </si>
  <si>
    <t>CLI-00921</t>
  </si>
  <si>
    <t>CLI-00922</t>
  </si>
  <si>
    <t>CLI-00924</t>
  </si>
  <si>
    <t>CLI-00925</t>
  </si>
  <si>
    <t>CLI-00928</t>
  </si>
  <si>
    <t>CLI-00929</t>
  </si>
  <si>
    <t>CLI-00930</t>
  </si>
  <si>
    <t>CLI-00932</t>
  </si>
  <si>
    <t>CLI-00938</t>
  </si>
  <si>
    <t>CLI-00939</t>
  </si>
  <si>
    <t>CLI-00943</t>
  </si>
  <si>
    <t>CLI-00948</t>
  </si>
  <si>
    <t>CLI-00950</t>
  </si>
  <si>
    <t>CLI-00952</t>
  </si>
  <si>
    <t>CLI-00957</t>
  </si>
  <si>
    <t>CLI-00959</t>
  </si>
  <si>
    <t>CLI-00960</t>
  </si>
  <si>
    <t>CLI-00961</t>
  </si>
  <si>
    <t>CLI-00962</t>
  </si>
  <si>
    <t>CLI-00964</t>
  </si>
  <si>
    <t>CLI-00965</t>
  </si>
  <si>
    <t>CLI-00966</t>
  </si>
  <si>
    <t>CLI-00970</t>
  </si>
  <si>
    <t>CLI-00971</t>
  </si>
  <si>
    <t>CLI-00973</t>
  </si>
  <si>
    <t>CLI-00974</t>
  </si>
  <si>
    <t>CLI-00976</t>
  </si>
  <si>
    <t>CLI-00978</t>
  </si>
  <si>
    <t>CLI-00979</t>
  </si>
  <si>
    <t>CLI-00980</t>
  </si>
  <si>
    <t>CLI-00983</t>
  </si>
  <si>
    <t>CLI-00986</t>
  </si>
  <si>
    <t>CLI-00994</t>
  </si>
  <si>
    <t>CLI-00996</t>
  </si>
  <si>
    <t>CLI-00997</t>
  </si>
  <si>
    <t>CLI-00999</t>
  </si>
  <si>
    <t>CLI-01000</t>
  </si>
  <si>
    <t>CLI-01003</t>
  </si>
  <si>
    <t>CLI-01005</t>
  </si>
  <si>
    <t>CLI-01006</t>
  </si>
  <si>
    <t>CLI-01007</t>
  </si>
  <si>
    <t>CLI-01010</t>
  </si>
  <si>
    <t>CLI-01013</t>
  </si>
  <si>
    <t>CLI-01014</t>
  </si>
  <si>
    <t>CLI-01015</t>
  </si>
  <si>
    <t>CLI-01016</t>
  </si>
  <si>
    <t>CLI-01017</t>
  </si>
  <si>
    <t>CLI-01021</t>
  </si>
  <si>
    <t>CLI-01023</t>
  </si>
  <si>
    <t>CLI-01025</t>
  </si>
  <si>
    <t>CLI-01032</t>
  </si>
  <si>
    <t>CLI-01034</t>
  </si>
  <si>
    <t>CLI-01037</t>
  </si>
  <si>
    <t>CLI-01040</t>
  </si>
  <si>
    <t>CLI-01042</t>
  </si>
  <si>
    <t>CLI-01046</t>
  </si>
  <si>
    <t>CLI-01050</t>
  </si>
  <si>
    <t>CLI-01052</t>
  </si>
  <si>
    <t>CLI-01058</t>
  </si>
  <si>
    <t>CLI-01059</t>
  </si>
  <si>
    <t>CLI-01069</t>
  </si>
  <si>
    <t>CLI-01072</t>
  </si>
  <si>
    <t>CLI-01075</t>
  </si>
  <si>
    <t>CLI-01076</t>
  </si>
  <si>
    <t>CLI-01077</t>
  </si>
  <si>
    <t>CLI-01078</t>
  </si>
  <si>
    <t>CLI-01080</t>
  </si>
  <si>
    <t>CLI-01082</t>
  </si>
  <si>
    <t>CLI-01087</t>
  </si>
  <si>
    <t>CLI-01093</t>
  </si>
  <si>
    <t>CLI-01095</t>
  </si>
  <si>
    <t>CLI-01096</t>
  </si>
  <si>
    <t>CLI-01104</t>
  </si>
  <si>
    <t>CLI-01118</t>
  </si>
  <si>
    <t>CLI-01121</t>
  </si>
  <si>
    <t>CLI-01122</t>
  </si>
  <si>
    <t>CLI-01128</t>
  </si>
  <si>
    <t>CLI-01129</t>
  </si>
  <si>
    <t>CLI-01134</t>
  </si>
  <si>
    <t>CLI-01136</t>
  </si>
  <si>
    <t>CLI-01139</t>
  </si>
  <si>
    <t>CLI-01141</t>
  </si>
  <si>
    <t>CLI-01144</t>
  </si>
  <si>
    <t>CLI-01146</t>
  </si>
  <si>
    <t>CLI-01147</t>
  </si>
  <si>
    <t>CLI-01149</t>
  </si>
  <si>
    <t>CLI-01154</t>
  </si>
  <si>
    <t>CLI-01162</t>
  </si>
  <si>
    <t>CLI-01165</t>
  </si>
  <si>
    <t>CLI-01166</t>
  </si>
  <si>
    <t>CLI-01167</t>
  </si>
  <si>
    <t>CLI-01169</t>
  </si>
  <si>
    <t>CLI-01170</t>
  </si>
  <si>
    <t>CLI-01180</t>
  </si>
  <si>
    <t>CLI-01181</t>
  </si>
  <si>
    <t>CLI-01186</t>
  </si>
  <si>
    <t>CLI-01189</t>
  </si>
  <si>
    <t>CLI-01194</t>
  </si>
  <si>
    <t>CLI-01196</t>
  </si>
  <si>
    <t>CLI-01197</t>
  </si>
  <si>
    <t>CLI-01199</t>
  </si>
  <si>
    <t>CLI-01200</t>
  </si>
  <si>
    <t>CLI-01203</t>
  </si>
  <si>
    <t>CLI-01204</t>
  </si>
  <si>
    <t>CLI-01208</t>
  </si>
  <si>
    <t>CLI-01210</t>
  </si>
  <si>
    <t>CLI-01211</t>
  </si>
  <si>
    <t>CLI-01215</t>
  </si>
  <si>
    <t>CLI-01217</t>
  </si>
  <si>
    <t>CLI-01221</t>
  </si>
  <si>
    <t>CLI-01224</t>
  </si>
  <si>
    <t>CLI-01226</t>
  </si>
  <si>
    <t>CLI-01229</t>
  </si>
  <si>
    <t>CLI-01230</t>
  </si>
  <si>
    <t>CLI-01233</t>
  </si>
  <si>
    <t>CLI-01234</t>
  </si>
  <si>
    <t>CLI-01236</t>
  </si>
  <si>
    <t>CLI-01238</t>
  </si>
  <si>
    <t>CLI-01241</t>
  </si>
  <si>
    <t>CLI-01242</t>
  </si>
  <si>
    <t>CLI-01253</t>
  </si>
  <si>
    <t>CLI-01254</t>
  </si>
  <si>
    <t>CLI-01256</t>
  </si>
  <si>
    <t>CLI-01258</t>
  </si>
  <si>
    <t>CLI-01264</t>
  </si>
  <si>
    <t>CLI-01266</t>
  </si>
  <si>
    <t>CLI-01267</t>
  </si>
  <si>
    <t>CLI-01270</t>
  </si>
  <si>
    <t>CLI-01275</t>
  </si>
  <si>
    <t>CLI-01278</t>
  </si>
  <si>
    <t>CLI-01283</t>
  </si>
  <si>
    <t>CLI-01284</t>
  </si>
  <si>
    <t>CLI-01287</t>
  </si>
  <si>
    <t>CLI-01290</t>
  </si>
  <si>
    <t>CLI-01291</t>
  </si>
  <si>
    <t>CLI-01292</t>
  </si>
  <si>
    <t>CLI-01294</t>
  </si>
  <si>
    <t>CLI-01304</t>
  </si>
  <si>
    <t>CLI-01309</t>
  </si>
  <si>
    <t>CLI-01313</t>
  </si>
  <si>
    <t>CLI-01314</t>
  </si>
  <si>
    <t>CLI-01319</t>
  </si>
  <si>
    <t>CLI-01320</t>
  </si>
  <si>
    <t>CLI-01322</t>
  </si>
  <si>
    <t>CLI-01325</t>
  </si>
  <si>
    <t>CLI-01326</t>
  </si>
  <si>
    <t>CLI-01327</t>
  </si>
  <si>
    <t>CLI-01329</t>
  </si>
  <si>
    <t>CLI-01330</t>
  </si>
  <si>
    <t>CLI-01339</t>
  </si>
  <si>
    <t>CLI-01340</t>
  </si>
  <si>
    <t>CLI-01344</t>
  </si>
  <si>
    <t>CLI-01347</t>
  </si>
  <si>
    <t>CLI-01348</t>
  </si>
  <si>
    <t>CLI-01349</t>
  </si>
  <si>
    <t>CLI-01351</t>
  </si>
  <si>
    <t>CLI-01354</t>
  </si>
  <si>
    <t>CLI-01355</t>
  </si>
  <si>
    <t>CLI-01357</t>
  </si>
  <si>
    <t>CLI-01359</t>
  </si>
  <si>
    <t>CLI-01360</t>
  </si>
  <si>
    <t>CLI-01361</t>
  </si>
  <si>
    <t>CLI-01363</t>
  </si>
  <si>
    <t>CLI-01373</t>
  </si>
  <si>
    <t>CLI-01374</t>
  </si>
  <si>
    <t>CLI-01375</t>
  </si>
  <si>
    <t>CLI-01376</t>
  </si>
  <si>
    <t>CLI-01380</t>
  </si>
  <si>
    <t>CLI-01386</t>
  </si>
  <si>
    <t>CLI-01387</t>
  </si>
  <si>
    <t>CLI-01394</t>
  </si>
  <si>
    <t>CLI-01396</t>
  </si>
  <si>
    <t>CLI-01399</t>
  </si>
  <si>
    <t>CLI-01402</t>
  </si>
  <si>
    <t>CLI-01403</t>
  </si>
  <si>
    <t>CLI-01404</t>
  </si>
  <si>
    <t>CLI-01405</t>
  </si>
  <si>
    <t>CLI-01406</t>
  </si>
  <si>
    <t>CLI-01407</t>
  </si>
  <si>
    <t>CLI-01408</t>
  </si>
  <si>
    <t>CLI-01410</t>
  </si>
  <si>
    <t>CLI-01415</t>
  </si>
  <si>
    <t>CLI-01419</t>
  </si>
  <si>
    <t>CLI-01420</t>
  </si>
  <si>
    <t>CLI-01424</t>
  </si>
  <si>
    <t>CLI-01431</t>
  </si>
  <si>
    <t>CLI-01432</t>
  </si>
  <si>
    <t>CLI-01433</t>
  </si>
  <si>
    <t>CLI-01435</t>
  </si>
  <si>
    <t>CLI-01436</t>
  </si>
  <si>
    <t>CLI-01437</t>
  </si>
  <si>
    <t>CLI-01438</t>
  </si>
  <si>
    <t>CLI-01442</t>
  </si>
  <si>
    <t>CLI-01446</t>
  </si>
  <si>
    <t>CLI-01450</t>
  </si>
  <si>
    <t>CLI-01451</t>
  </si>
  <si>
    <t>CLI-01453</t>
  </si>
  <si>
    <t>CLI-01454</t>
  </si>
  <si>
    <t>CLI-01455</t>
  </si>
  <si>
    <t>CLI-01461</t>
  </si>
  <si>
    <t>CLI-01462</t>
  </si>
  <si>
    <t>CLI-01463</t>
  </si>
  <si>
    <t>CLI-01466</t>
  </si>
  <si>
    <t>CLI-01470</t>
  </si>
  <si>
    <t>CLI-01472</t>
  </si>
  <si>
    <t>CLI-01473</t>
  </si>
  <si>
    <t>CLI-01475</t>
  </si>
  <si>
    <t>CLI-01479</t>
  </si>
  <si>
    <t>CLI-01480</t>
  </si>
  <si>
    <t>CLI-01484</t>
  </si>
  <si>
    <t>CLI-01485</t>
  </si>
  <si>
    <t>CLI-01488</t>
  </si>
  <si>
    <t>CLI-01489</t>
  </si>
  <si>
    <t>CLI-01494</t>
  </si>
  <si>
    <t>CLI-01496</t>
  </si>
  <si>
    <t>CLI-01499</t>
  </si>
  <si>
    <t>CLI-01503</t>
  </si>
  <si>
    <t>CLI-01505</t>
  </si>
  <si>
    <t>CLI-01506</t>
  </si>
  <si>
    <t>CLI-01507</t>
  </si>
  <si>
    <t>CLI-01508</t>
  </si>
  <si>
    <t>CLI-01510</t>
  </si>
  <si>
    <t>CLI-01511</t>
  </si>
  <si>
    <t>CLI-01515</t>
  </si>
  <si>
    <t>CLI-01520</t>
  </si>
  <si>
    <t>CLI-01524</t>
  </si>
  <si>
    <t>CLI-01529</t>
  </si>
  <si>
    <t>CLI-01530</t>
  </si>
  <si>
    <t>CLI-01532</t>
  </si>
  <si>
    <t>CLI-01533</t>
  </si>
  <si>
    <t>CLI-01535</t>
  </si>
  <si>
    <t>CLI-01536</t>
  </si>
  <si>
    <t>CLI-01542</t>
  </si>
  <si>
    <t>CLI-01543</t>
  </si>
  <si>
    <t>CLI-01544</t>
  </si>
  <si>
    <t>CLI-01549</t>
  </si>
  <si>
    <t>CLI-01550</t>
  </si>
  <si>
    <t>CLI-01555</t>
  </si>
  <si>
    <t>CLI-01560</t>
  </si>
  <si>
    <t>CLI-01561</t>
  </si>
  <si>
    <t>CLI-01563</t>
  </si>
  <si>
    <t>CLI-01565</t>
  </si>
  <si>
    <t>CLI-01566</t>
  </si>
  <si>
    <t>CLI-01568</t>
  </si>
  <si>
    <t>CLI-01571</t>
  </si>
  <si>
    <t>CLI-01573</t>
  </si>
  <si>
    <t>CLI-01578</t>
  </si>
  <si>
    <t>CLI-01584</t>
  </si>
  <si>
    <t>CLI-01588</t>
  </si>
  <si>
    <t>CLI-01589</t>
  </si>
  <si>
    <t>CLI-01591</t>
  </si>
  <si>
    <t>CLI-01595</t>
  </si>
  <si>
    <t>CLI-01597</t>
  </si>
  <si>
    <t>CLI-01598</t>
  </si>
  <si>
    <t>CLI-01600</t>
  </si>
  <si>
    <t>CLI-01602</t>
  </si>
  <si>
    <t>CLI-01603</t>
  </si>
  <si>
    <t>CLI-01604</t>
  </si>
  <si>
    <t>CLI-01606</t>
  </si>
  <si>
    <t>CLI-01607</t>
  </si>
  <si>
    <t>CLI-01616</t>
  </si>
  <si>
    <t>CLI-01617</t>
  </si>
  <si>
    <t>CLI-01618</t>
  </si>
  <si>
    <t>CLI-01619</t>
  </si>
  <si>
    <t>CLI-01621</t>
  </si>
  <si>
    <t>CLI-01622</t>
  </si>
  <si>
    <t>CLI-01623</t>
  </si>
  <si>
    <t>CLI-01624</t>
  </si>
  <si>
    <t>CLI-01626</t>
  </si>
  <si>
    <t>CLI-01629</t>
  </si>
  <si>
    <t>CLI-01630</t>
  </si>
  <si>
    <t>CLI-01637</t>
  </si>
  <si>
    <t>CLI-01638</t>
  </si>
  <si>
    <t>CLI-01646</t>
  </si>
  <si>
    <t>CLI-01651</t>
  </si>
  <si>
    <t>CLI-01653</t>
  </si>
  <si>
    <t>CLI-01654</t>
  </si>
  <si>
    <t>CLI-01658</t>
  </si>
  <si>
    <t>CLI-01662</t>
  </si>
  <si>
    <t>CLI-01664</t>
  </si>
  <si>
    <t>CLI-01666</t>
  </si>
  <si>
    <t>CLI-01668</t>
  </si>
  <si>
    <t>CLI-01669</t>
  </si>
  <si>
    <t>CLI-01680</t>
  </si>
  <si>
    <t>CLI-01682</t>
  </si>
  <si>
    <t>CLI-01683</t>
  </si>
  <si>
    <t>CLI-01685</t>
  </si>
  <si>
    <t>CLI-01686</t>
  </si>
  <si>
    <t>CLI-01687</t>
  </si>
  <si>
    <t>CLI-01688</t>
  </si>
  <si>
    <t>CLI-01689</t>
  </si>
  <si>
    <t>CLI-01694</t>
  </si>
  <si>
    <t>CLI-01695</t>
  </si>
  <si>
    <t>CLI-01697</t>
  </si>
  <si>
    <t>CLI-01698</t>
  </si>
  <si>
    <t>CLI-01701</t>
  </si>
  <si>
    <t>CLI-01702</t>
  </si>
  <si>
    <t>CLI-01704</t>
  </si>
  <si>
    <t>CLI-01705</t>
  </si>
  <si>
    <t>CLI-01706</t>
  </si>
  <si>
    <t>CLI-01709</t>
  </si>
  <si>
    <t>CLI-01714</t>
  </si>
  <si>
    <t>CLI-01719</t>
  </si>
  <si>
    <t>CLI-01720</t>
  </si>
  <si>
    <t>CLI-01721</t>
  </si>
  <si>
    <t>CLI-01722</t>
  </si>
  <si>
    <t>CLI-01723</t>
  </si>
  <si>
    <t>CLI-01724</t>
  </si>
  <si>
    <t>CLI-01726</t>
  </si>
  <si>
    <t>CLI-01728</t>
  </si>
  <si>
    <t>CLI-01729</t>
  </si>
  <si>
    <t>CLI-01731</t>
  </si>
  <si>
    <t>CLI-01732</t>
  </si>
  <si>
    <t>CLI-01735</t>
  </si>
  <si>
    <t>CLI-01736</t>
  </si>
  <si>
    <t>CLI-01739</t>
  </si>
  <si>
    <t>CLI-01740</t>
  </si>
  <si>
    <t>CLI-01741</t>
  </si>
  <si>
    <t>CLI-01746</t>
  </si>
  <si>
    <t>CLI-01749</t>
  </si>
  <si>
    <t>CLI-01757</t>
  </si>
  <si>
    <t>CLI-01759</t>
  </si>
  <si>
    <t>CLI-01761</t>
  </si>
  <si>
    <t>CLI-01765</t>
  </si>
  <si>
    <t>CLI-01766</t>
  </si>
  <si>
    <t>CLI-01768</t>
  </si>
  <si>
    <t>CLI-01773</t>
  </si>
  <si>
    <t>CLI-01775</t>
  </si>
  <si>
    <t>CLI-01776</t>
  </si>
  <si>
    <t>CLI-01780</t>
  </si>
  <si>
    <t>CLI-01782</t>
  </si>
  <si>
    <t>CLI-01783</t>
  </si>
  <si>
    <t>CLI-01788</t>
  </si>
  <si>
    <t>CLI-01793</t>
  </si>
  <si>
    <t>CLI-01794</t>
  </si>
  <si>
    <t>CLI-01796</t>
  </si>
  <si>
    <t>CLI-01797</t>
  </si>
  <si>
    <t>CLI-01802</t>
  </si>
  <si>
    <t>CLI-01804</t>
  </si>
  <si>
    <t>CLI-01812</t>
  </si>
  <si>
    <t>CLI-01814</t>
  </si>
  <si>
    <t>CLI-01816</t>
  </si>
  <si>
    <t>CLI-01818</t>
  </si>
  <si>
    <t>CLI-01820</t>
  </si>
  <si>
    <t>CLI-01821</t>
  </si>
  <si>
    <t>CLI-01822</t>
  </si>
  <si>
    <t>CLI-01823</t>
  </si>
  <si>
    <t>CLI-01824</t>
  </si>
  <si>
    <t>CLI-01830</t>
  </si>
  <si>
    <t>CLI-01832</t>
  </si>
  <si>
    <t>CLI-01835</t>
  </si>
  <si>
    <t>CLI-01836</t>
  </si>
  <si>
    <t>CLI-01837</t>
  </si>
  <si>
    <t>CLI-01839</t>
  </si>
  <si>
    <t>CLI-01843</t>
  </si>
  <si>
    <t>CLI-01844</t>
  </si>
  <si>
    <t>CLI-01845</t>
  </si>
  <si>
    <t>CLI-01846</t>
  </si>
  <si>
    <t>CLI-01847</t>
  </si>
  <si>
    <t>CLI-01848</t>
  </si>
  <si>
    <t>CLI-01850</t>
  </si>
  <si>
    <t>CLI-01851</t>
  </si>
  <si>
    <t>CLI-01852</t>
  </si>
  <si>
    <t>CLI-01854</t>
  </si>
  <si>
    <t>CLI-01855</t>
  </si>
  <si>
    <t>CLI-01858</t>
  </si>
  <si>
    <t>CLI-01860</t>
  </si>
  <si>
    <t>CLI-01861</t>
  </si>
  <si>
    <t>CLI-01868</t>
  </si>
  <si>
    <t>CLI-01871</t>
  </si>
  <si>
    <t>CLI-01873</t>
  </si>
  <si>
    <t>CLI-01876</t>
  </si>
  <si>
    <t>CLI-01877</t>
  </si>
  <si>
    <t>CLI-01880</t>
  </si>
  <si>
    <t>CLI-01885</t>
  </si>
  <si>
    <t>CLI-01888</t>
  </si>
  <si>
    <t>CLI-01890</t>
  </si>
  <si>
    <t>CLI-01891</t>
  </si>
  <si>
    <t>CLI-01893</t>
  </si>
  <si>
    <t>CLI-01906</t>
  </si>
  <si>
    <t>CLI-01908</t>
  </si>
  <si>
    <t>CLI-01911</t>
  </si>
  <si>
    <t>CLI-01916</t>
  </si>
  <si>
    <t>CLI-01917</t>
  </si>
  <si>
    <t>CLI-01920</t>
  </si>
  <si>
    <t>CLI-01923</t>
  </si>
  <si>
    <t>CLI-01926</t>
  </si>
  <si>
    <t>CLI-01927</t>
  </si>
  <si>
    <t>CLI-01929</t>
  </si>
  <si>
    <t>CLI-01931</t>
  </si>
  <si>
    <t>CLI-01932</t>
  </si>
  <si>
    <t>CLI-01933</t>
  </si>
  <si>
    <t>CLI-01938</t>
  </si>
  <si>
    <t>CLI-01940</t>
  </si>
  <si>
    <t>CLI-01949</t>
  </si>
  <si>
    <t>CLI-01950</t>
  </si>
  <si>
    <t>CLI-01957</t>
  </si>
  <si>
    <t>CLI-01959</t>
  </si>
  <si>
    <t>CLI-01960</t>
  </si>
  <si>
    <t>CLI-01964</t>
  </si>
  <si>
    <t>CLI-01966</t>
  </si>
  <si>
    <t>CLI-01967</t>
  </si>
  <si>
    <t>CLI-01969</t>
  </si>
  <si>
    <t>CLI-01970</t>
  </si>
  <si>
    <t>CLI-01971</t>
  </si>
  <si>
    <t>CLI-01972</t>
  </si>
  <si>
    <t>CLI-01973</t>
  </si>
  <si>
    <t>CLI-01974</t>
  </si>
  <si>
    <t>CLI-01975</t>
  </si>
  <si>
    <t>CLI-01977</t>
  </si>
  <si>
    <t>CLI-01979</t>
  </si>
  <si>
    <t>CLI-01981</t>
  </si>
  <si>
    <t>CLI-01982</t>
  </si>
  <si>
    <t>CLI-01986</t>
  </si>
  <si>
    <t>CLI-01988</t>
  </si>
  <si>
    <t>CLI-01990</t>
  </si>
  <si>
    <t>CLI-01992</t>
  </si>
  <si>
    <t>CLI-01995</t>
  </si>
  <si>
    <t>CLI-01998</t>
  </si>
  <si>
    <t>CLI-01999</t>
  </si>
  <si>
    <t>ID_Antenne</t>
  </si>
  <si>
    <t>Province_RDC</t>
  </si>
  <si>
    <t>Latitude</t>
  </si>
  <si>
    <t>Longitude</t>
  </si>
  <si>
    <t>Technologie</t>
  </si>
  <si>
    <t>Equipementier</t>
  </si>
  <si>
    <t>ANT-0622</t>
  </si>
  <si>
    <t>5G</t>
  </si>
  <si>
    <t>Ericsson</t>
  </si>
  <si>
    <t>ANT-0084</t>
  </si>
  <si>
    <t>4G</t>
  </si>
  <si>
    <t>Huawei</t>
  </si>
  <si>
    <t>ANT-0862</t>
  </si>
  <si>
    <t>3G</t>
  </si>
  <si>
    <t>ZTE</t>
  </si>
  <si>
    <t>ANT-0288</t>
  </si>
  <si>
    <t>ANT-0880</t>
  </si>
  <si>
    <t>ANT-0847</t>
  </si>
  <si>
    <t>ANT-0144</t>
  </si>
  <si>
    <t>ANT-0913</t>
  </si>
  <si>
    <t>ANT-0552</t>
  </si>
  <si>
    <t>ANT-0202</t>
  </si>
  <si>
    <t>ANT-0270</t>
  </si>
  <si>
    <t>ANT-0752</t>
  </si>
  <si>
    <t>Nokia</t>
  </si>
  <si>
    <t>ANT-0908</t>
  </si>
  <si>
    <t>ANT-0642</t>
  </si>
  <si>
    <t>ANT-0079</t>
  </si>
  <si>
    <t>ANT-0745</t>
  </si>
  <si>
    <t>ANT-0078</t>
  </si>
  <si>
    <t>ANT-0914</t>
  </si>
  <si>
    <t>ANT-0020</t>
  </si>
  <si>
    <t>ANT-0870</t>
  </si>
  <si>
    <t>ANT-0520</t>
  </si>
  <si>
    <t>ANT-0647</t>
  </si>
  <si>
    <t>ANT-0032</t>
  </si>
  <si>
    <t>ANT-0833</t>
  </si>
  <si>
    <t>ANT-0596</t>
  </si>
  <si>
    <t>ANT-0593</t>
  </si>
  <si>
    <t>ANT-0415</t>
  </si>
  <si>
    <t>ANT-0788</t>
  </si>
  <si>
    <t>ANT-0605</t>
  </si>
  <si>
    <t>ANT-0218</t>
  </si>
  <si>
    <t>ANT-0929</t>
  </si>
  <si>
    <t>ANT-0038</t>
  </si>
  <si>
    <t>ANT-0565</t>
  </si>
  <si>
    <t>ANT-0267</t>
  </si>
  <si>
    <t>ANT-0557</t>
  </si>
  <si>
    <t>ANT-0916</t>
  </si>
  <si>
    <t>ANT-0553</t>
  </si>
  <si>
    <t>ANT-0484</t>
  </si>
  <si>
    <t>ANT-0670</t>
  </si>
  <si>
    <t>ANT-0794</t>
  </si>
  <si>
    <t>ANT-0153</t>
  </si>
  <si>
    <t>ANT-0375</t>
  </si>
  <si>
    <t>ANT-0402</t>
  </si>
  <si>
    <t>ANT-0229</t>
  </si>
  <si>
    <t>ANT-0993</t>
  </si>
  <si>
    <t>ANT-0791</t>
  </si>
  <si>
    <t>ANT-0604</t>
  </si>
  <si>
    <t>ANT-0751</t>
  </si>
  <si>
    <t>ANT-0878</t>
  </si>
  <si>
    <t>ANT-0298</t>
  </si>
  <si>
    <t>ANT-0138</t>
  </si>
  <si>
    <t>ANT-0476</t>
  </si>
  <si>
    <t>ANT-0514</t>
  </si>
  <si>
    <t>ANT-0523</t>
  </si>
  <si>
    <t>ANT-0093</t>
  </si>
  <si>
    <t>ANT-0407</t>
  </si>
  <si>
    <t>ANT-0373</t>
  </si>
  <si>
    <t>ANT-0515</t>
  </si>
  <si>
    <t>ANT-0011</t>
  </si>
  <si>
    <t>ANT-0679</t>
  </si>
  <si>
    <t>ANT-0245</t>
  </si>
  <si>
    <t>ANT-0869</t>
  </si>
  <si>
    <t>ANT-0826</t>
  </si>
  <si>
    <t>ANT-0629</t>
  </si>
  <si>
    <t>ANT-0701</t>
  </si>
  <si>
    <t>ANT-0170</t>
  </si>
  <si>
    <t>ANT-0776</t>
  </si>
  <si>
    <t>ANT-0527</t>
  </si>
  <si>
    <t>ANT-0994</t>
  </si>
  <si>
    <t>ANT-0457</t>
  </si>
  <si>
    <t>ANT-0164</t>
  </si>
  <si>
    <t>ANT-0184</t>
  </si>
  <si>
    <t>ANT-0580</t>
  </si>
  <si>
    <t>ANT-0928</t>
  </si>
  <si>
    <t>ANT-0676</t>
  </si>
  <si>
    <t>ANT-0894</t>
  </si>
  <si>
    <t>ANT-0150</t>
  </si>
  <si>
    <t>ANT-0754</t>
  </si>
  <si>
    <t>ANT-0750</t>
  </si>
  <si>
    <t>ANT-0496</t>
  </si>
  <si>
    <t>ANT-0368</t>
  </si>
  <si>
    <t>ANT-0042</t>
  </si>
  <si>
    <t>ANT-0225</t>
  </si>
  <si>
    <t>ANT-0780</t>
  </si>
  <si>
    <t>ANT-0500</t>
  </si>
  <si>
    <t>ANT-0238</t>
  </si>
  <si>
    <t>ANT-0065</t>
  </si>
  <si>
    <t>ANT-0271</t>
  </si>
  <si>
    <t>ANT-0379</t>
  </si>
  <si>
    <t>ANT-0240</t>
  </si>
  <si>
    <t>ANT-0044</t>
  </si>
  <si>
    <t>ANT-0685</t>
  </si>
  <si>
    <t>ANT-0212</t>
  </si>
  <si>
    <t>ANT-0531</t>
  </si>
  <si>
    <t>ANT-0811</t>
  </si>
  <si>
    <t>ANT-0370</t>
  </si>
  <si>
    <t>ANT-0398</t>
  </si>
  <si>
    <t>ANT-0481</t>
  </si>
  <si>
    <t>ANT-0466</t>
  </si>
  <si>
    <t>ANT-0048</t>
  </si>
  <si>
    <t>ANT-0041</t>
  </si>
  <si>
    <t>ANT-0665</t>
  </si>
  <si>
    <t>ANT-0332</t>
  </si>
  <si>
    <t>ANT-0106</t>
  </si>
  <si>
    <t>ANT-0721</t>
  </si>
  <si>
    <t>ANT-0534</t>
  </si>
  <si>
    <t>ANT-0649</t>
  </si>
  <si>
    <t>ANT-0850</t>
  </si>
  <si>
    <t>ANT-0281</t>
  </si>
  <si>
    <t>ANT-0855</t>
  </si>
  <si>
    <t>ANT-0760</t>
  </si>
  <si>
    <t>ANT-0990</t>
  </si>
  <si>
    <t>ANT-0975</t>
  </si>
  <si>
    <t>ANT-0558</t>
  </si>
  <si>
    <t>ANT-0584</t>
  </si>
  <si>
    <t>ANT-0179</t>
  </si>
  <si>
    <t>ANT-0386</t>
  </si>
  <si>
    <t>ANT-0962</t>
  </si>
  <si>
    <t>ANT-0388</t>
  </si>
  <si>
    <t>ANT-0959</t>
  </si>
  <si>
    <t>ANT-0602</t>
  </si>
  <si>
    <t>ANT-0883</t>
  </si>
  <si>
    <t>ANT-0856</t>
  </si>
  <si>
    <t>ANT-0080</t>
  </si>
  <si>
    <t>ANT-0530</t>
  </si>
  <si>
    <t>ANT-0258</t>
  </si>
  <si>
    <t>ANT-0884</t>
  </si>
  <si>
    <t>ANT-0957</t>
  </si>
  <si>
    <t>ANT-0529</t>
  </si>
  <si>
    <t>ANT-0416</t>
  </si>
  <si>
    <t>ANT-0362</t>
  </si>
  <si>
    <t>ANT-0837</t>
  </si>
  <si>
    <t>ANT-0354</t>
  </si>
  <si>
    <t>ANT-0499</t>
  </si>
  <si>
    <t>ANT-0812</t>
  </si>
  <si>
    <t>ANT-0494</t>
  </si>
  <si>
    <t>ANT-0619</t>
  </si>
  <si>
    <t>ANT-0007</t>
  </si>
  <si>
    <t>ANT-0948</t>
  </si>
  <si>
    <t>ANT-0143</t>
  </si>
  <si>
    <t>ANT-0451</t>
  </si>
  <si>
    <t>ANT-0935</t>
  </si>
  <si>
    <t>ANT-0236</t>
  </si>
  <si>
    <t>ANT-0986</t>
  </si>
  <si>
    <t>ANT-0933</t>
  </si>
  <si>
    <t>ANT-0659</t>
  </si>
  <si>
    <t>ANT-0997</t>
  </si>
  <si>
    <t>ANT-0217</t>
  </si>
  <si>
    <t>ANT-0154</t>
  </si>
  <si>
    <t>ANT-0192</t>
  </si>
  <si>
    <t>ANT-0162</t>
  </si>
  <si>
    <t>ANT-0371</t>
  </si>
  <si>
    <t>ANT-0617</t>
  </si>
  <si>
    <t>ANT-0735</t>
  </si>
  <si>
    <t>ANT-0939</t>
  </si>
  <si>
    <t>ANT-0122</t>
  </si>
  <si>
    <t>ANT-0677</t>
  </si>
  <si>
    <t>ANT-0858</t>
  </si>
  <si>
    <t>ANT-0425</t>
  </si>
  <si>
    <t>ANT-0831</t>
  </si>
  <si>
    <t>ANT-0339</t>
  </si>
  <si>
    <t>ANT-0738</t>
  </si>
  <si>
    <t>ANT-0117</t>
  </si>
  <si>
    <t>ANT-0865</t>
  </si>
  <si>
    <t>ANT-0692</t>
  </si>
  <si>
    <t>ANT-0491</t>
  </si>
  <si>
    <t>ANT-0835</t>
  </si>
  <si>
    <t>ANT-0216</t>
  </si>
  <si>
    <t>ANT-0972</t>
  </si>
  <si>
    <t>ANT-0166</t>
  </si>
  <si>
    <t>ANT-0663</t>
  </si>
  <si>
    <t>ANT-0421</t>
  </si>
  <si>
    <t>ANT-0023</t>
  </si>
  <si>
    <t>ANT-0250</t>
  </si>
  <si>
    <t>ANT-0045</t>
  </si>
  <si>
    <t>ANT-0131</t>
  </si>
  <si>
    <t>ANT-0588</t>
  </si>
  <si>
    <t>ANT-0607</t>
  </si>
  <si>
    <t>ANT-0165</t>
  </si>
  <si>
    <t>ANT-0950</t>
  </si>
  <si>
    <t>ANT-0645</t>
  </si>
  <si>
    <t>ANT-0525</t>
  </si>
  <si>
    <t>ANT-0900</t>
  </si>
  <si>
    <t>ANT-0587</t>
  </si>
  <si>
    <t>ANT-0151</t>
  </si>
  <si>
    <t>ANT-0058</t>
  </si>
  <si>
    <t>ANT-0171</t>
  </si>
  <si>
    <t>ANT-0265</t>
  </si>
  <si>
    <t>ANT-0185</t>
  </si>
  <si>
    <t>ANT-0876</t>
  </si>
  <si>
    <t>ANT-0871</t>
  </si>
  <si>
    <t>ANT-0614</t>
  </si>
  <si>
    <t>ANT-0578</t>
  </si>
  <si>
    <t>ANT-0653</t>
  </si>
  <si>
    <t>ANT-0982</t>
  </si>
  <si>
    <t>ANT-0737</t>
  </si>
  <si>
    <t>ANT-0746</t>
  </si>
  <si>
    <t>ANT-0678</t>
  </si>
  <si>
    <t>ANT-0291</t>
  </si>
  <si>
    <t>ANT-0088</t>
  </si>
  <si>
    <t xml:space="preserve">ANT-0222 </t>
  </si>
  <si>
    <t>ANT-0460</t>
  </si>
  <si>
    <t>ANT-1000</t>
  </si>
  <si>
    <t>ANT-0483</t>
  </si>
  <si>
    <t>ANT-0846</t>
  </si>
  <si>
    <t>ANT-0175</t>
  </si>
  <si>
    <t>ANT-0918</t>
  </si>
  <si>
    <t>ANT-0829</t>
  </si>
  <si>
    <t>ANT-0616</t>
  </si>
  <si>
    <t>ANT-0147</t>
  </si>
  <si>
    <t>ANT-0597</t>
  </si>
  <si>
    <t>ANT-0786</t>
  </si>
  <si>
    <t>ANT-0187</t>
  </si>
  <si>
    <t>ANT-0639</t>
  </si>
  <si>
    <t>ANT-0926</t>
  </si>
  <si>
    <t>ANT-0524</t>
  </si>
  <si>
    <t>ANT-0956</t>
  </si>
  <si>
    <t>ANT-0172</t>
  </si>
  <si>
    <t>ANT-0742</t>
  </si>
  <si>
    <t>ANT-0703</t>
  </si>
  <si>
    <t>ANT-0351</t>
  </si>
  <si>
    <t>ANT-0465</t>
  </si>
  <si>
    <t>ANT-0611</t>
  </si>
  <si>
    <t>ANT-0832</t>
  </si>
  <si>
    <t>ANT-0071</t>
  </si>
  <si>
    <t>ANT-0843</t>
  </si>
  <si>
    <t>ANT-0882</t>
  </si>
  <si>
    <t>ANT-0395</t>
  </si>
  <si>
    <t>ANT-0136</t>
  </si>
  <si>
    <t>ANT-0112</t>
  </si>
  <si>
    <t>ANT-0017</t>
  </si>
  <si>
    <t>ANT-0208</t>
  </si>
  <si>
    <t>ANT-0536</t>
  </si>
  <si>
    <t>ANT-0517</t>
  </si>
  <si>
    <t>ANT-0936</t>
  </si>
  <si>
    <t>ANT-0430</t>
  </si>
  <si>
    <t>ANT-0852</t>
  </si>
  <si>
    <t>ANT-0621</t>
  </si>
  <si>
    <t>ANT-0099</t>
  </si>
  <si>
    <t>ANT-0182</t>
  </si>
  <si>
    <t>ANT-0488</t>
  </si>
  <si>
    <t>ANT-0630</t>
  </si>
  <si>
    <t>ANT-0615</t>
  </si>
  <si>
    <t>ANT-0040</t>
  </si>
  <si>
    <t>ANT-0545</t>
  </si>
  <si>
    <t>ANT-0516</t>
  </si>
  <si>
    <t>ANT-0121</t>
  </si>
  <si>
    <t>ANT-0096</t>
  </si>
  <si>
    <t>ANT-0796</t>
  </si>
  <si>
    <t>ANT-0789</t>
  </si>
  <si>
    <t>ANT-0134</t>
  </si>
  <si>
    <t>ANT-0618</t>
  </si>
  <si>
    <t>ANT-0964</t>
  </si>
  <si>
    <t>ANT-0002</t>
  </si>
  <si>
    <t>ANT-0695</t>
  </si>
  <si>
    <t>ANT-0899</t>
  </si>
  <si>
    <t>ANT-0442</t>
  </si>
  <si>
    <t>ANT-0535</t>
  </si>
  <si>
    <t>ANT-0431</t>
  </si>
  <si>
    <t>ANT-0380</t>
  </si>
  <si>
    <t>ANT-0938</t>
  </si>
  <si>
    <t>ANT-0715</t>
  </si>
  <si>
    <t>ANT-0543</t>
  </si>
  <si>
    <t>ANT-0440</t>
  </si>
  <si>
    <t>ANT-0235</t>
  </si>
  <si>
    <t>ANT-0989</t>
  </si>
  <si>
    <t>ANT-0391</t>
  </si>
  <si>
    <t>ANT-0359</t>
  </si>
  <si>
    <t>ANT-0954</t>
  </si>
  <si>
    <t>ANT-0714</t>
  </si>
  <si>
    <t>ANT-0590</t>
  </si>
  <si>
    <t>ANT-0101</t>
  </si>
  <si>
    <t>ANT-0436</t>
  </si>
  <si>
    <t>ANT-0821</t>
  </si>
  <si>
    <t>ANT-0261</t>
  </si>
  <si>
    <t>ANT-0489</t>
  </si>
  <si>
    <t>ANT-0239</t>
  </si>
  <si>
    <t>ANT-0086</t>
  </si>
  <si>
    <t>ANT-0802</t>
  </si>
  <si>
    <t>ANT-0613</t>
  </si>
  <si>
    <t>ANT-0966</t>
  </si>
  <si>
    <t>ANT-0419</t>
  </si>
  <si>
    <t>ANT-0264</t>
  </si>
  <si>
    <t>ANT-0194</t>
  </si>
  <si>
    <t>ANT-0006</t>
  </si>
  <si>
    <t>ANT-0008</t>
  </si>
  <si>
    <t>ANT-0592</t>
  </si>
  <si>
    <t>ANT-0768</t>
  </si>
  <si>
    <t>ANT-0923</t>
  </si>
  <si>
    <t>ANT-0533</t>
  </si>
  <si>
    <t xml:space="preserve">ANT-0739 </t>
  </si>
  <si>
    <t>ANT-0385</t>
  </si>
  <si>
    <t>ANT-0671</t>
  </si>
  <si>
    <t>ANT-0211</t>
  </si>
  <si>
    <t>ANT-0705</t>
  </si>
  <si>
    <t>ANT-0324</t>
  </si>
  <si>
    <t>ANT-0719</t>
  </si>
  <si>
    <t>ANT-0849</t>
  </si>
  <si>
    <t>ANT-0110</t>
  </si>
  <si>
    <t>ANT-0159</t>
  </si>
  <si>
    <t>ANT-0437</t>
  </si>
  <si>
    <t>ANT-0668</t>
  </si>
  <si>
    <t>ANT-0600</t>
  </si>
  <si>
    <t>ANT-0260</t>
  </si>
  <si>
    <t>ANT-0268</t>
  </si>
  <si>
    <t>ANT-0549</t>
  </si>
  <si>
    <t>ANT-0434</t>
  </si>
  <si>
    <t>ANT-0579</t>
  </si>
  <si>
    <t>ANT-0881</t>
  </si>
  <si>
    <t>ANT-0627</t>
  </si>
  <si>
    <t>ANT-0283</t>
  </si>
  <si>
    <t>ANT-0945</t>
  </si>
  <si>
    <t>ANT-0209</t>
  </si>
  <si>
    <t>ANT-0424</t>
  </si>
  <si>
    <t>ANT-0566</t>
  </si>
  <si>
    <t>ANT-0571</t>
  </si>
  <si>
    <t>ANT-0495</t>
  </si>
  <si>
    <t>ANT-0970</t>
  </si>
  <si>
    <t>ANT-0741</t>
  </si>
  <si>
    <t>ANT-0573</t>
  </si>
  <si>
    <t>ANT-0569</t>
  </si>
  <si>
    <t>ANT-0921</t>
  </si>
  <si>
    <t>ANT-0697</t>
  </si>
  <si>
    <t>ANT-0315</t>
  </si>
  <si>
    <t>ANT-0731</t>
  </si>
  <si>
    <t>ANT-0353</t>
  </si>
  <si>
    <t>ANT-0408</t>
  </si>
  <si>
    <t>ANT-0142</t>
  </si>
  <si>
    <t>ANT-0845</t>
  </si>
  <si>
    <t>ANT-0775</t>
  </si>
  <si>
    <t>ANT-0458</t>
  </si>
  <si>
    <t>ANT-0841</t>
  </si>
  <si>
    <t>ANT-0103</t>
  </si>
  <si>
    <t>ANT-0220</t>
  </si>
  <si>
    <t>ANT-0521</t>
  </si>
  <si>
    <t>ANT-0411</t>
  </si>
  <si>
    <t>ANT-0347</t>
  </si>
  <si>
    <t>ANT-0564</t>
  </si>
  <si>
    <t>ANT-0937</t>
  </si>
  <si>
    <t>ANT-0054</t>
  </si>
  <si>
    <t>ANT-0822</t>
  </si>
  <si>
    <t>ANT-0399</t>
  </si>
  <si>
    <t>ANT-0652</t>
  </si>
  <si>
    <t>ANT-0716</t>
  </si>
  <si>
    <t>ANT-0094</t>
  </si>
  <si>
    <t>ANT-0149</t>
  </si>
  <si>
    <t>ANT-0797</t>
  </si>
  <si>
    <t>ANT-0758</t>
  </si>
  <si>
    <t>ANT-0446</t>
  </si>
  <si>
    <t>ANT-0091</t>
  </si>
  <si>
    <t>ANT-0066</t>
  </si>
  <si>
    <t>ANT-0889</t>
  </si>
  <si>
    <t>ANT-0228</t>
  </si>
  <si>
    <t>ANT-0682</t>
  </si>
  <si>
    <t>ANT-0082</t>
  </si>
  <si>
    <t>ANT-0624</t>
  </si>
  <si>
    <t>ANT-0039</t>
  </si>
  <si>
    <t>ANT-0394</t>
  </si>
  <si>
    <t>ANT-0985</t>
  </si>
  <si>
    <t>ANT-0662</t>
  </si>
  <si>
    <t>ANT-0895</t>
  </si>
  <si>
    <t>ANT-0294</t>
  </si>
  <si>
    <t>ANT-0612</t>
  </si>
  <si>
    <t>ANT-0059</t>
  </si>
  <si>
    <t>ANT-0180</t>
  </si>
  <si>
    <t>ANT-0507</t>
  </si>
  <si>
    <t>ANT-0450</t>
  </si>
  <si>
    <t>ANT-0942</t>
  </si>
  <si>
    <t>ANT-0207</t>
  </si>
  <si>
    <t>ANT-0907</t>
  </si>
  <si>
    <t>ANT-0293</t>
  </si>
  <si>
    <t>ANT-0200</t>
  </si>
  <si>
    <t>ANT-0035</t>
  </si>
  <si>
    <t>ANT-0809</t>
  </si>
  <si>
    <t>ANT-0947</t>
  </si>
  <si>
    <t>ANT-0872</t>
  </si>
  <si>
    <t>ANT-0915</t>
  </si>
  <si>
    <t>ANT-0174</t>
  </si>
  <si>
    <t>ANT-0037</t>
  </si>
  <si>
    <t>ANT-0369</t>
  </si>
  <si>
    <t>ANT-0940</t>
  </si>
  <si>
    <t>ANT-0001</t>
  </si>
  <si>
    <t>ANT-0893</t>
  </si>
  <si>
    <t xml:space="preserve">ANT-0089 </t>
  </si>
  <si>
    <t>ANT-0690</t>
  </si>
  <si>
    <t>ANT-0410</t>
  </si>
  <si>
    <t>ANT-0981</t>
  </si>
  <si>
    <t>ANT-0405</t>
  </si>
  <si>
    <t>ANT-0810</t>
  </si>
  <si>
    <t>ANT-0601</t>
  </si>
  <si>
    <t>ANT-0206</t>
  </si>
  <si>
    <t>ANT-0631</t>
  </si>
  <si>
    <t>ANT-0016</t>
  </si>
  <si>
    <t>ANT-0934</t>
  </si>
  <si>
    <t>ANT-0946</t>
  </si>
  <si>
    <t>ANT-0563</t>
  </si>
  <si>
    <t>ANT-0292</t>
  </si>
  <si>
    <t>ANT-0681</t>
  </si>
  <si>
    <t>ANT-0790</t>
  </si>
  <si>
    <t>ANT-0357</t>
  </si>
  <si>
    <t>ANT-0356</t>
  </si>
  <si>
    <t>ANT-0284</t>
  </si>
  <si>
    <t>ANT-0232</t>
  </si>
  <si>
    <t>ANT-0641</t>
  </si>
  <si>
    <t>ANT-0902</t>
  </si>
  <si>
    <t>ANT-0414</t>
  </si>
  <si>
    <t>ANT-0589</t>
  </si>
  <si>
    <t>ANT-0005</t>
  </si>
  <si>
    <t>ANT-0696</t>
  </si>
  <si>
    <t>ANT-0636</t>
  </si>
  <si>
    <t>ANT-0417</t>
  </si>
  <si>
    <t>ANT-0519</t>
  </si>
  <si>
    <t>ANT-0702</t>
  </si>
  <si>
    <t>ANT-0603</t>
  </si>
  <si>
    <t>ANT-0075</t>
  </si>
  <si>
    <t>ANT-0755</t>
  </si>
  <si>
    <t>ANT-0302</t>
  </si>
  <si>
    <t>ANT-0349</t>
  </si>
  <si>
    <t>ANT-0120</t>
  </si>
  <si>
    <t>ANT-0526</t>
  </si>
  <si>
    <t>ANT-0718</t>
  </si>
  <si>
    <t>ANT-0551</t>
  </si>
  <si>
    <t>ANT-0257</t>
  </si>
  <si>
    <t>ANT-0454</t>
  </si>
  <si>
    <t>ANT-0387</t>
  </si>
  <si>
    <t>ANT-0941</t>
  </si>
  <si>
    <t>ANT-0827</t>
  </si>
  <si>
    <t>ANT-0348</t>
  </si>
  <si>
    <t>ANT-0470</t>
  </si>
  <si>
    <t>ANT-0472</t>
  </si>
  <si>
    <t>ANT-0029</t>
  </si>
  <si>
    <t>ANT-0995</t>
  </si>
  <si>
    <t>ANT-0582</t>
  </si>
  <si>
    <t>ANT-0813</t>
  </si>
  <si>
    <t>ANT-0070</t>
  </si>
  <si>
    <t>ANT-0392</t>
  </si>
  <si>
    <t>ANT-0226</t>
  </si>
  <si>
    <t>ANT-0708</t>
  </si>
  <si>
    <t>ANT-0706</t>
  </si>
  <si>
    <t>ANT-0423</t>
  </si>
  <si>
    <t>ANT-0691</t>
  </si>
  <si>
    <t>ANT-0625</t>
  </si>
  <si>
    <t>ANT-0804</t>
  </si>
  <si>
    <t>ANT-0010</t>
  </si>
  <si>
    <t>ANT-0925</t>
  </si>
  <si>
    <t>ANT-0255</t>
  </si>
  <si>
    <t>ANT-0295</t>
  </si>
  <si>
    <t>ANT-0753</t>
  </si>
  <si>
    <t>ANT-0409</t>
  </si>
  <si>
    <t>ANT-0917</t>
  </si>
  <si>
    <t>ANT-0984</t>
  </si>
  <si>
    <t>ANT-0183</t>
  </si>
  <si>
    <t>ANT-0890</t>
  </si>
  <si>
    <t>ANT-0322</t>
  </si>
  <si>
    <t>ANT-0363</t>
  </si>
  <si>
    <t>ANT-0224</t>
  </si>
  <si>
    <t>ANT-0276</t>
  </si>
  <si>
    <t>ANT-0188</t>
  </si>
  <si>
    <t>ANT-0195</t>
  </si>
  <si>
    <t>ANT-0511</t>
  </si>
  <si>
    <t>ANT-0205</t>
  </si>
  <si>
    <t>ANT-0241</t>
  </si>
  <si>
    <t>ANT-0248</t>
  </si>
  <si>
    <t>ANT-0272</t>
  </si>
  <si>
    <t>ANT-0988</t>
  </si>
  <si>
    <t>ANT-0736</t>
  </si>
  <si>
    <t>ANT-0769</t>
  </si>
  <si>
    <t>ANT-0256</t>
  </si>
  <si>
    <t>ANT-0365</t>
  </si>
  <si>
    <t>ANT-0824</t>
  </si>
  <si>
    <t>ANT-0123</t>
  </si>
  <si>
    <t>ANT-0081</t>
  </si>
  <si>
    <t>ANT-0505</t>
  </si>
  <si>
    <t>ANT-0863</t>
  </si>
  <si>
    <t>ANT-0910</t>
  </si>
  <si>
    <t>ANT-0680</t>
  </si>
  <si>
    <t>ANT-0381</t>
  </si>
  <si>
    <t>ANT-0323</t>
  </si>
  <si>
    <t>ANT-0952</t>
  </si>
  <si>
    <t>ANT-0282</t>
  </si>
  <si>
    <t>ANT-0503</t>
  </si>
  <si>
    <t>ANT-0839</t>
  </si>
  <si>
    <t>ANT-0287</t>
  </si>
  <si>
    <t>ANT-0674</t>
  </si>
  <si>
    <t>ANT-0648</t>
  </si>
  <si>
    <t>ANT-0132</t>
  </si>
  <si>
    <t>ANT-0056</t>
  </si>
  <si>
    <t>ANT-0694</t>
  </si>
  <si>
    <t>ANT-0620</t>
  </si>
  <si>
    <t>ANT-0482</t>
  </si>
  <si>
    <t>ANT-0277</t>
  </si>
  <si>
    <t>ANT-0770</t>
  </si>
  <si>
    <t>ANT-0875</t>
  </si>
  <si>
    <t>ANT-0178</t>
  </si>
  <si>
    <t>ANT-0991</t>
  </si>
  <si>
    <t>ANT-0441</t>
  </si>
  <si>
    <t>ANT-0352</t>
  </si>
  <si>
    <t>ANT-0904</t>
  </si>
  <si>
    <t>ANT-0090</t>
  </si>
  <si>
    <t>Cell_ID</t>
  </si>
  <si>
    <t>Duree_Panne_Min</t>
  </si>
  <si>
    <t>Statut_Resolution</t>
  </si>
  <si>
    <t>Résolu</t>
  </si>
  <si>
    <t>ANT-0004</t>
  </si>
  <si>
    <t>ANT-0977</t>
  </si>
  <si>
    <t>Non Résolu</t>
  </si>
  <si>
    <t>ANT-0740</t>
  </si>
  <si>
    <t>En Cours</t>
  </si>
  <si>
    <t>ANT-0897</t>
  </si>
  <si>
    <t>ANT-0996</t>
  </si>
  <si>
    <t>ANT-0513</t>
  </si>
  <si>
    <t>ANT-0781</t>
  </si>
  <si>
    <t>ANT-0109</t>
  </si>
  <si>
    <t>ANT-0892</t>
  </si>
  <si>
    <t>ANT-0306</t>
  </si>
  <si>
    <t>ANT-0655</t>
  </si>
  <si>
    <t>ANT-0204</t>
  </si>
  <si>
    <t>ANT-0157</t>
  </si>
  <si>
    <t>ANT-0383</t>
  </si>
  <si>
    <t>ANT-0798</t>
  </si>
  <si>
    <t>ANT-0544</t>
  </si>
  <si>
    <t>ANT-0501</t>
  </si>
  <si>
    <t>ANT-0115</t>
  </si>
  <si>
    <t>ANT-0372</t>
  </si>
  <si>
    <t>ANT-0246</t>
  </si>
  <si>
    <t>ANT-0060</t>
  </si>
  <si>
    <t>ANT-0247</t>
  </si>
  <si>
    <t>ANT-0581</t>
  </si>
  <si>
    <t>ANT-0650</t>
  </si>
  <si>
    <t>ANT-0874</t>
  </si>
  <si>
    <t>ANT-0518</t>
  </si>
  <si>
    <t>ANT-0930</t>
  </si>
  <si>
    <t>ANT-0867</t>
  </si>
  <si>
    <t>ANT-0053</t>
  </si>
  <si>
    <t>ANT-0095</t>
  </si>
  <si>
    <t>ANT-0046</t>
  </si>
  <si>
    <t>ANT-0342</t>
  </si>
  <si>
    <t>ANT-0269</t>
  </si>
  <si>
    <t>ANT-0453</t>
  </si>
  <si>
    <t>ANT-0723</t>
  </si>
  <si>
    <t>ANT-0438</t>
  </si>
  <si>
    <t>ANT-0575</t>
  </si>
  <si>
    <t>ANT-0968</t>
  </si>
  <si>
    <t>ANT-0905</t>
  </si>
  <si>
    <t>ANT-0559</t>
  </si>
  <si>
    <t>ANT-0152</t>
  </si>
  <si>
    <t>ANT-0043</t>
  </si>
  <si>
    <t>ANT-0316</t>
  </si>
  <si>
    <t>ANT-0610</t>
  </si>
  <si>
    <t>ANT-0325</t>
  </si>
  <si>
    <t>ANT-0973</t>
  </si>
  <si>
    <t>ANT-0774</t>
  </si>
  <si>
    <t>ANT-0628</t>
  </si>
  <si>
    <t>ANT-0851</t>
  </si>
  <si>
    <t>ANT-0562</t>
  </si>
  <si>
    <t>ANT-0919</t>
  </si>
  <si>
    <t>ANT-0163</t>
  </si>
  <si>
    <t>ANT-0762</t>
  </si>
  <si>
    <t>ANT-0487</t>
  </si>
  <si>
    <t>ANT-0461</t>
  </si>
  <si>
    <t>ANT-0266</t>
  </si>
  <si>
    <t>ANT-0254</t>
  </si>
  <si>
    <t>ANT-0861</t>
  </si>
  <si>
    <t>ANT-0785</t>
  </si>
  <si>
    <t>ANT-0497</t>
  </si>
  <si>
    <t>ANT-0570</t>
  </si>
  <si>
    <t>ANT-0971</t>
  </si>
  <si>
    <t>ANT-0196</t>
  </si>
  <si>
    <t>ANT-0777</t>
  </si>
  <si>
    <t>ANT-0729</t>
  </si>
  <si>
    <t>ANT-0459</t>
  </si>
  <si>
    <t>ANT-0018</t>
  </si>
  <si>
    <t>ANT-0227</t>
  </si>
  <si>
    <t>ANT-0709</t>
  </si>
  <si>
    <t>ANT-0314</t>
  </si>
  <si>
    <t>ANT-0378</t>
  </si>
  <si>
    <t>ANT-0485</t>
  </si>
  <si>
    <t>ANT-0567</t>
  </si>
  <si>
    <t>ANT-0764</t>
  </si>
  <si>
    <t>ANT-0259</t>
  </si>
  <si>
    <t>ANT-0119</t>
  </si>
  <si>
    <t>ANT-0792</t>
  </si>
  <si>
    <t>ANT-0886</t>
  </si>
  <si>
    <t>ANT-0891</t>
  </si>
  <si>
    <t>ANT-0556</t>
  </si>
  <si>
    <t>ANT-0474</t>
  </si>
  <si>
    <t>ANT-0193</t>
  </si>
  <si>
    <t>ANT-0638</t>
  </si>
  <si>
    <t>ANT-0779</t>
  </si>
  <si>
    <t>ANT-0274</t>
  </si>
  <si>
    <t>ANT-0135</t>
  </si>
  <si>
    <t>ANT-0449</t>
  </si>
  <si>
    <t>ANT-0125</t>
  </si>
  <si>
    <t>ANT-0030</t>
  </si>
  <si>
    <t>ANT-0646</t>
  </si>
  <si>
    <t>ANT-0819</t>
  </si>
  <si>
    <t>ANT-0727</t>
  </si>
  <si>
    <t>ANT-0739</t>
  </si>
  <si>
    <t>ANT-0698</t>
  </si>
  <si>
    <t>ANT-0859</t>
  </si>
  <si>
    <t>ANT-0141</t>
  </si>
  <si>
    <t>ANT-0644</t>
  </si>
  <si>
    <t>ANT-0100</t>
  </si>
  <si>
    <t>ANT-0643</t>
  </si>
  <si>
    <t>ANT-0317</t>
  </si>
  <si>
    <t>ANT-0808</t>
  </si>
  <si>
    <t>ANT-0452</t>
  </si>
  <si>
    <t>ANT-0594</t>
  </si>
  <si>
    <t>ANT-0374</t>
  </si>
  <si>
    <t>ANT-0932</t>
  </si>
  <si>
    <t>ANT-0303</t>
  </si>
  <si>
    <t>ANT-0335</t>
  </si>
  <si>
    <t>ANT-0766</t>
  </si>
  <si>
    <t>ANT-0426</t>
  </si>
  <si>
    <t>ANT-0806</t>
  </si>
  <si>
    <t>ANT-0898</t>
  </si>
  <si>
    <t>ANT-0280</t>
  </si>
  <si>
    <t>ANT-0169</t>
  </si>
  <si>
    <t>ANT-0967</t>
  </si>
  <si>
    <t>ANT-0111</t>
  </si>
  <si>
    <t>ANT-0730</t>
  </si>
  <si>
    <t>ANT-0455</t>
  </si>
  <si>
    <t>ANT-0076</t>
  </si>
  <si>
    <t>ANT-0083</t>
  </si>
  <si>
    <t>ANT-0330</t>
  </si>
  <si>
    <t>ANT-0623</t>
  </si>
  <si>
    <t>ANT-0068</t>
  </si>
  <si>
    <t>ANT-0130</t>
  </si>
  <si>
    <t>ANT-0640</t>
  </si>
  <si>
    <t>ANT-0333</t>
  </si>
  <si>
    <t>ANT-0102</t>
  </si>
  <si>
    <t>ANT-0118</t>
  </si>
  <si>
    <t>ANT-0656</t>
  </si>
  <si>
    <t>ANT-0428</t>
  </si>
  <si>
    <t>ANT-0022</t>
  </si>
  <si>
    <t>ANT-0176</t>
  </si>
  <si>
    <t>ANT-0633</t>
  </si>
  <si>
    <t>ANT-0707</t>
  </si>
  <si>
    <t>ANT-0448</t>
  </si>
  <si>
    <t>ANT-0447</t>
  </si>
  <si>
    <t>ANT-0537</t>
  </si>
  <si>
    <t>ANT-0406</t>
  </si>
  <si>
    <t>ANT-0318</t>
  </si>
  <si>
    <t>ANT-0173</t>
  </si>
  <si>
    <t>ANT-0199</t>
  </si>
  <si>
    <t>ANT-0377</t>
  </si>
  <si>
    <t>ANT-0585</t>
  </si>
  <si>
    <t>ANT-0473</t>
  </si>
  <si>
    <t>ANT-0289</t>
  </si>
  <si>
    <t>ANT-0541</t>
  </si>
  <si>
    <t>ANT-0429</t>
  </si>
  <si>
    <t>ANT-0657</t>
  </si>
  <si>
    <t>ANT-0493</t>
  </si>
  <si>
    <t>ANT-0896</t>
  </si>
  <si>
    <t>ANT-0568</t>
  </si>
  <si>
    <t>ANT-0128</t>
  </si>
  <si>
    <t>ANT-0360</t>
  </si>
  <si>
    <t>ANT-0077</t>
  </si>
  <si>
    <t>ANT-0688</t>
  </si>
  <si>
    <t>ANT-0976</t>
  </si>
  <si>
    <t>ANT-0801</t>
  </si>
  <si>
    <t>ANT-0036</t>
  </si>
  <si>
    <t>ANT-0069</t>
  </si>
  <si>
    <t>ANT-0242</t>
  </si>
  <si>
    <t>ANT-0661</t>
  </si>
  <si>
    <t>ANT-0126</t>
  </si>
  <si>
    <t>ANT-0145</t>
  </si>
  <si>
    <t>ANT-0052</t>
  </si>
  <si>
    <t>ANT-0969</t>
  </si>
  <si>
    <t>ANT-0885</t>
  </si>
  <si>
    <t>ANT-0887</t>
  </si>
  <si>
    <t>ANT-0924</t>
  </si>
  <si>
    <t>ANT-0834</t>
  </si>
  <si>
    <t>ANT-0336</t>
  </si>
  <si>
    <t>ANT-0321</t>
  </si>
  <si>
    <t>ANT-0782</t>
  </si>
  <si>
    <t>ANT-0528</t>
  </si>
  <si>
    <t>ANT-0479</t>
  </si>
  <si>
    <t>ANT-0901</t>
  </si>
  <si>
    <t>ANT-0510</t>
  </si>
  <si>
    <t>ANT-0024</t>
  </si>
  <si>
    <t>ANT-0403</t>
  </si>
  <si>
    <t>ANT-0469</t>
  </si>
  <si>
    <t>ANT-0221</t>
  </si>
  <si>
    <t>ANT-0598</t>
  </si>
  <si>
    <t>ANT-0686</t>
  </si>
  <si>
    <t>ANT-0927</t>
  </si>
  <si>
    <t>ANT-0654</t>
  </si>
  <si>
    <t>ANT-0669</t>
  </si>
  <si>
    <t>ANT-0958</t>
  </si>
  <si>
    <t>ANT-0667</t>
  </si>
  <si>
    <t>ANT-0329</t>
  </si>
  <si>
    <t>ANT-0061</t>
  </si>
  <si>
    <t>ANT-0092</t>
  </si>
  <si>
    <t>ANT-0548</t>
  </si>
  <si>
    <t>ANT-0757</t>
  </si>
  <si>
    <t>ANT-0542</t>
  </si>
  <si>
    <t>ANT-0475</t>
  </si>
  <si>
    <t>ANT-0435</t>
  </si>
  <si>
    <t>ANT-0389</t>
  </si>
  <si>
    <t>ANT-0844</t>
  </si>
  <si>
    <t>ANT-0355</t>
  </si>
  <si>
    <t>ANT-0960</t>
  </si>
  <si>
    <t>ANT-0743</t>
  </si>
  <si>
    <t>ANT-0784</t>
  </si>
  <si>
    <t>ANT-0116</t>
  </si>
  <si>
    <t>ANT-0033</t>
  </si>
  <si>
    <t>ANT-0422</t>
  </si>
  <si>
    <t>ANT-0013</t>
  </si>
  <si>
    <t>ANT-0963</t>
  </si>
  <si>
    <t>ANT-0197</t>
  </si>
  <si>
    <t>ANT-0635</t>
  </si>
  <si>
    <t>ANT-0540</t>
  </si>
  <si>
    <t>ANT-0815</t>
  </si>
  <si>
    <t>ANT-0983</t>
  </si>
  <si>
    <t>ANT-0471</t>
  </si>
  <si>
    <t>ANT-0308</t>
  </si>
  <si>
    <t>ANT-0848</t>
  </si>
  <si>
    <t>ANT-0334</t>
  </si>
  <si>
    <t>ANT-0805</t>
  </si>
  <si>
    <t>ANT-0955</t>
  </si>
  <si>
    <t>ANT-0699</t>
  </si>
  <si>
    <t>ANT-0787</t>
  </si>
  <si>
    <t>ANT-0028</t>
  </si>
  <si>
    <t>ANT-0726</t>
  </si>
  <si>
    <t>ANT-0215</t>
  </si>
  <si>
    <t>ANT-0817</t>
  </si>
  <si>
    <t>ANT-0299</t>
  </si>
  <si>
    <t>ANT-0710</t>
  </si>
  <si>
    <t>ANT-0512</t>
  </si>
  <si>
    <t>ANT-0311</t>
  </si>
  <si>
    <t>ANT-0231</t>
  </si>
  <si>
    <t>ANT-0296</t>
  </si>
  <si>
    <t>ANT-0800</t>
  </si>
  <si>
    <t>ANT-0761</t>
  </si>
  <si>
    <t>ANT-0508</t>
  </si>
  <si>
    <t>ANT-0275</t>
  </si>
  <si>
    <t>ANT-0376</t>
  </si>
  <si>
    <t>ANT-0560</t>
  </si>
  <si>
    <t>ANT-0105</t>
  </si>
  <si>
    <t>ANT-0305</t>
  </si>
  <si>
    <t>ANT-0034</t>
  </si>
  <si>
    <t>ANT-0868</t>
  </si>
  <si>
    <t>ANT-0675</t>
  </si>
  <si>
    <t>ANT-0309</t>
  </si>
  <si>
    <t>ANT-0522</t>
  </si>
  <si>
    <t>ANT-0803</t>
  </si>
  <si>
    <t>ANT-0920</t>
  </si>
  <si>
    <t>ANT-0978</t>
  </si>
  <si>
    <t>ANT-0396</t>
  </si>
  <si>
    <t>ANT-0609</t>
  </si>
  <si>
    <t>ANT-0073</t>
  </si>
  <si>
    <t>ANT-0911</t>
  </si>
  <si>
    <t>ANT-0397</t>
  </si>
  <si>
    <t>ANT-0244</t>
  </si>
  <si>
    <t>ANT-0504</t>
  </si>
  <si>
    <t>ANT-0062</t>
  </si>
  <si>
    <t>ANT-0146</t>
  </si>
  <si>
    <t>ANT-0944</t>
  </si>
  <si>
    <t>ANT-0866</t>
  </si>
  <si>
    <t>ANT-0382</t>
  </si>
  <si>
    <t>ANT-0998</t>
  </si>
  <si>
    <t>ANT-0087</t>
  </si>
  <si>
    <t>ANT-0595</t>
  </si>
  <si>
    <t>ANT-0098</t>
  </si>
  <si>
    <t>ANT-0137</t>
  </si>
  <si>
    <t>ANT-0840</t>
  </si>
  <si>
    <t>ANT-0404</t>
  </si>
  <si>
    <t>ANT-0064</t>
  </si>
  <si>
    <t>ANT-0243</t>
  </si>
  <si>
    <t>ANT-0326</t>
  </si>
  <si>
    <t>ANT-0756</t>
  </si>
  <si>
    <t>ANT-0606</t>
  </si>
  <si>
    <t>ANT-0361</t>
  </si>
  <si>
    <t>ANT-0577</t>
  </si>
  <si>
    <t>ANT-0857</t>
  </si>
  <si>
    <t>ANT-0830</t>
  </si>
  <si>
    <t>ANT-0903</t>
  </si>
  <si>
    <t>ANT-0021</t>
  </si>
  <si>
    <t>ANT-0490</t>
  </si>
  <si>
    <t>ANT-0155</t>
  </si>
  <si>
    <t>ANT-0771</t>
  </si>
  <si>
    <t>ANT-0684</t>
  </si>
  <si>
    <t>ANT-0828</t>
  </si>
  <si>
    <t>ANT-0555</t>
  </si>
  <si>
    <t>ANT-0233</t>
  </si>
  <si>
    <t>ANT-0063</t>
  </si>
  <si>
    <t>ANT-0704</t>
  </si>
  <si>
    <t>ANT-0888</t>
  </si>
  <si>
    <t>ANT-0307</t>
  </si>
  <si>
    <t>ANT-0732</t>
  </si>
  <si>
    <t>ANT-0820</t>
  </si>
  <si>
    <t>ANT-0586</t>
  </si>
  <si>
    <t>ANT-0599</t>
  </si>
  <si>
    <t>ANT-0864</t>
  </si>
  <si>
    <t>ANT-0860</t>
  </si>
  <si>
    <t>ANT-0384</t>
  </si>
  <si>
    <t>ANT-0290</t>
  </si>
  <si>
    <t>ANT-0345</t>
  </si>
  <si>
    <t>ANT-0672</t>
  </si>
  <si>
    <t>ANT-0922</t>
  </si>
  <si>
    <t>ANT-0825</t>
  </si>
  <si>
    <t>ANT-0050</t>
  </si>
  <si>
    <t>ANT-0427</t>
  </si>
  <si>
    <t>ANT-0390</t>
  </si>
  <si>
    <t>ANT-0127</t>
  </si>
  <si>
    <t>ANT-0561</t>
  </si>
  <si>
    <t>ANT-0486</t>
  </si>
  <si>
    <t>ANT-0712</t>
  </si>
  <si>
    <t>ANT-0104</t>
  </si>
  <si>
    <t>ANT-0108</t>
  </si>
  <si>
    <t>ANT-0019</t>
  </si>
  <si>
    <t>ANT-0987</t>
  </si>
  <si>
    <t>ANT-0634</t>
  </si>
  <si>
    <t>ANT-0312</t>
  </si>
  <si>
    <t>ANT-0912</t>
  </si>
  <si>
    <t>ANT-0576</t>
  </si>
  <si>
    <t>ANT-0468</t>
  </si>
  <si>
    <t>ANT-0974</t>
  </si>
  <si>
    <t>ANT-0350</t>
  </si>
  <si>
    <t>ANT-0340</t>
  </si>
  <si>
    <t>ANT-0574</t>
  </si>
  <si>
    <t>ANT-0439</t>
  </si>
  <si>
    <t>ANT-0286</t>
  </si>
  <si>
    <t>ANT-0262</t>
  </si>
  <si>
    <t>ANT-0478</t>
  </si>
  <si>
    <t>ANT-0158</t>
  </si>
  <si>
    <t>ANT-0951</t>
  </si>
  <si>
    <t>ANT-0331</t>
  </si>
  <si>
    <t>ANT-0793</t>
  </si>
  <si>
    <t>ANT-0367</t>
  </si>
  <si>
    <t>ANT-0725</t>
  </si>
  <si>
    <t>ANT-0539</t>
  </si>
  <si>
    <t>ANT-0980</t>
  </si>
  <si>
    <t>ANT-0189</t>
  </si>
  <si>
    <t>ANT-0186</t>
  </si>
  <si>
    <t>ANT-0873</t>
  </si>
  <si>
    <t>ANT-0203</t>
  </si>
  <si>
    <t>ANT-0744</t>
  </si>
  <si>
    <t>ANT-0366</t>
  </si>
  <si>
    <t>Heure</t>
  </si>
  <si>
    <t>Date_Heure_Panne.1</t>
  </si>
  <si>
    <t>Date_Heure_Panne.2</t>
  </si>
  <si>
    <t>Province</t>
  </si>
  <si>
    <t>Id_Client</t>
  </si>
  <si>
    <t>Type_Client</t>
  </si>
  <si>
    <t>Étiquettes de lignes</t>
  </si>
  <si>
    <t>Total général</t>
  </si>
  <si>
    <t>Pas de region</t>
  </si>
  <si>
    <t>Somme de Date_Heure_Panne.2</t>
  </si>
  <si>
    <t>Region_Impactées</t>
  </si>
  <si>
    <t>Nombre de Cell_ID</t>
  </si>
  <si>
    <t>Rabais Obtenue</t>
  </si>
  <si>
    <t>Anciennette</t>
  </si>
  <si>
    <t>Duree_Cumulée_Panne</t>
  </si>
  <si>
    <t>Duree par heure</t>
  </si>
  <si>
    <r>
      <t>&gt;</t>
    </r>
    <r>
      <rPr>
        <sz val="11"/>
        <color theme="1"/>
        <rFont val="Aptos Narrow"/>
        <family val="2"/>
      </rPr>
      <t>&gt;&lt;[]</t>
    </r>
  </si>
  <si>
    <t>Nombre de Statut_Resolution</t>
  </si>
  <si>
    <t xml:space="preserve">Moyenne </t>
  </si>
  <si>
    <t>Moyenne</t>
  </si>
  <si>
    <t>Anciennette_Par_An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</si>
</sst>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Pourcentage" xfId="1" builtinId="5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NZENI ALUNG Barick" refreshedDate="46112.718373379626" createdVersion="8" refreshedVersion="8" minRefreshableVersion="3" recordCount="1074" xr:uid="{FE4789CE-B08F-49B1-9271-E904569E3AAA}">
  <cacheSource type="worksheet">
    <worksheetSource name="Logs_Reseau7"/>
  </cacheSource>
  <cacheFields count="8">
    <cacheField name="Date_Heure_Panne.1" numFmtId="14">
      <sharedItems containsSemiMixedTypes="0" containsNonDate="0" containsDate="1" containsString="0" minDate="2023-10-01T00:00:00" maxDate="2023-11-01T00:00:00" count="31"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</sharedItems>
    </cacheField>
    <cacheField name="Date_Heure_Panne.2" numFmtId="164">
      <sharedItems containsSemiMixedTypes="0" containsNonDate="0" containsDate="1" containsString="0" minDate="1899-12-30T00:02:00" maxDate="1899-12-30T23:59:00" count="757">
        <d v="1899-12-30T02:14:00"/>
        <d v="1899-12-30T11:50:00"/>
        <d v="1899-12-30T12:16:00"/>
        <d v="1899-12-30T11:12:00"/>
        <d v="1899-12-30T23:39:00"/>
        <d v="1899-12-30T01:34:00"/>
        <d v="1899-12-30T22:21:00"/>
        <d v="1899-12-30T21:56:00"/>
        <d v="1899-12-30T23:34:00"/>
        <d v="1899-12-30T13:41:00"/>
        <d v="1899-12-30T22:13:00"/>
        <d v="1899-12-30T15:06:00"/>
        <d v="1899-12-30T01:53:00"/>
        <d v="1899-12-30T10:16:00"/>
        <d v="1899-12-30T08:13:00"/>
        <d v="1899-12-30T12:50:00"/>
        <d v="1899-12-30T10:41:00"/>
        <d v="1899-12-30T09:28:00"/>
        <d v="1899-12-30T19:59:00"/>
        <d v="1899-12-30T02:47:00"/>
        <d v="1899-12-30T20:04:00"/>
        <d v="1899-12-30T16:06:00"/>
        <d v="1899-12-30T12:37:00"/>
        <d v="1899-12-30T05:17:00"/>
        <d v="1899-12-30T14:17:00"/>
        <d v="1899-12-30T12:21:00"/>
        <d v="1899-12-30T12:09:00"/>
        <d v="1899-12-30T07:23:00"/>
        <d v="1899-12-30T21:14:00"/>
        <d v="1899-12-30T01:06:00"/>
        <d v="1899-12-30T07:26:00"/>
        <d v="1899-12-30T14:58:00"/>
        <d v="1899-12-30T13:47:00"/>
        <d v="1899-12-30T16:05:00"/>
        <d v="1899-12-30T19:47:00"/>
        <d v="1899-12-30T02:04:00"/>
        <d v="1899-12-30T18:44:00"/>
        <d v="1899-12-30T01:02:00"/>
        <d v="1899-12-30T05:54:00"/>
        <d v="1899-12-30T18:30:00"/>
        <d v="1899-12-30T10:59:00"/>
        <d v="1899-12-30T22:54:00"/>
        <d v="1899-12-30T17:26:00"/>
        <d v="1899-12-30T20:49:00"/>
        <d v="1899-12-30T10:15:00"/>
        <d v="1899-12-30T21:03:00"/>
        <d v="1899-12-30T20:34:00"/>
        <d v="1899-12-30T07:30:00"/>
        <d v="1899-12-30T04:08:00"/>
        <d v="1899-12-30T12:17:00"/>
        <d v="1899-12-30T05:24:00"/>
        <d v="1899-12-30T05:06:00"/>
        <d v="1899-12-30T12:28:00"/>
        <d v="1899-12-30T07:02:00"/>
        <d v="1899-12-30T11:14:00"/>
        <d v="1899-12-30T20:37:00"/>
        <d v="1899-12-30T15:23:00"/>
        <d v="1899-12-30T00:13:00"/>
        <d v="1899-12-30T05:50:00"/>
        <d v="1899-12-30T22:08:00"/>
        <d v="1899-12-30T01:23:00"/>
        <d v="1899-12-30T08:24:00"/>
        <d v="1899-12-30T14:03:00"/>
        <d v="1899-12-30T12:40:00"/>
        <d v="1899-12-30T10:38:00"/>
        <d v="1899-12-30T19:18:00"/>
        <d v="1899-12-30T01:09:00"/>
        <d v="1899-12-30T02:17:00"/>
        <d v="1899-12-30T10:06:00"/>
        <d v="1899-12-30T01:19:00"/>
        <d v="1899-12-30T11:59:00"/>
        <d v="1899-12-30T18:42:00"/>
        <d v="1899-12-30T07:40:00"/>
        <d v="1899-12-30T15:29:00"/>
        <d v="1899-12-30T16:41:00"/>
        <d v="1899-12-30T15:50:00"/>
        <d v="1899-12-30T21:54:00"/>
        <d v="1899-12-30T17:29:00"/>
        <d v="1899-12-30T17:57:00"/>
        <d v="1899-12-30T20:27:00"/>
        <d v="1899-12-30T09:54:00"/>
        <d v="1899-12-30T11:16:00"/>
        <d v="1899-12-30T11:42:00"/>
        <d v="1899-12-30T06:14:00"/>
        <d v="1899-12-30T09:02:00"/>
        <d v="1899-12-30T16:47:00"/>
        <d v="1899-12-30T06:57:00"/>
        <d v="1899-12-30T03:53:00"/>
        <d v="1899-12-30T08:41:00"/>
        <d v="1899-12-30T05:15:00"/>
        <d v="1899-12-30T10:54:00"/>
        <d v="1899-12-30T18:37:00"/>
        <d v="1899-12-30T16:28:00"/>
        <d v="1899-12-30T12:42:00"/>
        <d v="1899-12-30T20:50:00"/>
        <d v="1899-12-30T17:13:00"/>
        <d v="1899-12-30T06:58:00"/>
        <d v="1899-12-30T20:45:00"/>
        <d v="1899-12-30T21:51:00"/>
        <d v="1899-12-30T23:57:00"/>
        <d v="1899-12-30T06:01:00"/>
        <d v="1899-12-30T16:09:00"/>
        <d v="1899-12-30T10:13:00"/>
        <d v="1899-12-30T10:45:00"/>
        <d v="1899-12-30T17:14:00"/>
        <d v="1899-12-30T06:40:00"/>
        <d v="1899-12-30T17:11:00"/>
        <d v="1899-12-30T14:29:00"/>
        <d v="1899-12-30T21:24:00"/>
        <d v="1899-12-30T14:19:00"/>
        <d v="1899-12-30T13:42:00"/>
        <d v="1899-12-30T08:36:00"/>
        <d v="1899-12-30T18:15:00"/>
        <d v="1899-12-30T23:48:00"/>
        <d v="1899-12-30T05:28:00"/>
        <d v="1899-12-30T05:23:00"/>
        <d v="1899-12-30T05:08:00"/>
        <d v="1899-12-30T00:05:00"/>
        <d v="1899-12-30T07:19:00"/>
        <d v="1899-12-30T18:01:00"/>
        <d v="1899-12-30T23:00:00"/>
        <d v="1899-12-30T21:27:00"/>
        <d v="1899-12-30T22:49:00"/>
        <d v="1899-12-30T11:27:00"/>
        <d v="1899-12-30T06:34:00"/>
        <d v="1899-12-30T15:39:00"/>
        <d v="1899-12-30T01:25:00"/>
        <d v="1899-12-30T05:19:00"/>
        <d v="1899-12-30T01:00:00"/>
        <d v="1899-12-30T19:27:00"/>
        <d v="1899-12-30T14:46:00"/>
        <d v="1899-12-30T12:32:00"/>
        <d v="1899-12-30T12:25:00"/>
        <d v="1899-12-30T00:45:00"/>
        <d v="1899-12-30T00:47:00"/>
        <d v="1899-12-30T07:47:00"/>
        <d v="1899-12-30T21:13:00"/>
        <d v="1899-12-30T08:08:00"/>
        <d v="1899-12-30T04:51:00"/>
        <d v="1899-12-30T06:48:00"/>
        <d v="1899-12-30T22:46:00"/>
        <d v="1899-12-30T00:16:00"/>
        <d v="1899-12-30T23:40:00"/>
        <d v="1899-12-30T02:57:00"/>
        <d v="1899-12-30T07:08:00"/>
        <d v="1899-12-30T02:10:00"/>
        <d v="1899-12-30T21:44:00"/>
        <d v="1899-12-30T13:44:00"/>
        <d v="1899-12-30T13:12:00"/>
        <d v="1899-12-30T05:42:00"/>
        <d v="1899-12-30T06:21:00"/>
        <d v="1899-12-30T12:45:00"/>
        <d v="1899-12-30T16:26:00"/>
        <d v="1899-12-30T22:00:00"/>
        <d v="1899-12-30T20:19:00"/>
        <d v="1899-12-30T02:11:00"/>
        <d v="1899-12-30T11:19:00"/>
        <d v="1899-12-30T15:58:00"/>
        <d v="1899-12-30T14:11:00"/>
        <d v="1899-12-30T21:30:00"/>
        <d v="1899-12-30T15:00:00"/>
        <d v="1899-12-30T18:13:00"/>
        <d v="1899-12-30T19:34:00"/>
        <d v="1899-12-30T14:47:00"/>
        <d v="1899-12-30T09:24:00"/>
        <d v="1899-12-30T23:06:00"/>
        <d v="1899-12-30T07:33:00"/>
        <d v="1899-12-30T18:24:00"/>
        <d v="1899-12-30T12:43:00"/>
        <d v="1899-12-30T10:35:00"/>
        <d v="1899-12-30T05:40:00"/>
        <d v="1899-12-30T08:17:00"/>
        <d v="1899-12-30T22:19:00"/>
        <d v="1899-12-30T19:36:00"/>
        <d v="1899-12-30T12:39:00"/>
        <d v="1899-12-30T17:04:00"/>
        <d v="1899-12-30T20:56:00"/>
        <d v="1899-12-30T08:47:00"/>
        <d v="1899-12-30T23:15:00"/>
        <d v="1899-12-30T01:16:00"/>
        <d v="1899-12-30T02:28:00"/>
        <d v="1899-12-30T00:26:00"/>
        <d v="1899-12-30T11:32:00"/>
        <d v="1899-12-30T11:08:00"/>
        <d v="1899-12-30T18:27:00"/>
        <d v="1899-12-30T01:15:00"/>
        <d v="1899-12-30T19:03:00"/>
        <d v="1899-12-30T11:23:00"/>
        <d v="1899-12-30T00:20:00"/>
        <d v="1899-12-30T15:22:00"/>
        <d v="1899-12-30T08:05:00"/>
        <d v="1899-12-30T03:42:00"/>
        <d v="1899-12-30T19:20:00"/>
        <d v="1899-12-30T04:17:00"/>
        <d v="1899-12-30T19:56:00"/>
        <d v="1899-12-30T04:04:00"/>
        <d v="1899-12-30T02:39:00"/>
        <d v="1899-12-30T14:24:00"/>
        <d v="1899-12-30T17:30:00"/>
        <d v="1899-12-30T15:37:00"/>
        <d v="1899-12-30T08:29:00"/>
        <d v="1899-12-30T14:04:00"/>
        <d v="1899-12-30T04:36:00"/>
        <d v="1899-12-30T09:13:00"/>
        <d v="1899-12-30T05:36:00"/>
        <d v="1899-12-30T20:35:00"/>
        <d v="1899-12-30T06:13:00"/>
        <d v="1899-12-30T22:58:00"/>
        <d v="1899-12-30T22:04:00"/>
        <d v="1899-12-30T08:48:00"/>
        <d v="1899-12-30T16:30:00"/>
        <d v="1899-12-30T12:57:00"/>
        <d v="1899-12-30T12:23:00"/>
        <d v="1899-12-30T13:32:00"/>
        <d v="1899-12-30T04:01:00"/>
        <d v="1899-12-30T23:23:00"/>
        <d v="1899-12-30T21:40:00"/>
        <d v="1899-12-30T06:53:00"/>
        <d v="1899-12-30T00:39:00"/>
        <d v="1899-12-30T08:42:00"/>
        <d v="1899-12-30T15:17:00"/>
        <d v="1899-12-30T10:26:00"/>
        <d v="1899-12-30T18:26:00"/>
        <d v="1899-12-30T03:54:00"/>
        <d v="1899-12-30T11:20:00"/>
        <d v="1899-12-30T17:08:00"/>
        <d v="1899-12-30T09:07:00"/>
        <d v="1899-12-30T13:54:00"/>
        <d v="1899-12-30T09:45:00"/>
        <d v="1899-12-30T18:33:00"/>
        <d v="1899-12-30T22:56:00"/>
        <d v="1899-12-30T08:25:00"/>
        <d v="1899-12-30T04:09:00"/>
        <d v="1899-12-30T14:23:00"/>
        <d v="1899-12-30T12:38:00"/>
        <d v="1899-12-30T03:03:00"/>
        <d v="1899-12-30T20:18:00"/>
        <d v="1899-12-30T03:22:00"/>
        <d v="1899-12-30T23:35:00"/>
        <d v="1899-12-30T23:03:00"/>
        <d v="1899-12-30T04:47:00"/>
        <d v="1899-12-30T13:02:00"/>
        <d v="1899-12-30T03:12:00"/>
        <d v="1899-12-30T08:50:00"/>
        <d v="1899-12-30T16:50:00"/>
        <d v="1899-12-30T14:40:00"/>
        <d v="1899-12-30T21:48:00"/>
        <d v="1899-12-30T03:35:00"/>
        <d v="1899-12-30T02:59:00"/>
        <d v="1899-12-30T01:42:00"/>
        <d v="1899-12-30T23:42:00"/>
        <d v="1899-12-30T12:36:00"/>
        <d v="1899-12-30T16:02:00"/>
        <d v="1899-12-30T01:47:00"/>
        <d v="1899-12-30T23:05:00"/>
        <d v="1899-12-30T01:48:00"/>
        <d v="1899-12-30T07:14:00"/>
        <d v="1899-12-30T04:40:00"/>
        <d v="1899-12-30T20:44:00"/>
        <d v="1899-12-30T06:42:00"/>
        <d v="1899-12-30T23:01:00"/>
        <d v="1899-12-30T13:24:00"/>
        <d v="1899-12-30T01:45:00"/>
        <d v="1899-12-30T12:08:00"/>
        <d v="1899-12-30T01:46:00"/>
        <d v="1899-12-30T14:16:00"/>
        <d v="1899-12-30T01:08:00"/>
        <d v="1899-12-30T02:36:00"/>
        <d v="1899-12-30T12:41:00"/>
        <d v="1899-12-30T11:52:00"/>
        <d v="1899-12-30T18:18:00"/>
        <d v="1899-12-30T10:39:00"/>
        <d v="1899-12-30T15:54:00"/>
        <d v="1899-12-30T22:59:00"/>
        <d v="1899-12-30T02:01:00"/>
        <d v="1899-12-30T08:31:00"/>
        <d v="1899-12-30T02:16:00"/>
        <d v="1899-12-30T07:51:00"/>
        <d v="1899-12-30T16:25:00"/>
        <d v="1899-12-30T22:55:00"/>
        <d v="1899-12-30T22:07:00"/>
        <d v="1899-12-30T12:35:00"/>
        <d v="1899-12-30T18:39:00"/>
        <d v="1899-12-30T23:44:00"/>
        <d v="1899-12-30T04:24:00"/>
        <d v="1899-12-30T18:46:00"/>
        <d v="1899-12-30T14:07:00"/>
        <d v="1899-12-30T17:24:00"/>
        <d v="1899-12-30T06:02:00"/>
        <d v="1899-12-30T23:28:00"/>
        <d v="1899-12-30T05:45:00"/>
        <d v="1899-12-30T08:46:00"/>
        <d v="1899-12-30T06:27:00"/>
        <d v="1899-12-30T09:20:00"/>
        <d v="1899-12-30T05:10:00"/>
        <d v="1899-12-30T16:19:00"/>
        <d v="1899-12-30T22:35:00"/>
        <d v="1899-12-30T00:24:00"/>
        <d v="1899-12-30T04:11:00"/>
        <d v="1899-12-30T21:34:00"/>
        <d v="1899-12-30T21:38:00"/>
        <d v="1899-12-30T21:47:00"/>
        <d v="1899-12-30T21:43:00"/>
        <d v="1899-12-30T13:58:00"/>
        <d v="1899-12-30T22:32:00"/>
        <d v="1899-12-30T11:06:00"/>
        <d v="1899-12-30T16:53:00"/>
        <d v="1899-12-30T23:04:00"/>
        <d v="1899-12-30T00:11:00"/>
        <d v="1899-12-30T06:29:00"/>
        <d v="1899-12-30T16:33:00"/>
        <d v="1899-12-30T22:14:00"/>
        <d v="1899-12-30T03:05:00"/>
        <d v="1899-12-30T12:00:00"/>
        <d v="1899-12-30T21:07:00"/>
        <d v="1899-12-30T11:00:00"/>
        <d v="1899-12-30T01:14:00"/>
        <d v="1899-12-30T22:11:00"/>
        <d v="1899-12-30T01:18:00"/>
        <d v="1899-12-30T06:44:00"/>
        <d v="1899-12-30T23:30:00"/>
        <d v="1899-12-30T11:56:00"/>
        <d v="1899-12-30T20:05:00"/>
        <d v="1899-12-30T21:22:00"/>
        <d v="1899-12-30T04:02:00"/>
        <d v="1899-12-30T05:56:00"/>
        <d v="1899-12-30T13:38:00"/>
        <d v="1899-12-30T19:16:00"/>
        <d v="1899-12-30T20:11:00"/>
        <d v="1899-12-30T20:03:00"/>
        <d v="1899-12-30T09:21:00"/>
        <d v="1899-12-30T16:12:00"/>
        <d v="1899-12-30T10:48:00"/>
        <d v="1899-12-30T09:08:00"/>
        <d v="1899-12-30T02:22:00"/>
        <d v="1899-12-30T00:21:00"/>
        <d v="1899-12-30T09:11:00"/>
        <d v="1899-12-30T22:12:00"/>
        <d v="1899-12-30T05:16:00"/>
        <d v="1899-12-30T17:05:00"/>
        <d v="1899-12-30T17:36:00"/>
        <d v="1899-12-30T10:12:00"/>
        <d v="1899-12-30T02:34:00"/>
        <d v="1899-12-30T07:36:00"/>
        <d v="1899-12-30T17:21:00"/>
        <d v="1899-12-30T14:06:00"/>
        <d v="1899-12-30T23:50:00"/>
        <d v="1899-12-30T08:06:00"/>
        <d v="1899-12-30T02:58:00"/>
        <d v="1899-12-30T11:54:00"/>
        <d v="1899-12-30T03:32:00"/>
        <d v="1899-12-30T14:39:00"/>
        <d v="1899-12-30T09:16:00"/>
        <d v="1899-12-30T01:32:00"/>
        <d v="1899-12-30T16:56:00"/>
        <d v="1899-12-30T05:38:00"/>
        <d v="1899-12-30T21:20:00"/>
        <d v="1899-12-30T02:33:00"/>
        <d v="1899-12-30T13:07:00"/>
        <d v="1899-12-30T16:57:00"/>
        <d v="1899-12-30T13:26:00"/>
        <d v="1899-12-30T10:11:00"/>
        <d v="1899-12-30T01:55:00"/>
        <d v="1899-12-30T02:32:00"/>
        <d v="1899-12-30T14:51:00"/>
        <d v="1899-12-30T18:07:00"/>
        <d v="1899-12-30T04:49:00"/>
        <d v="1899-12-30T07:35:00"/>
        <d v="1899-12-30T21:01:00"/>
        <d v="1899-12-30T23:10:00"/>
        <d v="1899-12-30T10:01:00"/>
        <d v="1899-12-30T10:44:00"/>
        <d v="1899-12-30T14:49:00"/>
        <d v="1899-12-30T15:02:00"/>
        <d v="1899-12-30T17:18:00"/>
        <d v="1899-12-30T05:46:00"/>
        <d v="1899-12-30T14:59:00"/>
        <d v="1899-12-30T02:46:00"/>
        <d v="1899-12-30T22:18:00"/>
        <d v="1899-12-30T11:39:00"/>
        <d v="1899-12-30T18:35:00"/>
        <d v="1899-12-30T07:28:00"/>
        <d v="1899-12-30T16:20:00"/>
        <d v="1899-12-30T05:43:00"/>
        <d v="1899-12-30T12:27:00"/>
        <d v="1899-12-30T18:43:00"/>
        <d v="1899-12-30T13:52:00"/>
        <d v="1899-12-30T14:02:00"/>
        <d v="1899-12-30T19:44:00"/>
        <d v="1899-12-30T23:07:00"/>
        <d v="1899-12-30T10:43:00"/>
        <d v="1899-12-30T08:02:00"/>
        <d v="1899-12-30T18:19:00"/>
        <d v="1899-12-30T06:06:00"/>
        <d v="1899-12-30T14:14:00"/>
        <d v="1899-12-30T00:33:00"/>
        <d v="1899-12-30T01:36:00"/>
        <d v="1899-12-30T14:35:00"/>
        <d v="1899-12-30T05:03:00"/>
        <d v="1899-12-30T01:01:00"/>
        <d v="1899-12-30T03:29:00"/>
        <d v="1899-12-30T08:26:00"/>
        <d v="1899-12-30T02:42:00"/>
        <d v="1899-12-30T07:53:00"/>
        <d v="1899-12-30T10:17:00"/>
        <d v="1899-12-30T15:30:00"/>
        <d v="1899-12-30T14:21:00"/>
        <d v="1899-12-30T17:47:00"/>
        <d v="1899-12-30T14:15:00"/>
        <d v="1899-12-30T22:38:00"/>
        <d v="1899-12-30T17:41:00"/>
        <d v="1899-12-30T00:27:00"/>
        <d v="1899-12-30T15:14:00"/>
        <d v="1899-12-30T02:43:00"/>
        <d v="1899-12-30T14:43:00"/>
        <d v="1899-12-30T17:07:00"/>
        <d v="1899-12-30T03:30:00"/>
        <d v="1899-12-30T18:03:00"/>
        <d v="1899-12-30T05:39:00"/>
        <d v="1899-12-30T04:27:00"/>
        <d v="1899-12-30T06:33:00"/>
        <d v="1899-12-30T19:11:00"/>
        <d v="1899-12-30T02:38:00"/>
        <d v="1899-12-30T20:25:00"/>
        <d v="1899-12-30T16:45:00"/>
        <d v="1899-12-30T01:58:00"/>
        <d v="1899-12-30T04:38:00"/>
        <d v="1899-12-30T03:51:00"/>
        <d v="1899-12-30T03:16:00"/>
        <d v="1899-12-30T20:53:00"/>
        <d v="1899-12-30T01:22:00"/>
        <d v="1899-12-30T11:30:00"/>
        <d v="1899-12-30T05:34:00"/>
        <d v="1899-12-30T03:56:00"/>
        <d v="1899-12-30T02:08:00"/>
        <d v="1899-12-30T08:57:00"/>
        <d v="1899-12-30T13:56:00"/>
        <d v="1899-12-30T18:36:00"/>
        <d v="1899-12-30T17:51:00"/>
        <d v="1899-12-30T03:27:00"/>
        <d v="1899-12-30T16:55:00"/>
        <d v="1899-12-30T19:28:00"/>
        <d v="1899-12-30T23:46:00"/>
        <d v="1899-12-30T18:10:00"/>
        <d v="1899-12-30T18:38:00"/>
        <d v="1899-12-30T06:32:00"/>
        <d v="1899-12-30T00:23:00"/>
        <d v="1899-12-30T06:55:00"/>
        <d v="1899-12-30T01:11:00"/>
        <d v="1899-12-30T07:44:00"/>
        <d v="1899-12-30T00:02:00"/>
        <d v="1899-12-30T05:35:00"/>
        <d v="1899-12-30T16:10:00"/>
        <d v="1899-12-30T12:20:00"/>
        <d v="1899-12-30T04:22:00"/>
        <d v="1899-12-30T16:39:00"/>
        <d v="1899-12-30T23:17:00"/>
        <d v="1899-12-30T17:01:00"/>
        <d v="1899-12-30T18:21:00"/>
        <d v="1899-12-30T11:03:00"/>
        <d v="1899-12-30T10:27:00"/>
        <d v="1899-12-30T06:24:00"/>
        <d v="1899-12-30T06:36:00"/>
        <d v="1899-12-30T05:44:00"/>
        <d v="1899-12-30T20:46:00"/>
        <d v="1899-12-30T03:18:00"/>
        <d v="1899-12-30T09:26:00"/>
        <d v="1899-12-30T03:24:00"/>
        <d v="1899-12-30T14:00:00"/>
        <d v="1899-12-30T06:35:00"/>
        <d v="1899-12-30T11:01:00"/>
        <d v="1899-12-30T17:31:00"/>
        <d v="1899-12-30T19:01:00"/>
        <d v="1899-12-30T00:40:00"/>
        <d v="1899-12-30T09:53:00"/>
        <d v="1899-12-30T12:13:00"/>
        <d v="1899-12-30T01:39:00"/>
        <d v="1899-12-30T13:53:00"/>
        <d v="1899-12-30T08:51:00"/>
        <d v="1899-12-30T11:43:00"/>
        <d v="1899-12-30T19:39:00"/>
        <d v="1899-12-30T02:37:00"/>
        <d v="1899-12-30T09:14:00"/>
        <d v="1899-12-30T07:43:00"/>
        <d v="1899-12-30T04:39:00"/>
        <d v="1899-12-30T04:12:00"/>
        <d v="1899-12-30T22:40:00"/>
        <d v="1899-12-30T04:10:00"/>
        <d v="1899-12-30T00:41:00"/>
        <d v="1899-12-30T07:06:00"/>
        <d v="1899-12-30T15:03:00"/>
        <d v="1899-12-30T06:45:00"/>
        <d v="1899-12-30T23:59:00"/>
        <d v="1899-12-30T11:22:00"/>
        <d v="1899-12-30T18:08:00"/>
        <d v="1899-12-30T20:43:00"/>
        <d v="1899-12-30T09:57:00"/>
        <d v="1899-12-30T12:06:00"/>
        <d v="1899-12-30T00:55:00"/>
        <d v="1899-12-30T05:49:00"/>
        <d v="1899-12-30T21:46:00"/>
        <d v="1899-12-30T15:10:00"/>
        <d v="1899-12-30T06:52:00"/>
        <d v="1899-12-30T06:54:00"/>
        <d v="1899-12-30T15:15:00"/>
        <d v="1899-12-30T09:10:00"/>
        <d v="1899-12-30T07:58:00"/>
        <d v="1899-12-30T19:02:00"/>
        <d v="1899-12-30T09:05:00"/>
        <d v="1899-12-30T15:59:00"/>
        <d v="1899-12-30T15:33:00"/>
        <d v="1899-12-30T14:09:00"/>
        <d v="1899-12-30T19:04:00"/>
        <d v="1899-12-30T16:13:00"/>
        <d v="1899-12-30T13:40:00"/>
        <d v="1899-12-30T16:24:00"/>
        <d v="1899-12-30T19:50:00"/>
        <d v="1899-12-30T18:05:00"/>
        <d v="1899-12-30T10:05:00"/>
        <d v="1899-12-30T15:12:00"/>
        <d v="1899-12-30T19:14:00"/>
        <d v="1899-12-30T20:10:00"/>
        <d v="1899-12-30T10:32:00"/>
        <d v="1899-12-30T10:53:00"/>
        <d v="1899-12-30T11:26:00"/>
        <d v="1899-12-30T22:05:00"/>
        <d v="1899-12-30T20:01:00"/>
        <d v="1899-12-30T23:45:00"/>
        <d v="1899-12-30T22:48:00"/>
        <d v="1899-12-30T01:50:00"/>
        <d v="1899-12-30T19:43:00"/>
        <d v="1899-12-30T02:18:00"/>
        <d v="1899-12-30T02:26:00"/>
        <d v="1899-12-30T15:16:00"/>
        <d v="1899-12-30T04:21:00"/>
        <d v="1899-12-30T02:29:00"/>
        <d v="1899-12-30T15:45:00"/>
        <d v="1899-12-30T14:01:00"/>
        <d v="1899-12-30T13:14:00"/>
        <d v="1899-12-30T05:21:00"/>
        <d v="1899-12-30T10:00:00"/>
        <d v="1899-12-30T02:49:00"/>
        <d v="1899-12-30T22:34:00"/>
        <d v="1899-12-30T22:16:00"/>
        <d v="1899-12-30T02:12:00"/>
        <d v="1899-12-30T19:29:00"/>
        <d v="1899-12-30T10:29:00"/>
        <d v="1899-12-30T15:38:00"/>
        <d v="1899-12-30T15:25:00"/>
        <d v="1899-12-30T02:45:00"/>
        <d v="1899-12-30T17:50:00"/>
        <d v="1899-12-30T03:43:00"/>
        <d v="1899-12-30T04:58:00"/>
        <d v="1899-12-30T18:06:00"/>
        <d v="1899-12-30T11:44:00"/>
        <d v="1899-12-30T06:18:00"/>
        <d v="1899-12-30T10:52:00"/>
        <d v="1899-12-30T03:49:00"/>
        <d v="1899-12-30T05:32:00"/>
        <d v="1899-12-30T20:21:00"/>
        <d v="1899-12-30T09:23:00"/>
        <d v="1899-12-30T16:15:00"/>
        <d v="1899-12-30T13:20:00"/>
        <d v="1899-12-30T08:09:00"/>
        <d v="1899-12-30T11:34:00"/>
        <d v="1899-12-30T12:04:00"/>
        <d v="1899-12-30T06:41:00"/>
        <d v="1899-12-30T04:45:00"/>
        <d v="1899-12-30T11:58:00"/>
        <d v="1899-12-30T20:41:00"/>
        <d v="1899-12-30T06:23:00"/>
        <d v="1899-12-30T03:26:00"/>
        <d v="1899-12-30T23:11:00"/>
        <d v="1899-12-30T00:57:00"/>
        <d v="1899-12-30T22:22:00"/>
        <d v="1899-12-30T18:32:00"/>
        <d v="1899-12-30T13:35:00"/>
        <d v="1899-12-30T22:17:00"/>
        <d v="1899-12-30T09:19:00"/>
        <d v="1899-12-30T04:20:00"/>
        <d v="1899-12-30T20:09:00"/>
        <d v="1899-12-30T13:25:00"/>
        <d v="1899-12-30T07:31:00"/>
        <d v="1899-12-30T13:11:00"/>
        <d v="1899-12-30T22:31:00"/>
        <d v="1899-12-30T04:18:00"/>
        <d v="1899-12-30T12:02:00"/>
        <d v="1899-12-30T11:29:00"/>
        <d v="1899-12-30T15:40:00"/>
        <d v="1899-12-30T11:13:00"/>
        <d v="1899-12-30T14:28:00"/>
        <d v="1899-12-30T09:58:00"/>
        <d v="1899-12-30T04:32:00"/>
        <d v="1899-12-30T15:55:00"/>
        <d v="1899-12-30T18:31:00"/>
        <d v="1899-12-30T12:24:00"/>
        <d v="1899-12-30T17:58:00"/>
        <d v="1899-12-30T14:20:00"/>
        <d v="1899-12-30T22:39:00"/>
        <d v="1899-12-30T15:09:00"/>
        <d v="1899-12-30T02:35:00"/>
        <d v="1899-12-30T21:06:00"/>
        <d v="1899-12-30T08:49:00"/>
        <d v="1899-12-30T18:40:00"/>
        <d v="1899-12-30T17:16:00"/>
        <d v="1899-12-30T07:03:00"/>
        <d v="1899-12-30T13:18:00"/>
        <d v="1899-12-30T23:47:00"/>
        <d v="1899-12-30T10:03:00"/>
        <d v="1899-12-30T16:38:00"/>
        <d v="1899-12-30T09:37:00"/>
        <d v="1899-12-30T18:14:00"/>
        <d v="1899-12-30T17:40:00"/>
        <d v="1899-12-30T17:03:00"/>
        <d v="1899-12-30T06:03:00"/>
        <d v="1899-12-30T10:51:00"/>
        <d v="1899-12-30T04:26:00"/>
        <d v="1899-12-30T02:27:00"/>
        <d v="1899-12-30T13:10:00"/>
        <d v="1899-12-30T10:28:00"/>
        <d v="1899-12-30T00:44:00"/>
        <d v="1899-12-30T10:49:00"/>
        <d v="1899-12-30T02:31:00"/>
        <d v="1899-12-30T11:35:00"/>
        <d v="1899-12-30T19:38:00"/>
        <d v="1899-12-30T05:31:00"/>
        <d v="1899-12-30T07:27:00"/>
        <d v="1899-12-30T08:21:00"/>
        <d v="1899-12-30T17:02:00"/>
        <d v="1899-12-30T13:16:00"/>
        <d v="1899-12-30T10:58:00"/>
        <d v="1899-12-30T02:00:00"/>
        <d v="1899-12-30T19:58:00"/>
        <d v="1899-12-30T23:43:00"/>
        <d v="1899-12-30T04:41:00"/>
        <d v="1899-12-30T00:15:00"/>
        <d v="1899-12-30T04:50:00"/>
        <d v="1899-12-30T16:07:00"/>
        <d v="1899-12-30T23:37:00"/>
        <d v="1899-12-30T23:36:00"/>
        <d v="1899-12-30T03:57:00"/>
        <d v="1899-12-30T23:08:00"/>
        <d v="1899-12-30T14:57:00"/>
        <d v="1899-12-30T13:17:00"/>
        <d v="1899-12-30T05:18:00"/>
        <d v="1899-12-30T22:47:00"/>
        <d v="1899-12-30T15:51:00"/>
        <d v="1899-12-30T10:23:00"/>
        <d v="1899-12-30T09:46:00"/>
        <d v="1899-12-30T04:15:00"/>
        <d v="1899-12-30T15:01:00"/>
        <d v="1899-12-30T21:19:00"/>
        <d v="1899-12-30T07:37:00"/>
        <d v="1899-12-30T05:07:00"/>
        <d v="1899-12-30T17:06:00"/>
        <d v="1899-12-30T01:29:00"/>
        <d v="1899-12-30T05:04:00"/>
        <d v="1899-12-30T17:42:00"/>
        <d v="1899-12-30T03:06:00"/>
        <d v="1899-12-30T23:55:00"/>
        <d v="1899-12-30T06:56:00"/>
        <d v="1899-12-30T04:07:00"/>
        <d v="1899-12-30T18:41:00"/>
        <d v="1899-12-30T03:50:00"/>
        <d v="1899-12-30T07:45:00"/>
        <d v="1899-12-30T23:25:00"/>
        <d v="1899-12-30T01:44:00"/>
        <d v="1899-12-30T02:25:00"/>
        <d v="1899-12-30T02:30:00"/>
        <d v="1899-12-30T21:45:00"/>
        <d v="1899-12-30T15:46:00"/>
        <d v="1899-12-30T09:04:00"/>
        <d v="1899-12-30T21:15:00"/>
        <d v="1899-12-30T18:58:00"/>
        <d v="1899-12-30T21:29:00"/>
        <d v="1899-12-30T00:19:00"/>
        <d v="1899-12-30T05:01:00"/>
        <d v="1899-12-30T04:06:00"/>
        <d v="1899-12-30T03:55:00"/>
        <d v="1899-12-30T12:44:00"/>
        <d v="1899-12-30T23:16:00"/>
        <d v="1899-12-30T20:15:00"/>
        <d v="1899-12-30T23:09:00"/>
        <d v="1899-12-30T14:05:00"/>
        <d v="1899-12-30T01:51:00"/>
        <d v="1899-12-30T00:48:00"/>
        <d v="1899-12-30T07:21:00"/>
        <d v="1899-12-30T07:25:00"/>
        <d v="1899-12-30T00:08:00"/>
        <d v="1899-12-30T10:07:00"/>
        <d v="1899-12-30T04:42:00"/>
        <d v="1899-12-30T17:23:00"/>
        <d v="1899-12-30T11:36:00"/>
        <d v="1899-12-30T18:02:00"/>
        <d v="1899-12-30T07:55:00"/>
        <d v="1899-12-30T22:09:00"/>
        <d v="1899-12-30T21:58:00"/>
        <d v="1899-12-30T11:38:00"/>
        <d v="1899-12-30T21:33:00"/>
        <d v="1899-12-30T02:50:00"/>
        <d v="1899-12-30T03:28:00"/>
        <d v="1899-12-30T03:15:00"/>
        <d v="1899-12-30T08:11:00"/>
        <d v="1899-12-30T12:26:00"/>
        <d v="1899-12-30T18:12:00"/>
        <d v="1899-12-30T06:28:00"/>
        <d v="1899-12-30T16:08:00"/>
        <d v="1899-12-30T13:31:00"/>
        <d v="1899-12-30T19:00:00"/>
        <d v="1899-12-30T20:29:00"/>
        <d v="1899-12-30T20:22:00"/>
        <d v="1899-12-30T14:55:00"/>
        <d v="1899-12-30T21:08:00"/>
        <d v="1899-12-30T23:32:00"/>
        <d v="1899-12-30T14:45:00"/>
        <d v="1899-12-30T12:22:00"/>
        <d v="1899-12-30T13:51:00"/>
        <d v="1899-12-30T23:20:00"/>
        <d v="1899-12-30T14:54:00"/>
        <d v="1899-12-30T18:09:00"/>
        <d v="1899-12-30T06:47:00"/>
        <d v="1899-12-30T07:10:00"/>
        <d v="1899-12-30T09:36:00"/>
        <d v="1899-12-30T17:43:00"/>
        <d v="1899-12-30T23:41:00"/>
        <d v="1899-12-30T01:35:00"/>
        <d v="1899-12-30T12:05:00"/>
        <d v="1899-12-30T10:19:00"/>
        <d v="1899-12-30T14:18:00"/>
        <d v="1899-12-30T15:07:00"/>
        <d v="1899-12-30T02:52:00"/>
        <d v="1899-12-30T05:29:00"/>
        <d v="1899-12-30T12:54:00"/>
        <d v="1899-12-30T18:25:00"/>
        <d v="1899-12-30T01:37:00"/>
        <d v="1899-12-30T01:28:00"/>
        <d v="1899-12-30T21:53:00"/>
        <d v="1899-12-30T10:18:00"/>
        <d v="1899-12-30T03:04:00"/>
        <d v="1899-12-30T09:29:00"/>
        <d v="1899-12-30T11:40:00"/>
        <d v="1899-12-30T20:42:00"/>
        <d v="1899-12-30T11:37:00"/>
        <d v="1899-12-30T15:20:00"/>
        <d v="1899-12-30T21:55:00"/>
        <d v="1899-12-30T07:17:00"/>
        <d v="1899-12-30T20:20:00"/>
        <d v="1899-12-30T09:49:00"/>
        <d v="1899-12-30T15:24:00"/>
        <d v="1899-12-30T04:30:00"/>
        <d v="1899-12-30T00:07:00"/>
        <d v="1899-12-30T18:56:00"/>
        <d v="1899-12-30T02:07:00"/>
        <d v="1899-12-30T20:02:00"/>
        <d v="1899-12-30T07:46:00"/>
        <d v="1899-12-30T10:40:00"/>
        <d v="1899-12-30T17:34:00"/>
      </sharedItems>
      <fieldGroup par="7"/>
    </cacheField>
    <cacheField name="Cell_ID" numFmtId="0">
      <sharedItems count="658">
        <s v="ANT-0246"/>
        <s v="ANT-0813"/>
        <s v="ANT-0269"/>
        <s v="ANT-0268"/>
        <s v="ANT-0775"/>
        <s v="ANT-0638"/>
        <s v="ANT-0541"/>
        <s v="ANT-0212"/>
        <s v="ANT-0501"/>
        <s v="ANT-0405"/>
        <s v="ANT-0737"/>
        <s v="ANT-0173"/>
        <s v="ANT-0936"/>
        <s v="ANT-0487"/>
        <s v="ANT-0604"/>
        <s v="ANT-0430"/>
        <s v="ANT-0617"/>
        <s v="ANT-0587"/>
        <s v="ANT-0473"/>
        <s v="ANT-0472"/>
        <s v="ANT-0109"/>
        <s v="ANT-0118"/>
        <s v="ANT-0809"/>
        <s v="ANT-0283"/>
        <s v="ANT-0707"/>
        <s v="ANT-0309"/>
        <s v="ANT-0287"/>
        <s v="ANT-0306"/>
        <s v="ANT-0553"/>
        <s v="ANT-0766"/>
        <s v="ANT-0360"/>
        <s v="ANT-0199"/>
        <s v="ANT-0624"/>
        <s v="ANT-0968"/>
        <s v="ANT-0056"/>
        <s v="ANT-0563"/>
        <s v="ANT-0958"/>
        <s v="ANT-0052"/>
        <s v="ANT-0059"/>
        <s v="ANT-0115"/>
        <s v="ANT-0801"/>
        <s v="ANT-0744"/>
        <s v="ANT-0294"/>
        <s v="ANT-0990"/>
        <s v="ANT-0730"/>
        <s v="ANT-0564"/>
        <s v="ANT-0046"/>
        <s v="ANT-0731"/>
        <s v="ANT-0719"/>
        <s v="ANT-0282"/>
        <s v="ANT-0653"/>
        <s v="ANT-0861"/>
        <s v="ANT-0569"/>
        <s v="ANT-0390"/>
        <s v="ANT-0518"/>
        <s v="ANT-0649"/>
        <s v="ANT-0449"/>
        <s v="ANT-0989"/>
        <s v="ANT-0971"/>
        <s v="ANT-0577"/>
        <s v="ANT-0507"/>
        <s v="ANT-0307"/>
        <s v="ANT-0185"/>
        <s v="ANT-0081"/>
        <s v="ANT-0787"/>
        <s v="ANT-0166"/>
        <s v="ANT-0633"/>
        <s v="ANT-0595"/>
        <s v="ANT-0142"/>
        <s v="ANT-0303"/>
        <s v="ANT-0718"/>
        <s v="ANT-0452"/>
        <s v="ANT-0126"/>
        <s v="ANT-0299"/>
        <s v="ANT-0488"/>
        <s v="ANT-0011"/>
        <s v="ANT-0292"/>
        <s v="ANT-0403"/>
        <s v="ANT-0311"/>
        <s v="ANT-0978"/>
        <s v="ANT-0270"/>
        <s v="ANT-0524"/>
        <s v="ANT-0288"/>
        <s v="ANT-0039"/>
        <s v="ANT-0044"/>
        <s v="ANT-0350"/>
        <s v="ANT-0250"/>
        <s v="ANT-0371"/>
        <s v="ANT-0374"/>
        <s v="ANT-0743"/>
        <s v="ANT-0510"/>
        <s v="ANT-0670"/>
        <s v="ANT-0739"/>
        <s v="ANT-0391"/>
        <s v="ANT-0315"/>
        <s v="ANT-0426"/>
        <s v="ANT-0117"/>
        <s v="ANT-0457"/>
        <s v="ANT-0902"/>
        <s v="ANT-0782"/>
        <s v="ANT-0732"/>
        <s v="ANT-0135"/>
        <s v="ANT-0193"/>
        <s v="ANT-0224"/>
        <s v="ANT-0753"/>
        <s v="ANT-0259"/>
        <s v="ANT-0229"/>
        <s v="ANT-0340"/>
        <s v="ANT-0176"/>
        <s v="ANT-0153"/>
        <s v="ANT-0197"/>
        <s v="ANT-0883"/>
        <s v="ANT-0881"/>
        <s v="ANT-0817"/>
        <s v="ANT-0357"/>
        <s v="ANT-0302"/>
        <s v="ANT-0063"/>
        <s v="ANT-0680"/>
        <s v="ANT-0661"/>
        <s v="ANT-0581"/>
        <s v="ANT-0921"/>
        <s v="ANT-0512"/>
        <s v="ANT-0930"/>
        <s v="ANT-0096"/>
        <s v="ANT-0106"/>
        <s v="ANT-0973"/>
        <s v="ANT-0508"/>
        <s v="ANT-0945"/>
        <s v="ANT-0001"/>
        <s v="ANT-0996"/>
        <s v="ANT-0465"/>
        <s v="ANT-0087"/>
        <s v="ANT-0960"/>
        <s v="ANT-0886"/>
        <s v="ANT-0641"/>
        <s v="ANT-0076"/>
        <s v="ANT-0634"/>
        <s v="ANT-0579"/>
        <s v="ANT-0865"/>
        <s v="ANT-0578"/>
        <s v="ANT-0662"/>
        <s v="ANT-0381"/>
        <s v="ANT-0093"/>
        <s v="ANT-0232"/>
        <s v="ANT-0116"/>
        <s v="ANT-0146"/>
        <s v="ANT-0803"/>
        <s v="ANT-0726"/>
        <s v="ANT-0894"/>
        <s v="ANT-0688"/>
        <s v="ANT-0530"/>
        <s v="ANT-0022"/>
        <s v="ANT-0123"/>
        <s v="ANT-0333"/>
        <s v="ANT-0690"/>
        <s v="ANT-0686"/>
        <s v="ANT-0018"/>
        <s v="ANT-0977"/>
        <s v="ANT-0898"/>
        <s v="ANT-0450"/>
        <s v="ANT-0855"/>
        <s v="ANT-0557"/>
        <s v="ANT-0556"/>
        <s v="ANT-0994"/>
        <s v="ANT-0206"/>
        <s v="ANT-0266"/>
        <s v="ANT-0239"/>
        <s v="ANT-0024"/>
        <s v="ANT-0555"/>
        <s v="ANT-0784"/>
        <s v="ANT-0275"/>
        <s v="ANT-0332"/>
        <s v="ANT-0967"/>
        <s v="ANT-0815"/>
        <s v="ANT-0045"/>
        <s v="ANT-0972"/>
        <s v="ANT-0788"/>
        <s v="ANT-0406"/>
        <s v="ANT-0392"/>
        <s v="ANT-0729"/>
        <s v="ANT-0920"/>
        <s v="ANT-0441"/>
        <s v="ANT-0684"/>
        <s v="ANT-0419"/>
        <s v="ANT-0925"/>
        <s v="ANT-0147"/>
        <s v="ANT-0544"/>
        <s v="ANT-0543"/>
        <s v="ANT-0154"/>
        <s v="ANT-0434"/>
        <s v="ANT-0888"/>
        <s v="ANT-0091"/>
        <s v="ANT-0723"/>
        <s v="ANT-0036"/>
        <s v="ANT-0431"/>
        <s v="ANT-0095"/>
        <s v="ANT-0511"/>
        <s v="ANT-0158"/>
        <s v="ANT-0367"/>
        <s v="ANT-0797"/>
        <s v="ANT-0134"/>
        <s v="ANT-0029"/>
        <s v="ANT-0489"/>
        <s v="ANT-0080"/>
        <s v="ANT-0621"/>
        <s v="ANT-0186"/>
        <s v="ANT-0284"/>
        <s v="ANT-0531"/>
        <s v="ANT-0211"/>
        <s v="ANT-0157"/>
        <s v="ANT-0221"/>
        <s v="ANT-0640"/>
        <s v="ANT-0983"/>
        <s v="ANT-0695"/>
        <s v="ANT-0111"/>
        <s v="ANT-0455"/>
        <s v="ANT-0821"/>
        <s v="ANT-0122"/>
        <s v="ANT-0453"/>
        <s v="ANT-0262"/>
        <s v="ANT-0128"/>
        <s v="ANT-0523"/>
        <s v="ANT-0317"/>
        <s v="ANT-0970"/>
        <s v="ANT-0672"/>
        <s v="ANT-0698"/>
        <s v="ANT-0298"/>
        <s v="ANT-0209"/>
        <s v="ANT-0740"/>
        <s v="ANT-0070"/>
        <s v="ANT-0851"/>
        <s v="ANT-0389"/>
        <s v="ANT-0850"/>
        <s v="ANT-0845"/>
        <s v="ANT-0244"/>
        <s v="ANT-0746"/>
        <s v="ANT-0233"/>
        <s v="ANT-0373"/>
        <s v="ANT-0308"/>
        <s v="ANT-0828"/>
        <s v="ANT-0833"/>
        <s v="ANT-0679"/>
        <s v="ANT-0571"/>
        <s v="ANT-0130"/>
        <s v="ANT-0004"/>
        <s v="ANT-0901"/>
        <s v="ANT-0952"/>
        <s v="ANT-0599"/>
        <s v="ANT-0597"/>
        <s v="ANT-0075"/>
        <s v="ANT-0835"/>
        <s v="ANT-0963"/>
        <s v="ANT-0295"/>
        <s v="ANT-0152"/>
        <s v="ANT-0520"/>
        <s v="ANT-0169"/>
        <s v="ANT-0874"/>
        <s v="ANT-0582"/>
        <s v="ANT-0976"/>
        <s v="ANT-0427"/>
        <s v="ANT-0035"/>
        <s v="ANT-0384"/>
        <s v="ANT-0614"/>
        <s v="ANT-0361"/>
        <s v="ANT-0479"/>
        <s v="ANT-0451"/>
        <s v="ANT-0779"/>
        <s v="ANT-0770"/>
        <s v="ANT-0424"/>
        <s v="ANT-0396"/>
        <s v="ANT-0548"/>
        <s v="ANT-0397"/>
        <s v="ANT-0497"/>
        <s v="ANT-0316"/>
        <s v="ANT-0493"/>
        <s v="ANT-0623"/>
        <s v="ANT-0609"/>
        <s v="ANT-0145"/>
        <s v="ANT-0205"/>
        <s v="ANT-0243"/>
        <s v="ANT-0986"/>
        <s v="ANT-0164"/>
        <s v="ANT-0919"/>
        <s v="ANT-0922"/>
        <s v="ANT-0064"/>
        <s v="ANT-0071"/>
        <s v="ANT-0596"/>
        <s v="ANT-0985"/>
        <s v="ANT-0798"/>
        <s v="ANT-0800"/>
        <s v="ANT-0991"/>
        <s v="ANT-0103"/>
        <s v="ANT-0869"/>
        <s v="ANT-0353"/>
        <s v="ANT-0562"/>
        <s v="ANT-0196"/>
        <s v="ANT-0710"/>
        <s v="ANT-0484"/>
        <s v="ANT-0194"/>
        <s v="ANT-0834"/>
        <s v="ANT-0900"/>
        <s v="ANT-0712"/>
        <s v="ANT-0654"/>
        <s v="ANT-0806"/>
        <s v="ANT-0786"/>
        <s v="ANT-0859"/>
        <s v="ANT-0490"/>
        <s v="ANT-0136"/>
        <s v="ANT-0715"/>
        <s v="ANT-0274"/>
        <s v="ANT-0768"/>
        <s v="ANT-0903"/>
        <s v="ANT-0913"/>
        <s v="ANT-0955"/>
        <s v="ANT-0819"/>
        <s v="ANT-0646"/>
        <s v="ANT-0010"/>
        <s v="ANT-0077"/>
        <s v="ANT-0141"/>
        <s v="ANT-0088"/>
        <s v="ANT-0108"/>
        <s v="ANT-0416"/>
        <s v="ANT-0864"/>
        <s v="ANT-0867"/>
        <s v="ANT-0470"/>
        <s v="ANT-0885"/>
        <s v="ANT-0436"/>
        <s v="ANT-0446"/>
        <s v="ANT-0696"/>
        <s v="ANT-0941"/>
        <s v="ANT-0226"/>
        <s v="ANT-0745"/>
        <s v="ANT-0567"/>
        <s v="ANT-0050"/>
        <s v="ANT-0774"/>
        <s v="ANT-0966"/>
        <s v="ANT-0254"/>
        <s v="ANT-0037"/>
        <s v="ANT-0066"/>
        <s v="ANT-0812"/>
        <s v="ANT-0656"/>
        <s v="ANT-0811"/>
        <s v="ANT-0342"/>
        <s v="ANT-0761"/>
        <s v="ANT-0837"/>
        <s v="ANT-0528"/>
        <s v="ANT-0242"/>
        <s v="ANT-0631"/>
        <s v="ANT-0132"/>
        <s v="ANT-0611"/>
        <s v="ANT-0137"/>
        <s v="ANT-0231"/>
        <s v="ANT-0241"/>
        <s v="ANT-0862"/>
        <s v="ANT-0957"/>
        <s v="ANT-0503"/>
        <s v="ANT-0090"/>
        <s v="ANT-0762"/>
        <s v="ANT-0576"/>
        <s v="ANT-0820"/>
        <s v="ANT-0183"/>
        <s v="ANT-0422"/>
        <s v="ANT-0069"/>
        <s v="ANT-0607"/>
        <s v="ANT-0533"/>
        <s v="ANT-0995"/>
        <s v="ANT-0924"/>
        <s v="ANT-0974"/>
        <s v="ANT-0013"/>
        <s v="ANT-0478"/>
        <s v="ANT-0019"/>
        <s v="ANT-0678"/>
        <s v="ANT-0083"/>
        <s v="ANT-0271"/>
        <s v="ANT-0844"/>
        <s v="ANT-0348"/>
        <s v="ANT-0215"/>
        <s v="ANT-0875"/>
        <s v="ANT-0428"/>
        <s v="ANT-0619"/>
        <s v="ANT-0760"/>
        <s v="ANT-0143"/>
        <s v="ANT-0805"/>
        <s v="ANT-0892"/>
        <s v="ANT-0790"/>
        <s v="ANT-0447"/>
        <s v="ANT-0630"/>
        <s v="ANT-0312"/>
        <s v="ANT-0505"/>
        <s v="ANT-0826"/>
        <s v="ANT-0363"/>
        <s v="ANT-0053"/>
        <s v="ANT-0336"/>
        <s v="ANT-0258"/>
        <s v="ANT-0339"/>
        <s v="ANT-0033"/>
        <s v="ANT-0521"/>
        <s v="ANT-0650"/>
        <s v="ANT-0785"/>
        <s v="ANT-0318"/>
        <s v="ANT-0792"/>
        <s v="ANT-0305"/>
        <s v="ANT-0125"/>
        <s v="ANT-0236"/>
        <s v="ANT-0131"/>
        <s v="ANT-0701"/>
        <s v="ANT-0926"/>
        <s v="ANT-0914"/>
        <s v="ANT-0105"/>
        <s v="ANT-0545"/>
        <s v="ANT-0468"/>
        <s v="ANT-0180"/>
        <s v="ANT-0435"/>
        <s v="ANT-0100"/>
        <s v="ANT-0370"/>
        <s v="ANT-0857"/>
        <s v="ANT-0764"/>
        <s v="ANT-0494"/>
        <s v="ANT-0382"/>
        <s v="ANT-0639"/>
        <s v="ANT-0561"/>
        <s v="ANT-0407"/>
        <s v="ANT-0735"/>
        <s v="ANT-0099"/>
        <s v="ANT-0635"/>
        <s v="ANT-0642"/>
        <s v="ANT-0794"/>
        <s v="ANT-0078"/>
        <s v="ANT-0329"/>
        <s v="ANT-0934"/>
        <s v="ANT-0296"/>
        <s v="ANT-0918"/>
        <s v="ANT-0195"/>
        <s v="ANT-0159"/>
        <s v="ANT-0286"/>
        <s v="ANT-0379"/>
        <s v="ANT-0162"/>
        <s v="ANT-0499"/>
        <s v="ANT-0387"/>
        <s v="ANT-0486"/>
        <s v="ANT-0454"/>
        <s v="ANT-0041"/>
        <s v="ANT-0988"/>
        <s v="ANT-0997"/>
        <s v="ANT-0515"/>
        <s v="ANT-0891"/>
        <s v="ANT-0897"/>
        <s v="ANT-0932"/>
        <s v="ANT-0020"/>
        <s v="ANT-0021"/>
        <s v="ANT-0042"/>
        <s v="ANT-0620"/>
        <s v="ANT-0061"/>
        <s v="ANT-0588"/>
        <s v="ANT-0372"/>
        <s v="ANT-0429"/>
        <s v="ANT-0793"/>
        <s v="ANT-0257"/>
        <s v="ANT-0756"/>
        <s v="ANT-0513"/>
        <s v="ANT-0622"/>
        <s v="ANT-0848"/>
        <s v="ANT-0189"/>
        <s v="ANT-0708"/>
        <s v="ANT-0612"/>
        <s v="ANT-0825"/>
        <s v="ANT-0522"/>
        <s v="ANT-0559"/>
        <s v="ANT-0527"/>
        <s v="ANT-0325"/>
        <s v="ANT-0570"/>
        <s v="ANT-0439"/>
        <s v="ANT-0127"/>
        <s v="ANT-0247"/>
        <s v="ANT-0485"/>
        <s v="ANT-0542"/>
        <s v="ANT-0415"/>
        <s v="ANT-0540"/>
        <s v="ANT-0951"/>
        <s v="ANT-0481"/>
        <s v="ANT-0852"/>
        <s v="ANT-0461"/>
        <s v="ANT-0245"/>
        <s v="ANT-0092"/>
        <s v="ANT-0674"/>
        <s v="ANT-0165"/>
        <s v="ANT-0504"/>
        <s v="ANT-0657"/>
        <s v="ANT-0598"/>
        <s v="ANT-0417"/>
        <s v="ANT-0980"/>
        <s v="ANT-0293"/>
        <s v="ANT-0383"/>
        <s v="ANT-0402"/>
        <s v="ANT-0404"/>
        <s v="ANT-0414"/>
        <s v="ANT-0423"/>
        <s v="ANT-0777"/>
        <s v="ANT-0781"/>
        <s v="ANT-0458"/>
        <s v="ANT-0804"/>
        <s v="ANT-0668"/>
        <s v="ANT-0950"/>
        <s v="ANT-0534"/>
        <s v="ANT-0896"/>
        <s v="ANT-0526"/>
        <s v="ANT-0058"/>
        <s v="ANT-0073"/>
        <s v="ANT-0079"/>
        <s v="ANT-0163"/>
        <s v="ANT-0068"/>
        <s v="ANT-0448"/>
        <s v="ANT-0600"/>
        <s v="ANT-0331"/>
        <s v="ANT-0054"/>
        <s v="ANT-0721"/>
        <s v="ANT-0437"/>
        <s v="ANT-0335"/>
        <s v="ANT-0727"/>
        <s v="ANT-0062"/>
        <s v="ANT-0264"/>
        <s v="ANT-0868"/>
        <s v="ANT-0655"/>
        <s v="ANT-0007"/>
        <s v="ANT-0750"/>
        <s v="ANT-0923"/>
        <s v="ANT-0644"/>
        <s v="ANT-0928"/>
        <s v="ANT-0843"/>
        <s v="ANT-0754"/>
        <s v="ANT-0551"/>
        <s v="ANT-0830"/>
        <s v="ANT-0757"/>
        <s v="ANT-0362"/>
        <s v="ANT-0008"/>
        <s v="ANT-0032"/>
        <s v="ANT-0330"/>
        <s v="ANT-0060"/>
        <s v="ANT-0289"/>
        <s v="ANT-0942"/>
        <s v="ANT-0225"/>
        <s v="ANT-0870"/>
        <s v="ANT-0030"/>
        <s v="ANT-0594"/>
        <s v="ANT-0558"/>
        <s v="ANT-0560"/>
        <s v="ANT-0466"/>
        <s v="ANT-0565"/>
        <s v="ANT-0566"/>
        <s v="ANT-0575"/>
        <s v="ANT-0459"/>
        <s v="ANT-0585"/>
        <s v="ANT-0714"/>
        <s v="ANT-0517"/>
        <s v="ANT-0290"/>
        <s v="ANT-0101"/>
        <s v="ANT-0574"/>
        <s v="ANT-0944"/>
        <s v="ANT-0155"/>
        <s v="ANT-0411"/>
        <s v="ANT-0887"/>
        <s v="ANT-0366"/>
        <s v="ANT-0703"/>
        <s v="ANT-0606"/>
        <s v="ANT-0028"/>
        <s v="ANT-0839"/>
        <s v="ANT-0539"/>
        <s v="ANT-0738"/>
        <s v="ANT-0043"/>
        <s v="ANT-0667"/>
        <s v="ANT-0704"/>
        <s v="ANT-0882"/>
        <s v="ANT-0227"/>
        <s v="ANT-0203"/>
        <s v="ANT-0998"/>
        <s v="ANT-0002"/>
        <s v="ANT-0334"/>
        <s v="ANT-0866"/>
        <s v="ANT-0086"/>
        <s v="ANT-0959"/>
        <s v="ANT-0840"/>
        <s v="ANT-0119"/>
        <s v="ANT-0549"/>
        <s v="ANT-0677"/>
        <s v="ANT-0969"/>
        <s v="ANT-0394"/>
        <s v="ANT-0975"/>
        <s v="ANT-0386"/>
        <s v="ANT-0326"/>
        <s v="ANT-0110"/>
        <s v="ANT-0987"/>
        <s v="ANT-0927"/>
        <s v="ANT-0912"/>
        <s v="ANT-0345"/>
        <s v="ANT-0034"/>
        <s v="ANT-0368"/>
        <s v="ANT-0375"/>
        <s v="ANT-0376"/>
        <s v="ANT-0377"/>
        <s v="ANT-0378"/>
        <s v="ANT-0699"/>
        <s v="ANT-0104"/>
        <s v="ANT-0725"/>
        <s v="ANT-0873"/>
        <s v="ANT-0586"/>
        <s v="ANT-0872"/>
        <s v="ANT-0355"/>
        <s v="ANT-0829"/>
        <s v="ANT-0669"/>
        <s v="ANT-0716"/>
        <s v="ANT-0469"/>
        <s v="ANT-0276"/>
        <s v="ANT-0911"/>
        <s v="ANT-0094"/>
        <s v="ANT-0314"/>
        <s v="ANT-0568"/>
        <s v="ANT-0615"/>
        <s v="ANT-0860"/>
        <s v="ANT-0580"/>
        <s v="ANT-0671"/>
        <s v="ANT-0935"/>
        <s v="ANT-0102"/>
        <s v="ANT-0098"/>
        <s v="ANT-0905"/>
        <s v="ANT-0471"/>
        <s v="ANT-0808"/>
        <s v="ANT-0474"/>
        <s v="ANT-0643"/>
        <s v="ANT-0846"/>
        <s v="ANT-0675"/>
        <s v="ANT-0184"/>
        <s v="ANT-0663"/>
        <s v="ANT-0514"/>
        <s v="ANT-0610"/>
        <s v="ANT-0628"/>
        <s v="ANT-0238"/>
        <s v="ANT-0248"/>
        <s v="ANT-0255"/>
        <s v="ANT-0592"/>
        <s v="ANT-0536"/>
        <s v="ANT-0691"/>
        <s v="ANT-0280"/>
        <s v="ANT-0685"/>
        <s v="ANT-0204"/>
        <s v="ANT-0537"/>
        <s v="ANT-0929"/>
        <s v="ANT-0006"/>
        <s v="ANT-0709"/>
        <s v="ANT-0321"/>
        <s v="ANT-0771"/>
        <s v="ANT-0438"/>
        <s v="ANT-0121"/>
        <s v="ANT-0529"/>
        <s v="ANT-0856"/>
        <s v="ANT-0964"/>
        <s v="ANT-0277"/>
        <s v="ANT-0475"/>
        <s v="ANT-0573"/>
      </sharedItems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 count="3">
        <s v="Non Résolu"/>
        <s v="Résolu"/>
        <s v="En Cours"/>
      </sharedItems>
    </cacheField>
    <cacheField name="Province" numFmtId="0">
      <sharedItems count="27">
        <s v="Pas de region"/>
        <s v="Sud-Kivu"/>
        <s v="Lomami"/>
        <s v="Bas-Uele"/>
        <s v="Sankuru"/>
        <s v="Kongo-Central"/>
        <s v="Kasai"/>
        <s v="Haut-Lomami"/>
        <s v="Kwilu"/>
        <s v="Tshuapa"/>
        <s v="Haut-Katanga"/>
        <s v="Ituri"/>
        <s v="Kinshasa"/>
        <s v="Nord-Kivu"/>
        <s v="Mai-Ndombe"/>
        <s v="Kasai-Oriental"/>
        <s v="Nord-Ubangi"/>
        <s v="Haut-Uele"/>
        <s v="Sud-Ubangi"/>
        <s v="Tanganyika"/>
        <s v="Kasai-Central"/>
        <s v="Tshopo"/>
        <s v="Mongala"/>
        <s v="Maniema"/>
        <s v="Equateur"/>
        <s v="Lualaba"/>
        <s v="Kwango"/>
      </sharedItems>
    </cacheField>
    <cacheField name="Minutes (Date_Heure_Panne.2)" numFmtId="0" databaseField="0">
      <fieldGroup base="1">
        <rangePr groupBy="minutes" startDate="1899-12-30T00:02:00" endDate="1899-12-30T23:59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eures (Date_Heure_Panne.2)" numFmtId="0" databaseField="0">
      <fieldGroup base="1">
        <rangePr groupBy="hours" startDate="1899-12-30T00:02:00" endDate="1899-12-30T23:59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NZENI ALUNG Barick" refreshedDate="46112.726150347225" createdVersion="8" refreshedVersion="8" minRefreshableVersion="3" recordCount="1074" xr:uid="{545B05AD-90C2-4D00-B617-A0B9B33C194A}">
  <cacheSource type="worksheet">
    <worksheetSource name="Logs_Reseau6"/>
  </cacheSource>
  <cacheFields count="11">
    <cacheField name="Date_Heure_Panne.1" numFmtId="14">
      <sharedItems containsSemiMixedTypes="0" containsNonDate="0" containsDate="1" containsString="0" minDate="2023-10-01T00:00:00" maxDate="2023-11-01T00:00:00"/>
    </cacheField>
    <cacheField name="Date_Heure_Panne.2" numFmtId="164">
      <sharedItems containsSemiMixedTypes="0" containsNonDate="0" containsDate="1" containsString="0" minDate="1899-12-30T00:02:00" maxDate="1899-12-30T23:59:00"/>
    </cacheField>
    <cacheField name="Cell_ID" numFmtId="0">
      <sharedItems count="658">
        <s v="ANT-0001"/>
        <s v="ANT-0002"/>
        <s v="ANT-0004"/>
        <s v="ANT-0006"/>
        <s v="ANT-0007"/>
        <s v="ANT-0008"/>
        <s v="ANT-0010"/>
        <s v="ANT-0011"/>
        <s v="ANT-0013"/>
        <s v="ANT-0018"/>
        <s v="ANT-0019"/>
        <s v="ANT-0020"/>
        <s v="ANT-0021"/>
        <s v="ANT-0022"/>
        <s v="ANT-0024"/>
        <s v="ANT-0028"/>
        <s v="ANT-0029"/>
        <s v="ANT-0030"/>
        <s v="ANT-0032"/>
        <s v="ANT-0033"/>
        <s v="ANT-0034"/>
        <s v="ANT-0035"/>
        <s v="ANT-0036"/>
        <s v="ANT-0037"/>
        <s v="ANT-0039"/>
        <s v="ANT-0041"/>
        <s v="ANT-0042"/>
        <s v="ANT-0043"/>
        <s v="ANT-0044"/>
        <s v="ANT-0045"/>
        <s v="ANT-0046"/>
        <s v="ANT-0050"/>
        <s v="ANT-0052"/>
        <s v="ANT-0053"/>
        <s v="ANT-0054"/>
        <s v="ANT-0056"/>
        <s v="ANT-0058"/>
        <s v="ANT-0059"/>
        <s v="ANT-0060"/>
        <s v="ANT-0061"/>
        <s v="ANT-0062"/>
        <s v="ANT-0063"/>
        <s v="ANT-0064"/>
        <s v="ANT-0066"/>
        <s v="ANT-0068"/>
        <s v="ANT-0069"/>
        <s v="ANT-0070"/>
        <s v="ANT-0071"/>
        <s v="ANT-0073"/>
        <s v="ANT-0075"/>
        <s v="ANT-0076"/>
        <s v="ANT-0077"/>
        <s v="ANT-0078"/>
        <s v="ANT-0079"/>
        <s v="ANT-0080"/>
        <s v="ANT-0081"/>
        <s v="ANT-0083"/>
        <s v="ANT-0086"/>
        <s v="ANT-0087"/>
        <s v="ANT-0088"/>
        <s v="ANT-0090"/>
        <s v="ANT-0091"/>
        <s v="ANT-0092"/>
        <s v="ANT-0093"/>
        <s v="ANT-0094"/>
        <s v="ANT-0095"/>
        <s v="ANT-0096"/>
        <s v="ANT-0098"/>
        <s v="ANT-0099"/>
        <s v="ANT-0100"/>
        <s v="ANT-0101"/>
        <s v="ANT-0102"/>
        <s v="ANT-0103"/>
        <s v="ANT-0104"/>
        <s v="ANT-0105"/>
        <s v="ANT-0106"/>
        <s v="ANT-0108"/>
        <s v="ANT-0109"/>
        <s v="ANT-0110"/>
        <s v="ANT-0111"/>
        <s v="ANT-0115"/>
        <s v="ANT-0116"/>
        <s v="ANT-0117"/>
        <s v="ANT-0118"/>
        <s v="ANT-0119"/>
        <s v="ANT-0121"/>
        <s v="ANT-0122"/>
        <s v="ANT-0123"/>
        <s v="ANT-0125"/>
        <s v="ANT-0126"/>
        <s v="ANT-0127"/>
        <s v="ANT-0128"/>
        <s v="ANT-0130"/>
        <s v="ANT-0131"/>
        <s v="ANT-0132"/>
        <s v="ANT-0134"/>
        <s v="ANT-0135"/>
        <s v="ANT-0136"/>
        <s v="ANT-0137"/>
        <s v="ANT-0141"/>
        <s v="ANT-0142"/>
        <s v="ANT-0143"/>
        <s v="ANT-0145"/>
        <s v="ANT-0146"/>
        <s v="ANT-0147"/>
        <s v="ANT-0152"/>
        <s v="ANT-0153"/>
        <s v="ANT-0154"/>
        <s v="ANT-0155"/>
        <s v="ANT-0157"/>
        <s v="ANT-0158"/>
        <s v="ANT-0159"/>
        <s v="ANT-0162"/>
        <s v="ANT-0163"/>
        <s v="ANT-0164"/>
        <s v="ANT-0165"/>
        <s v="ANT-0166"/>
        <s v="ANT-0169"/>
        <s v="ANT-0173"/>
        <s v="ANT-0176"/>
        <s v="ANT-0180"/>
        <s v="ANT-0183"/>
        <s v="ANT-0184"/>
        <s v="ANT-0185"/>
        <s v="ANT-0186"/>
        <s v="ANT-0189"/>
        <s v="ANT-0193"/>
        <s v="ANT-0194"/>
        <s v="ANT-0195"/>
        <s v="ANT-0196"/>
        <s v="ANT-0197"/>
        <s v="ANT-0199"/>
        <s v="ANT-0203"/>
        <s v="ANT-0204"/>
        <s v="ANT-0205"/>
        <s v="ANT-0206"/>
        <s v="ANT-0209"/>
        <s v="ANT-0211"/>
        <s v="ANT-0212"/>
        <s v="ANT-0215"/>
        <s v="ANT-0221"/>
        <s v="ANT-0224"/>
        <s v="ANT-0225"/>
        <s v="ANT-0226"/>
        <s v="ANT-0227"/>
        <s v="ANT-0229"/>
        <s v="ANT-0231"/>
        <s v="ANT-0232"/>
        <s v="ANT-0233"/>
        <s v="ANT-0236"/>
        <s v="ANT-0238"/>
        <s v="ANT-0239"/>
        <s v="ANT-0241"/>
        <s v="ANT-0242"/>
        <s v="ANT-0243"/>
        <s v="ANT-0244"/>
        <s v="ANT-0245"/>
        <s v="ANT-0246"/>
        <s v="ANT-0247"/>
        <s v="ANT-0248"/>
        <s v="ANT-0250"/>
        <s v="ANT-0254"/>
        <s v="ANT-0255"/>
        <s v="ANT-0257"/>
        <s v="ANT-0258"/>
        <s v="ANT-0259"/>
        <s v="ANT-0262"/>
        <s v="ANT-0264"/>
        <s v="ANT-0266"/>
        <s v="ANT-0268"/>
        <s v="ANT-0269"/>
        <s v="ANT-0270"/>
        <s v="ANT-0271"/>
        <s v="ANT-0274"/>
        <s v="ANT-0275"/>
        <s v="ANT-0276"/>
        <s v="ANT-0277"/>
        <s v="ANT-0280"/>
        <s v="ANT-0282"/>
        <s v="ANT-0283"/>
        <s v="ANT-0284"/>
        <s v="ANT-0286"/>
        <s v="ANT-0287"/>
        <s v="ANT-0288"/>
        <s v="ANT-0289"/>
        <s v="ANT-0290"/>
        <s v="ANT-0292"/>
        <s v="ANT-0293"/>
        <s v="ANT-0294"/>
        <s v="ANT-0295"/>
        <s v="ANT-0296"/>
        <s v="ANT-0298"/>
        <s v="ANT-0299"/>
        <s v="ANT-0302"/>
        <s v="ANT-0303"/>
        <s v="ANT-0305"/>
        <s v="ANT-0306"/>
        <s v="ANT-0307"/>
        <s v="ANT-0308"/>
        <s v="ANT-0309"/>
        <s v="ANT-0311"/>
        <s v="ANT-0312"/>
        <s v="ANT-0314"/>
        <s v="ANT-0315"/>
        <s v="ANT-0316"/>
        <s v="ANT-0317"/>
        <s v="ANT-0318"/>
        <s v="ANT-0321"/>
        <s v="ANT-0325"/>
        <s v="ANT-0326"/>
        <s v="ANT-0329"/>
        <s v="ANT-0330"/>
        <s v="ANT-0331"/>
        <s v="ANT-0332"/>
        <s v="ANT-0333"/>
        <s v="ANT-0334"/>
        <s v="ANT-0335"/>
        <s v="ANT-0336"/>
        <s v="ANT-0339"/>
        <s v="ANT-0340"/>
        <s v="ANT-0342"/>
        <s v="ANT-0345"/>
        <s v="ANT-0348"/>
        <s v="ANT-0350"/>
        <s v="ANT-0353"/>
        <s v="ANT-0355"/>
        <s v="ANT-0357"/>
        <s v="ANT-0360"/>
        <s v="ANT-0361"/>
        <s v="ANT-0362"/>
        <s v="ANT-0363"/>
        <s v="ANT-0366"/>
        <s v="ANT-0367"/>
        <s v="ANT-0368"/>
        <s v="ANT-0370"/>
        <s v="ANT-0371"/>
        <s v="ANT-0372"/>
        <s v="ANT-0373"/>
        <s v="ANT-0374"/>
        <s v="ANT-0375"/>
        <s v="ANT-0376"/>
        <s v="ANT-0377"/>
        <s v="ANT-0378"/>
        <s v="ANT-0379"/>
        <s v="ANT-0381"/>
        <s v="ANT-0382"/>
        <s v="ANT-0383"/>
        <s v="ANT-0384"/>
        <s v="ANT-0386"/>
        <s v="ANT-0387"/>
        <s v="ANT-0389"/>
        <s v="ANT-0390"/>
        <s v="ANT-0391"/>
        <s v="ANT-0392"/>
        <s v="ANT-0394"/>
        <s v="ANT-0396"/>
        <s v="ANT-0397"/>
        <s v="ANT-0402"/>
        <s v="ANT-0403"/>
        <s v="ANT-0404"/>
        <s v="ANT-0405"/>
        <s v="ANT-0406"/>
        <s v="ANT-0407"/>
        <s v="ANT-0411"/>
        <s v="ANT-0414"/>
        <s v="ANT-0415"/>
        <s v="ANT-0416"/>
        <s v="ANT-0417"/>
        <s v="ANT-0419"/>
        <s v="ANT-0422"/>
        <s v="ANT-0423"/>
        <s v="ANT-0424"/>
        <s v="ANT-0426"/>
        <s v="ANT-0427"/>
        <s v="ANT-0428"/>
        <s v="ANT-0429"/>
        <s v="ANT-0430"/>
        <s v="ANT-0431"/>
        <s v="ANT-0434"/>
        <s v="ANT-0435"/>
        <s v="ANT-0436"/>
        <s v="ANT-0437"/>
        <s v="ANT-0438"/>
        <s v="ANT-0439"/>
        <s v="ANT-0441"/>
        <s v="ANT-0446"/>
        <s v="ANT-0447"/>
        <s v="ANT-0448"/>
        <s v="ANT-0449"/>
        <s v="ANT-0450"/>
        <s v="ANT-0451"/>
        <s v="ANT-0452"/>
        <s v="ANT-0453"/>
        <s v="ANT-0454"/>
        <s v="ANT-0455"/>
        <s v="ANT-0457"/>
        <s v="ANT-0458"/>
        <s v="ANT-0459"/>
        <s v="ANT-0461"/>
        <s v="ANT-0465"/>
        <s v="ANT-0466"/>
        <s v="ANT-0468"/>
        <s v="ANT-0469"/>
        <s v="ANT-0470"/>
        <s v="ANT-0471"/>
        <s v="ANT-0472"/>
        <s v="ANT-0473"/>
        <s v="ANT-0474"/>
        <s v="ANT-0475"/>
        <s v="ANT-0478"/>
        <s v="ANT-0479"/>
        <s v="ANT-0481"/>
        <s v="ANT-0484"/>
        <s v="ANT-0485"/>
        <s v="ANT-0486"/>
        <s v="ANT-0487"/>
        <s v="ANT-0488"/>
        <s v="ANT-0489"/>
        <s v="ANT-0490"/>
        <s v="ANT-0493"/>
        <s v="ANT-0494"/>
        <s v="ANT-0497"/>
        <s v="ANT-0499"/>
        <s v="ANT-0501"/>
        <s v="ANT-0503"/>
        <s v="ANT-0504"/>
        <s v="ANT-0505"/>
        <s v="ANT-0507"/>
        <s v="ANT-0508"/>
        <s v="ANT-0510"/>
        <s v="ANT-0511"/>
        <s v="ANT-0512"/>
        <s v="ANT-0513"/>
        <s v="ANT-0514"/>
        <s v="ANT-0515"/>
        <s v="ANT-0517"/>
        <s v="ANT-0518"/>
        <s v="ANT-0520"/>
        <s v="ANT-0521"/>
        <s v="ANT-0522"/>
        <s v="ANT-0523"/>
        <s v="ANT-0524"/>
        <s v="ANT-0526"/>
        <s v="ANT-0527"/>
        <s v="ANT-0528"/>
        <s v="ANT-0529"/>
        <s v="ANT-0530"/>
        <s v="ANT-0531"/>
        <s v="ANT-0533"/>
        <s v="ANT-0534"/>
        <s v="ANT-0536"/>
        <s v="ANT-0537"/>
        <s v="ANT-0539"/>
        <s v="ANT-0540"/>
        <s v="ANT-0541"/>
        <s v="ANT-0542"/>
        <s v="ANT-0543"/>
        <s v="ANT-0544"/>
        <s v="ANT-0545"/>
        <s v="ANT-0548"/>
        <s v="ANT-0549"/>
        <s v="ANT-0551"/>
        <s v="ANT-0553"/>
        <s v="ANT-0555"/>
        <s v="ANT-0556"/>
        <s v="ANT-0557"/>
        <s v="ANT-0558"/>
        <s v="ANT-0559"/>
        <s v="ANT-0560"/>
        <s v="ANT-0561"/>
        <s v="ANT-0562"/>
        <s v="ANT-0563"/>
        <s v="ANT-0564"/>
        <s v="ANT-0565"/>
        <s v="ANT-0566"/>
        <s v="ANT-0567"/>
        <s v="ANT-0568"/>
        <s v="ANT-0569"/>
        <s v="ANT-0570"/>
        <s v="ANT-0571"/>
        <s v="ANT-0573"/>
        <s v="ANT-0574"/>
        <s v="ANT-0575"/>
        <s v="ANT-0576"/>
        <s v="ANT-0577"/>
        <s v="ANT-0578"/>
        <s v="ANT-0579"/>
        <s v="ANT-0580"/>
        <s v="ANT-0581"/>
        <s v="ANT-0582"/>
        <s v="ANT-0585"/>
        <s v="ANT-0586"/>
        <s v="ANT-0587"/>
        <s v="ANT-0588"/>
        <s v="ANT-0592"/>
        <s v="ANT-0594"/>
        <s v="ANT-0595"/>
        <s v="ANT-0596"/>
        <s v="ANT-0597"/>
        <s v="ANT-0598"/>
        <s v="ANT-0599"/>
        <s v="ANT-0600"/>
        <s v="ANT-0604"/>
        <s v="ANT-0606"/>
        <s v="ANT-0607"/>
        <s v="ANT-0609"/>
        <s v="ANT-0610"/>
        <s v="ANT-0611"/>
        <s v="ANT-0612"/>
        <s v="ANT-0614"/>
        <s v="ANT-0615"/>
        <s v="ANT-0617"/>
        <s v="ANT-0619"/>
        <s v="ANT-0620"/>
        <s v="ANT-0621"/>
        <s v="ANT-0622"/>
        <s v="ANT-0623"/>
        <s v="ANT-0624"/>
        <s v="ANT-0628"/>
        <s v="ANT-0630"/>
        <s v="ANT-0631"/>
        <s v="ANT-0633"/>
        <s v="ANT-0634"/>
        <s v="ANT-0635"/>
        <s v="ANT-0638"/>
        <s v="ANT-0639"/>
        <s v="ANT-0640"/>
        <s v="ANT-0641"/>
        <s v="ANT-0642"/>
        <s v="ANT-0643"/>
        <s v="ANT-0644"/>
        <s v="ANT-0646"/>
        <s v="ANT-0649"/>
        <s v="ANT-0650"/>
        <s v="ANT-0653"/>
        <s v="ANT-0654"/>
        <s v="ANT-0655"/>
        <s v="ANT-0656"/>
        <s v="ANT-0657"/>
        <s v="ANT-0661"/>
        <s v="ANT-0662"/>
        <s v="ANT-0663"/>
        <s v="ANT-0667"/>
        <s v="ANT-0668"/>
        <s v="ANT-0669"/>
        <s v="ANT-0670"/>
        <s v="ANT-0671"/>
        <s v="ANT-0672"/>
        <s v="ANT-0674"/>
        <s v="ANT-0675"/>
        <s v="ANT-0677"/>
        <s v="ANT-0678"/>
        <s v="ANT-0679"/>
        <s v="ANT-0680"/>
        <s v="ANT-0684"/>
        <s v="ANT-0685"/>
        <s v="ANT-0686"/>
        <s v="ANT-0688"/>
        <s v="ANT-0690"/>
        <s v="ANT-0691"/>
        <s v="ANT-0695"/>
        <s v="ANT-0696"/>
        <s v="ANT-0698"/>
        <s v="ANT-0699"/>
        <s v="ANT-0701"/>
        <s v="ANT-0703"/>
        <s v="ANT-0704"/>
        <s v="ANT-0707"/>
        <s v="ANT-0708"/>
        <s v="ANT-0709"/>
        <s v="ANT-0710"/>
        <s v="ANT-0712"/>
        <s v="ANT-0714"/>
        <s v="ANT-0715"/>
        <s v="ANT-0716"/>
        <s v="ANT-0718"/>
        <s v="ANT-0719"/>
        <s v="ANT-0721"/>
        <s v="ANT-0723"/>
        <s v="ANT-0725"/>
        <s v="ANT-0726"/>
        <s v="ANT-0727"/>
        <s v="ANT-0729"/>
        <s v="ANT-0730"/>
        <s v="ANT-0731"/>
        <s v="ANT-0732"/>
        <s v="ANT-0735"/>
        <s v="ANT-0737"/>
        <s v="ANT-0738"/>
        <s v="ANT-0739"/>
        <s v="ANT-0740"/>
        <s v="ANT-0743"/>
        <s v="ANT-0744"/>
        <s v="ANT-0745"/>
        <s v="ANT-0746"/>
        <s v="ANT-0750"/>
        <s v="ANT-0753"/>
        <s v="ANT-0754"/>
        <s v="ANT-0756"/>
        <s v="ANT-0757"/>
        <s v="ANT-0760"/>
        <s v="ANT-0761"/>
        <s v="ANT-0762"/>
        <s v="ANT-0764"/>
        <s v="ANT-0766"/>
        <s v="ANT-0768"/>
        <s v="ANT-0770"/>
        <s v="ANT-0771"/>
        <s v="ANT-0774"/>
        <s v="ANT-0775"/>
        <s v="ANT-0777"/>
        <s v="ANT-0779"/>
        <s v="ANT-0781"/>
        <s v="ANT-0782"/>
        <s v="ANT-0784"/>
        <s v="ANT-0785"/>
        <s v="ANT-0786"/>
        <s v="ANT-0787"/>
        <s v="ANT-0788"/>
        <s v="ANT-0790"/>
        <s v="ANT-0792"/>
        <s v="ANT-0793"/>
        <s v="ANT-0794"/>
        <s v="ANT-0797"/>
        <s v="ANT-0798"/>
        <s v="ANT-0800"/>
        <s v="ANT-0801"/>
        <s v="ANT-0803"/>
        <s v="ANT-0804"/>
        <s v="ANT-0805"/>
        <s v="ANT-0806"/>
        <s v="ANT-0808"/>
        <s v="ANT-0809"/>
        <s v="ANT-0811"/>
        <s v="ANT-0812"/>
        <s v="ANT-0813"/>
        <s v="ANT-0815"/>
        <s v="ANT-0817"/>
        <s v="ANT-0819"/>
        <s v="ANT-0820"/>
        <s v="ANT-0821"/>
        <s v="ANT-0825"/>
        <s v="ANT-0826"/>
        <s v="ANT-0828"/>
        <s v="ANT-0829"/>
        <s v="ANT-0830"/>
        <s v="ANT-0833"/>
        <s v="ANT-0834"/>
        <s v="ANT-0835"/>
        <s v="ANT-0837"/>
        <s v="ANT-0839"/>
        <s v="ANT-0840"/>
        <s v="ANT-0843"/>
        <s v="ANT-0844"/>
        <s v="ANT-0845"/>
        <s v="ANT-0846"/>
        <s v="ANT-0848"/>
        <s v="ANT-0850"/>
        <s v="ANT-0851"/>
        <s v="ANT-0852"/>
        <s v="ANT-0855"/>
        <s v="ANT-0856"/>
        <s v="ANT-0857"/>
        <s v="ANT-0859"/>
        <s v="ANT-0860"/>
        <s v="ANT-0861"/>
        <s v="ANT-0862"/>
        <s v="ANT-0864"/>
        <s v="ANT-0865"/>
        <s v="ANT-0866"/>
        <s v="ANT-0867"/>
        <s v="ANT-0868"/>
        <s v="ANT-0869"/>
        <s v="ANT-0870"/>
        <s v="ANT-0872"/>
        <s v="ANT-0873"/>
        <s v="ANT-0874"/>
        <s v="ANT-0875"/>
        <s v="ANT-0881"/>
        <s v="ANT-0882"/>
        <s v="ANT-0883"/>
        <s v="ANT-0885"/>
        <s v="ANT-0886"/>
        <s v="ANT-0887"/>
        <s v="ANT-0888"/>
        <s v="ANT-0891"/>
        <s v="ANT-0892"/>
        <s v="ANT-0894"/>
        <s v="ANT-0896"/>
        <s v="ANT-0897"/>
        <s v="ANT-0898"/>
        <s v="ANT-0900"/>
        <s v="ANT-0901"/>
        <s v="ANT-0902"/>
        <s v="ANT-0903"/>
        <s v="ANT-0905"/>
        <s v="ANT-0911"/>
        <s v="ANT-0912"/>
        <s v="ANT-0913"/>
        <s v="ANT-0914"/>
        <s v="ANT-0918"/>
        <s v="ANT-0919"/>
        <s v="ANT-0920"/>
        <s v="ANT-0921"/>
        <s v="ANT-0922"/>
        <s v="ANT-0923"/>
        <s v="ANT-0924"/>
        <s v="ANT-0925"/>
        <s v="ANT-0926"/>
        <s v="ANT-0927"/>
        <s v="ANT-0928"/>
        <s v="ANT-0929"/>
        <s v="ANT-0930"/>
        <s v="ANT-0932"/>
        <s v="ANT-0934"/>
        <s v="ANT-0935"/>
        <s v="ANT-0936"/>
        <s v="ANT-0941"/>
        <s v="ANT-0942"/>
        <s v="ANT-0944"/>
        <s v="ANT-0945"/>
        <s v="ANT-0950"/>
        <s v="ANT-0951"/>
        <s v="ANT-0952"/>
        <s v="ANT-0955"/>
        <s v="ANT-0957"/>
        <s v="ANT-0958"/>
        <s v="ANT-0959"/>
        <s v="ANT-0960"/>
        <s v="ANT-0963"/>
        <s v="ANT-0964"/>
        <s v="ANT-0966"/>
        <s v="ANT-0967"/>
        <s v="ANT-0968"/>
        <s v="ANT-0969"/>
        <s v="ANT-0970"/>
        <s v="ANT-0971"/>
        <s v="ANT-0972"/>
        <s v="ANT-0973"/>
        <s v="ANT-0974"/>
        <s v="ANT-0975"/>
        <s v="ANT-0976"/>
        <s v="ANT-0977"/>
        <s v="ANT-0978"/>
        <s v="ANT-0980"/>
        <s v="ANT-0983"/>
        <s v="ANT-0985"/>
        <s v="ANT-0986"/>
        <s v="ANT-0987"/>
        <s v="ANT-0988"/>
        <s v="ANT-0989"/>
        <s v="ANT-0990"/>
        <s v="ANT-0991"/>
        <s v="ANT-0994"/>
        <s v="ANT-0995"/>
        <s v="ANT-0996"/>
        <s v="ANT-0997"/>
        <s v="ANT-0998"/>
      </sharedItems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/>
    </cacheField>
    <cacheField name="Province" numFmtId="0">
      <sharedItems/>
    </cacheField>
    <cacheField name="Id_Client" numFmtId="0">
      <sharedItems/>
    </cacheField>
    <cacheField name="Technologie" numFmtId="0">
      <sharedItems count="4">
        <s v="4G"/>
        <s v="Rien à signaler"/>
        <s v="5G"/>
        <s v="3G"/>
      </sharedItems>
    </cacheField>
    <cacheField name="Equipementier" numFmtId="0">
      <sharedItems/>
    </cacheField>
    <cacheField name="Type_Forfait" numFmtId="0">
      <sharedItems/>
    </cacheField>
    <cacheField name="Type_Cli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ZENI ALUNG Barick" refreshedDate="46112.863239930557" backgroundQuery="1" createdVersion="8" refreshedVersion="8" minRefreshableVersion="3" recordCount="0" supportSubquery="1" supportAdvancedDrill="1" xr:uid="{8DC8B0D6-4058-4E62-83D2-946EA4D4F821}">
  <cacheSource type="external" connectionId="19"/>
  <cacheFields count="4">
    <cacheField name="[Logs_Reseau6].[Province].[Province]" caption="Province" numFmtId="0" hierarchy="5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Logs_Reseau6].[Statut_Resolution].[Statut_Resolution]" caption="Statut_Resolution" numFmtId="0" hierarchy="4" level="1">
      <sharedItems count="2">
        <s v="En Cours"/>
        <s v="Non Résolu"/>
      </sharedItems>
    </cacheField>
    <cacheField name="[Measures].[Nombre de Statut_Resolution]" caption="Nombre de Statut_Resolution" numFmtId="0" hierarchy="15" level="32767"/>
    <cacheField name="[Measures].[Moyenne]" caption="Moyenne" numFmtId="0" hierarchy="16" level="32767"/>
  </cacheFields>
  <cacheHierarchies count="19">
    <cacheHierarchy uniqueName="[Logs_Reseau6].[Date_Heure_Panne.1]" caption="Date_Heure_Panne.1" attribute="1" time="1" defaultMemberUniqueName="[Logs_Reseau6].[Date_Heure_Panne.1].[All]" allUniqueName="[Logs_Reseau6].[Date_Heure_Panne.1].[All]" dimensionUniqueName="[Logs_Reseau6]" displayFolder="" count="0" memberValueDatatype="7" unbalanced="0"/>
    <cacheHierarchy uniqueName="[Logs_Reseau6].[Date_Heure_Panne.2]" caption="Date_Heure_Panne.2" attribute="1" time="1" defaultMemberUniqueName="[Logs_Reseau6].[Date_Heure_Panne.2].[All]" allUniqueName="[Logs_Reseau6].[Date_Heure_Panne.2].[All]" dimensionUniqueName="[Logs_Reseau6]" displayFolder="" count="0" memberValueDatatype="7" unbalanced="0"/>
    <cacheHierarchy uniqueName="[Logs_Reseau6].[Cell_ID]" caption="Cell_ID" attribute="1" defaultMemberUniqueName="[Logs_Reseau6].[Cell_ID].[All]" allUniqueName="[Logs_Reseau6].[Cell_ID].[All]" dimensionUniqueName="[Logs_Reseau6]" displayFolder="" count="0" memberValueDatatype="130" unbalanced="0"/>
    <cacheHierarchy uniqueName="[Logs_Reseau6].[Duree_Panne_Min]" caption="Duree_Panne_Min" attribute="1" defaultMemberUniqueName="[Logs_Reseau6].[Duree_Panne_Min].[All]" allUniqueName="[Logs_Reseau6].[Duree_Panne_Min].[All]" dimensionUniqueName="[Logs_Reseau6]" displayFolder="" count="0" memberValueDatatype="20" unbalanced="0"/>
    <cacheHierarchy uniqueName="[Logs_Reseau6].[Statut_Resolution]" caption="Statut_Resolution" attribute="1" defaultMemberUniqueName="[Logs_Reseau6].[Statut_Resolution].[All]" allUniqueName="[Logs_Reseau6].[Statut_Resolution].[All]" dimensionUniqueName="[Logs_Reseau6]" displayFolder="" count="2" memberValueDatatype="130" unbalanced="0">
      <fieldsUsage count="2">
        <fieldUsage x="-1"/>
        <fieldUsage x="1"/>
      </fieldsUsage>
    </cacheHierarchy>
    <cacheHierarchy uniqueName="[Logs_Reseau6].[Province]" caption="Province" attribute="1" defaultMemberUniqueName="[Logs_Reseau6].[Province].[All]" allUniqueName="[Logs_Reseau6].[Province].[All]" dimensionUniqueName="[Logs_Reseau6]" displayFolder="" count="2" memberValueDatatype="130" unbalanced="0">
      <fieldsUsage count="2">
        <fieldUsage x="-1"/>
        <fieldUsage x="0"/>
      </fieldsUsage>
    </cacheHierarchy>
    <cacheHierarchy uniqueName="[Logs_Reseau6].[Id_Client]" caption="Id_Client" attribute="1" defaultMemberUniqueName="[Logs_Reseau6].[Id_Client].[All]" allUniqueName="[Logs_Reseau6].[Id_Client].[All]" dimensionUniqueName="[Logs_Reseau6]" displayFolder="" count="0" memberValueDatatype="130" unbalanced="0"/>
    <cacheHierarchy uniqueName="[Logs_Reseau6].[Technologie]" caption="Technologie" attribute="1" defaultMemberUniqueName="[Logs_Reseau6].[Technologie].[All]" allUniqueName="[Logs_Reseau6].[Technologie].[All]" dimensionUniqueName="[Logs_Reseau6]" displayFolder="" count="0" memberValueDatatype="130" unbalanced="0"/>
    <cacheHierarchy uniqueName="[Logs_Reseau6].[Equipementier]" caption="Equipementier" attribute="1" defaultMemberUniqueName="[Logs_Reseau6].[Equipementier].[All]" allUniqueName="[Logs_Reseau6].[Equipementier].[All]" dimensionUniqueName="[Logs_Reseau6]" displayFolder="" count="0" memberValueDatatype="130" unbalanced="0"/>
    <cacheHierarchy uniqueName="[Logs_Reseau6].[Type_Forfait]" caption="Type_Forfait" attribute="1" defaultMemberUniqueName="[Logs_Reseau6].[Type_Forfait].[All]" allUniqueName="[Logs_Reseau6].[Type_Forfait].[All]" dimensionUniqueName="[Logs_Reseau6]" displayFolder="" count="0" memberValueDatatype="130" unbalanced="0"/>
    <cacheHierarchy uniqueName="[Logs_Reseau6].[Type_Client]" caption="Type_Client" attribute="1" defaultMemberUniqueName="[Logs_Reseau6].[Type_Client].[All]" allUniqueName="[Logs_Reseau6].[Type_Client].[All]" dimensionUniqueName="[Logs_Reseau6]" displayFolder="" count="0" memberValueDatatype="130" unbalanced="0"/>
    <cacheHierarchy uniqueName="[Logs_Reseau6].[Duree_Cumulée_Panne]" caption="Duree_Cumulée_Panne" attribute="1" defaultMemberUniqueName="[Logs_Reseau6].[Duree_Cumulée_Panne].[All]" allUniqueName="[Logs_Reseau6].[Duree_Cumulée_Panne].[All]" dimensionUniqueName="[Logs_Reseau6]" displayFolder="" count="0" memberValueDatatype="130" unbalanced="0"/>
    <cacheHierarchy uniqueName="[Logs_Reseau6].[Anciennette]" caption="Anciennette" attribute="1" defaultMemberUniqueName="[Logs_Reseau6].[Anciennette].[All]" allUniqueName="[Logs_Reseau6].[Anciennette].[All]" dimensionUniqueName="[Logs_Reseau6]" displayFolder="" count="0" memberValueDatatype="130" unbalanced="0"/>
    <cacheHierarchy uniqueName="[Logs_Reseau6].[Duree par heure]" caption="Duree par heure" attribute="1" defaultMemberUniqueName="[Logs_Reseau6].[Duree par heure].[All]" allUniqueName="[Logs_Reseau6].[Duree par heure].[All]" dimensionUniqueName="[Logs_Reseau6]" displayFolder="" count="0" memberValueDatatype="130" unbalanced="0"/>
    <cacheHierarchy uniqueName="[Logs_Reseau6].[Rabais Obtenue]" caption="Rabais Obtenue" attribute="1" defaultMemberUniqueName="[Logs_Reseau6].[Rabais Obtenue].[All]" allUniqueName="[Logs_Reseau6].[Rabais Obtenue].[All]" dimensionUniqueName="[Logs_Reseau6]" displayFolder="" count="0" memberValueDatatype="130" unbalanced="0"/>
    <cacheHierarchy uniqueName="[Measures].[Nombre de Statut_Resolution]" caption="Nombre de Statut_Resolution" measure="1" displayFolder="" measureGroup="Logs_Reseau6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oyenne]" caption="Moyenne" measure="1" displayFolder="" measureGroup="Logs_Reseau6" count="0" oneField="1">
      <fieldsUsage count="1">
        <fieldUsage x="3"/>
      </fieldsUsage>
    </cacheHierarchy>
    <cacheHierarchy uniqueName="[Measures].[__XL_Count Logs_Reseau6]" caption="__XL_Count Logs_Reseau6" measure="1" displayFolder="" measureGroup="Logs_Reseau6" count="0" hidden="1"/>
    <cacheHierarchy uniqueName="[Measures].[__No measures defined]" caption="__No measures defined" measure="1" displayFolder="" count="0" hidden="1"/>
  </cacheHierarchies>
  <kpis count="0"/>
  <dimensions count="2">
    <dimension name="Logs_Reseau6" uniqueName="[Logs_Reseau6]" caption="Logs_Reseau6"/>
    <dimension measure="1" name="Measures" uniqueName="[Measures]" caption="Measures"/>
  </dimensions>
  <measureGroups count="1">
    <measureGroup name="Logs_Reseau6" caption="Logs_Reseau6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4">
  <r>
    <x v="0"/>
    <x v="0"/>
    <x v="0"/>
    <n v="63"/>
    <x v="0"/>
    <x v="0"/>
  </r>
  <r>
    <x v="0"/>
    <x v="1"/>
    <x v="1"/>
    <n v="113"/>
    <x v="1"/>
    <x v="1"/>
  </r>
  <r>
    <x v="0"/>
    <x v="2"/>
    <x v="2"/>
    <n v="108"/>
    <x v="2"/>
    <x v="0"/>
  </r>
  <r>
    <x v="0"/>
    <x v="3"/>
    <x v="3"/>
    <n v="31"/>
    <x v="0"/>
    <x v="2"/>
  </r>
  <r>
    <x v="0"/>
    <x v="4"/>
    <x v="4"/>
    <n v="29"/>
    <x v="2"/>
    <x v="3"/>
  </r>
  <r>
    <x v="0"/>
    <x v="5"/>
    <x v="5"/>
    <n v="9"/>
    <x v="1"/>
    <x v="0"/>
  </r>
  <r>
    <x v="0"/>
    <x v="6"/>
    <x v="6"/>
    <n v="22"/>
    <x v="1"/>
    <x v="0"/>
  </r>
  <r>
    <x v="0"/>
    <x v="7"/>
    <x v="7"/>
    <n v="87"/>
    <x v="1"/>
    <x v="4"/>
  </r>
  <r>
    <x v="0"/>
    <x v="8"/>
    <x v="8"/>
    <n v="98"/>
    <x v="1"/>
    <x v="0"/>
  </r>
  <r>
    <x v="0"/>
    <x v="9"/>
    <x v="9"/>
    <n v="53"/>
    <x v="2"/>
    <x v="5"/>
  </r>
  <r>
    <x v="0"/>
    <x v="10"/>
    <x v="10"/>
    <n v="76"/>
    <x v="2"/>
    <x v="5"/>
  </r>
  <r>
    <x v="0"/>
    <x v="11"/>
    <x v="11"/>
    <n v="73"/>
    <x v="0"/>
    <x v="0"/>
  </r>
  <r>
    <x v="0"/>
    <x v="12"/>
    <x v="12"/>
    <n v="40"/>
    <x v="1"/>
    <x v="6"/>
  </r>
  <r>
    <x v="0"/>
    <x v="13"/>
    <x v="13"/>
    <n v="16"/>
    <x v="0"/>
    <x v="0"/>
  </r>
  <r>
    <x v="0"/>
    <x v="14"/>
    <x v="14"/>
    <n v="86"/>
    <x v="0"/>
    <x v="7"/>
  </r>
  <r>
    <x v="0"/>
    <x v="2"/>
    <x v="15"/>
    <n v="22"/>
    <x v="2"/>
    <x v="8"/>
  </r>
  <r>
    <x v="0"/>
    <x v="15"/>
    <x v="16"/>
    <n v="50"/>
    <x v="2"/>
    <x v="9"/>
  </r>
  <r>
    <x v="0"/>
    <x v="16"/>
    <x v="17"/>
    <n v="112"/>
    <x v="1"/>
    <x v="10"/>
  </r>
  <r>
    <x v="0"/>
    <x v="17"/>
    <x v="18"/>
    <n v="115"/>
    <x v="0"/>
    <x v="0"/>
  </r>
  <r>
    <x v="0"/>
    <x v="18"/>
    <x v="19"/>
    <n v="27"/>
    <x v="1"/>
    <x v="1"/>
  </r>
  <r>
    <x v="0"/>
    <x v="19"/>
    <x v="20"/>
    <n v="111"/>
    <x v="2"/>
    <x v="0"/>
  </r>
  <r>
    <x v="0"/>
    <x v="20"/>
    <x v="21"/>
    <n v="6"/>
    <x v="1"/>
    <x v="0"/>
  </r>
  <r>
    <x v="0"/>
    <x v="21"/>
    <x v="22"/>
    <n v="74"/>
    <x v="2"/>
    <x v="11"/>
  </r>
  <r>
    <x v="0"/>
    <x v="22"/>
    <x v="23"/>
    <n v="88"/>
    <x v="2"/>
    <x v="12"/>
  </r>
  <r>
    <x v="0"/>
    <x v="23"/>
    <x v="24"/>
    <n v="53"/>
    <x v="0"/>
    <x v="0"/>
  </r>
  <r>
    <x v="0"/>
    <x v="24"/>
    <x v="25"/>
    <n v="69"/>
    <x v="2"/>
    <x v="0"/>
  </r>
  <r>
    <x v="0"/>
    <x v="25"/>
    <x v="26"/>
    <n v="24"/>
    <x v="2"/>
    <x v="9"/>
  </r>
  <r>
    <x v="0"/>
    <x v="26"/>
    <x v="17"/>
    <n v="99"/>
    <x v="1"/>
    <x v="10"/>
  </r>
  <r>
    <x v="0"/>
    <x v="27"/>
    <x v="27"/>
    <n v="114"/>
    <x v="0"/>
    <x v="0"/>
  </r>
  <r>
    <x v="1"/>
    <x v="28"/>
    <x v="28"/>
    <n v="54"/>
    <x v="2"/>
    <x v="13"/>
  </r>
  <r>
    <x v="1"/>
    <x v="29"/>
    <x v="29"/>
    <n v="83"/>
    <x v="0"/>
    <x v="0"/>
  </r>
  <r>
    <x v="1"/>
    <x v="30"/>
    <x v="30"/>
    <n v="56"/>
    <x v="2"/>
    <x v="0"/>
  </r>
  <r>
    <x v="1"/>
    <x v="31"/>
    <x v="31"/>
    <n v="9"/>
    <x v="1"/>
    <x v="0"/>
  </r>
  <r>
    <x v="1"/>
    <x v="32"/>
    <x v="32"/>
    <n v="75"/>
    <x v="2"/>
    <x v="10"/>
  </r>
  <r>
    <x v="1"/>
    <x v="33"/>
    <x v="33"/>
    <n v="22"/>
    <x v="2"/>
    <x v="0"/>
  </r>
  <r>
    <x v="1"/>
    <x v="34"/>
    <x v="34"/>
    <n v="28"/>
    <x v="0"/>
    <x v="14"/>
  </r>
  <r>
    <x v="1"/>
    <x v="35"/>
    <x v="35"/>
    <n v="55"/>
    <x v="1"/>
    <x v="13"/>
  </r>
  <r>
    <x v="1"/>
    <x v="36"/>
    <x v="36"/>
    <n v="15"/>
    <x v="1"/>
    <x v="0"/>
  </r>
  <r>
    <x v="1"/>
    <x v="37"/>
    <x v="37"/>
    <n v="45"/>
    <x v="0"/>
    <x v="0"/>
  </r>
  <r>
    <x v="1"/>
    <x v="38"/>
    <x v="38"/>
    <n v="91"/>
    <x v="0"/>
    <x v="11"/>
  </r>
  <r>
    <x v="1"/>
    <x v="39"/>
    <x v="39"/>
    <n v="18"/>
    <x v="2"/>
    <x v="0"/>
  </r>
  <r>
    <x v="1"/>
    <x v="40"/>
    <x v="40"/>
    <n v="42"/>
    <x v="2"/>
    <x v="0"/>
  </r>
  <r>
    <x v="1"/>
    <x v="41"/>
    <x v="41"/>
    <n v="32"/>
    <x v="0"/>
    <x v="0"/>
  </r>
  <r>
    <x v="1"/>
    <x v="42"/>
    <x v="42"/>
    <n v="97"/>
    <x v="0"/>
    <x v="15"/>
  </r>
  <r>
    <x v="1"/>
    <x v="43"/>
    <x v="43"/>
    <n v="18"/>
    <x v="1"/>
    <x v="5"/>
  </r>
  <r>
    <x v="1"/>
    <x v="44"/>
    <x v="44"/>
    <n v="98"/>
    <x v="0"/>
    <x v="0"/>
  </r>
  <r>
    <x v="1"/>
    <x v="45"/>
    <x v="45"/>
    <n v="82"/>
    <x v="2"/>
    <x v="13"/>
  </r>
  <r>
    <x v="1"/>
    <x v="46"/>
    <x v="46"/>
    <n v="61"/>
    <x v="1"/>
    <x v="0"/>
  </r>
  <r>
    <x v="1"/>
    <x v="47"/>
    <x v="47"/>
    <n v="90"/>
    <x v="0"/>
    <x v="15"/>
  </r>
  <r>
    <x v="1"/>
    <x v="48"/>
    <x v="48"/>
    <n v="33"/>
    <x v="2"/>
    <x v="16"/>
  </r>
  <r>
    <x v="1"/>
    <x v="49"/>
    <x v="49"/>
    <n v="62"/>
    <x v="0"/>
    <x v="13"/>
  </r>
  <r>
    <x v="1"/>
    <x v="50"/>
    <x v="50"/>
    <n v="83"/>
    <x v="0"/>
    <x v="13"/>
  </r>
  <r>
    <x v="1"/>
    <x v="51"/>
    <x v="50"/>
    <n v="40"/>
    <x v="0"/>
    <x v="13"/>
  </r>
  <r>
    <x v="1"/>
    <x v="52"/>
    <x v="51"/>
    <n v="113"/>
    <x v="2"/>
    <x v="0"/>
  </r>
  <r>
    <x v="1"/>
    <x v="53"/>
    <x v="3"/>
    <n v="95"/>
    <x v="2"/>
    <x v="2"/>
  </r>
  <r>
    <x v="1"/>
    <x v="54"/>
    <x v="52"/>
    <n v="80"/>
    <x v="1"/>
    <x v="10"/>
  </r>
  <r>
    <x v="1"/>
    <x v="55"/>
    <x v="53"/>
    <n v="26"/>
    <x v="0"/>
    <x v="0"/>
  </r>
  <r>
    <x v="1"/>
    <x v="56"/>
    <x v="54"/>
    <n v="86"/>
    <x v="2"/>
    <x v="0"/>
  </r>
  <r>
    <x v="1"/>
    <x v="57"/>
    <x v="55"/>
    <n v="56"/>
    <x v="0"/>
    <x v="16"/>
  </r>
  <r>
    <x v="1"/>
    <x v="58"/>
    <x v="56"/>
    <n v="57"/>
    <x v="2"/>
    <x v="0"/>
  </r>
  <r>
    <x v="1"/>
    <x v="59"/>
    <x v="4"/>
    <n v="32"/>
    <x v="1"/>
    <x v="3"/>
  </r>
  <r>
    <x v="1"/>
    <x v="60"/>
    <x v="57"/>
    <n v="103"/>
    <x v="1"/>
    <x v="10"/>
  </r>
  <r>
    <x v="1"/>
    <x v="58"/>
    <x v="18"/>
    <n v="73"/>
    <x v="0"/>
    <x v="0"/>
  </r>
  <r>
    <x v="1"/>
    <x v="61"/>
    <x v="58"/>
    <n v="73"/>
    <x v="1"/>
    <x v="0"/>
  </r>
  <r>
    <x v="1"/>
    <x v="62"/>
    <x v="59"/>
    <n v="17"/>
    <x v="2"/>
    <x v="0"/>
  </r>
  <r>
    <x v="1"/>
    <x v="63"/>
    <x v="60"/>
    <n v="20"/>
    <x v="0"/>
    <x v="3"/>
  </r>
  <r>
    <x v="2"/>
    <x v="64"/>
    <x v="61"/>
    <n v="52"/>
    <x v="0"/>
    <x v="0"/>
  </r>
  <r>
    <x v="2"/>
    <x v="65"/>
    <x v="62"/>
    <n v="115"/>
    <x v="0"/>
    <x v="17"/>
  </r>
  <r>
    <x v="2"/>
    <x v="66"/>
    <x v="63"/>
    <n v="115"/>
    <x v="0"/>
    <x v="9"/>
  </r>
  <r>
    <x v="2"/>
    <x v="67"/>
    <x v="64"/>
    <n v="61"/>
    <x v="0"/>
    <x v="0"/>
  </r>
  <r>
    <x v="2"/>
    <x v="68"/>
    <x v="65"/>
    <n v="84"/>
    <x v="1"/>
    <x v="18"/>
  </r>
  <r>
    <x v="2"/>
    <x v="69"/>
    <x v="66"/>
    <n v="11"/>
    <x v="1"/>
    <x v="0"/>
  </r>
  <r>
    <x v="2"/>
    <x v="70"/>
    <x v="67"/>
    <n v="57"/>
    <x v="0"/>
    <x v="0"/>
  </r>
  <r>
    <x v="2"/>
    <x v="71"/>
    <x v="68"/>
    <n v="61"/>
    <x v="2"/>
    <x v="19"/>
  </r>
  <r>
    <x v="2"/>
    <x v="72"/>
    <x v="69"/>
    <n v="115"/>
    <x v="0"/>
    <x v="0"/>
  </r>
  <r>
    <x v="2"/>
    <x v="73"/>
    <x v="70"/>
    <n v="106"/>
    <x v="2"/>
    <x v="5"/>
  </r>
  <r>
    <x v="2"/>
    <x v="74"/>
    <x v="18"/>
    <n v="21"/>
    <x v="1"/>
    <x v="0"/>
  </r>
  <r>
    <x v="2"/>
    <x v="75"/>
    <x v="71"/>
    <n v="42"/>
    <x v="1"/>
    <x v="0"/>
  </r>
  <r>
    <x v="2"/>
    <x v="76"/>
    <x v="72"/>
    <n v="68"/>
    <x v="2"/>
    <x v="0"/>
  </r>
  <r>
    <x v="2"/>
    <x v="77"/>
    <x v="73"/>
    <n v="18"/>
    <x v="1"/>
    <x v="0"/>
  </r>
  <r>
    <x v="2"/>
    <x v="78"/>
    <x v="74"/>
    <n v="28"/>
    <x v="0"/>
    <x v="20"/>
  </r>
  <r>
    <x v="2"/>
    <x v="79"/>
    <x v="75"/>
    <n v="83"/>
    <x v="1"/>
    <x v="14"/>
  </r>
  <r>
    <x v="2"/>
    <x v="80"/>
    <x v="76"/>
    <n v="35"/>
    <x v="1"/>
    <x v="3"/>
  </r>
  <r>
    <x v="2"/>
    <x v="64"/>
    <x v="77"/>
    <n v="43"/>
    <x v="1"/>
    <x v="0"/>
  </r>
  <r>
    <x v="2"/>
    <x v="81"/>
    <x v="78"/>
    <n v="78"/>
    <x v="1"/>
    <x v="0"/>
  </r>
  <r>
    <x v="2"/>
    <x v="82"/>
    <x v="79"/>
    <n v="22"/>
    <x v="2"/>
    <x v="0"/>
  </r>
  <r>
    <x v="2"/>
    <x v="83"/>
    <x v="80"/>
    <n v="79"/>
    <x v="1"/>
    <x v="20"/>
  </r>
  <r>
    <x v="2"/>
    <x v="84"/>
    <x v="81"/>
    <n v="28"/>
    <x v="1"/>
    <x v="8"/>
  </r>
  <r>
    <x v="2"/>
    <x v="85"/>
    <x v="82"/>
    <n v="63"/>
    <x v="0"/>
    <x v="21"/>
  </r>
  <r>
    <x v="2"/>
    <x v="61"/>
    <x v="83"/>
    <n v="78"/>
    <x v="1"/>
    <x v="22"/>
  </r>
  <r>
    <x v="2"/>
    <x v="86"/>
    <x v="58"/>
    <n v="103"/>
    <x v="0"/>
    <x v="0"/>
  </r>
  <r>
    <x v="2"/>
    <x v="87"/>
    <x v="84"/>
    <n v="61"/>
    <x v="0"/>
    <x v="13"/>
  </r>
  <r>
    <x v="2"/>
    <x v="88"/>
    <x v="85"/>
    <n v="15"/>
    <x v="0"/>
    <x v="0"/>
  </r>
  <r>
    <x v="2"/>
    <x v="36"/>
    <x v="86"/>
    <n v="53"/>
    <x v="2"/>
    <x v="23"/>
  </r>
  <r>
    <x v="2"/>
    <x v="89"/>
    <x v="87"/>
    <n v="86"/>
    <x v="2"/>
    <x v="7"/>
  </r>
  <r>
    <x v="2"/>
    <x v="90"/>
    <x v="88"/>
    <n v="89"/>
    <x v="2"/>
    <x v="0"/>
  </r>
  <r>
    <x v="2"/>
    <x v="91"/>
    <x v="70"/>
    <n v="72"/>
    <x v="1"/>
    <x v="5"/>
  </r>
  <r>
    <x v="2"/>
    <x v="92"/>
    <x v="89"/>
    <n v="53"/>
    <x v="1"/>
    <x v="0"/>
  </r>
  <r>
    <x v="2"/>
    <x v="74"/>
    <x v="90"/>
    <n v="49"/>
    <x v="0"/>
    <x v="0"/>
  </r>
  <r>
    <x v="2"/>
    <x v="93"/>
    <x v="91"/>
    <n v="109"/>
    <x v="0"/>
    <x v="17"/>
  </r>
  <r>
    <x v="2"/>
    <x v="94"/>
    <x v="92"/>
    <n v="91"/>
    <x v="0"/>
    <x v="0"/>
  </r>
  <r>
    <x v="2"/>
    <x v="95"/>
    <x v="93"/>
    <n v="115"/>
    <x v="2"/>
    <x v="19"/>
  </r>
  <r>
    <x v="2"/>
    <x v="96"/>
    <x v="94"/>
    <n v="103"/>
    <x v="0"/>
    <x v="24"/>
  </r>
  <r>
    <x v="3"/>
    <x v="97"/>
    <x v="95"/>
    <n v="100"/>
    <x v="2"/>
    <x v="0"/>
  </r>
  <r>
    <x v="3"/>
    <x v="98"/>
    <x v="96"/>
    <n v="62"/>
    <x v="1"/>
    <x v="23"/>
  </r>
  <r>
    <x v="3"/>
    <x v="99"/>
    <x v="97"/>
    <n v="101"/>
    <x v="2"/>
    <x v="13"/>
  </r>
  <r>
    <x v="3"/>
    <x v="100"/>
    <x v="98"/>
    <n v="49"/>
    <x v="0"/>
    <x v="20"/>
  </r>
  <r>
    <x v="3"/>
    <x v="101"/>
    <x v="99"/>
    <n v="82"/>
    <x v="1"/>
    <x v="0"/>
  </r>
  <r>
    <x v="3"/>
    <x v="102"/>
    <x v="100"/>
    <n v="62"/>
    <x v="1"/>
    <x v="0"/>
  </r>
  <r>
    <x v="3"/>
    <x v="103"/>
    <x v="71"/>
    <n v="84"/>
    <x v="2"/>
    <x v="0"/>
  </r>
  <r>
    <x v="3"/>
    <x v="104"/>
    <x v="101"/>
    <n v="114"/>
    <x v="0"/>
    <x v="0"/>
  </r>
  <r>
    <x v="3"/>
    <x v="105"/>
    <x v="102"/>
    <n v="79"/>
    <x v="0"/>
    <x v="0"/>
  </r>
  <r>
    <x v="3"/>
    <x v="106"/>
    <x v="103"/>
    <n v="68"/>
    <x v="0"/>
    <x v="13"/>
  </r>
  <r>
    <x v="3"/>
    <x v="107"/>
    <x v="104"/>
    <n v="106"/>
    <x v="0"/>
    <x v="10"/>
  </r>
  <r>
    <x v="3"/>
    <x v="108"/>
    <x v="105"/>
    <n v="7"/>
    <x v="0"/>
    <x v="0"/>
  </r>
  <r>
    <x v="3"/>
    <x v="109"/>
    <x v="106"/>
    <n v="13"/>
    <x v="0"/>
    <x v="9"/>
  </r>
  <r>
    <x v="3"/>
    <x v="110"/>
    <x v="107"/>
    <n v="68"/>
    <x v="2"/>
    <x v="0"/>
  </r>
  <r>
    <x v="3"/>
    <x v="111"/>
    <x v="108"/>
    <n v="5"/>
    <x v="1"/>
    <x v="0"/>
  </r>
  <r>
    <x v="3"/>
    <x v="112"/>
    <x v="109"/>
    <n v="18"/>
    <x v="2"/>
    <x v="16"/>
  </r>
  <r>
    <x v="3"/>
    <x v="113"/>
    <x v="110"/>
    <n v="5"/>
    <x v="2"/>
    <x v="0"/>
  </r>
  <r>
    <x v="3"/>
    <x v="114"/>
    <x v="69"/>
    <n v="61"/>
    <x v="0"/>
    <x v="0"/>
  </r>
  <r>
    <x v="3"/>
    <x v="115"/>
    <x v="111"/>
    <n v="102"/>
    <x v="2"/>
    <x v="1"/>
  </r>
  <r>
    <x v="3"/>
    <x v="116"/>
    <x v="112"/>
    <n v="5"/>
    <x v="1"/>
    <x v="13"/>
  </r>
  <r>
    <x v="3"/>
    <x v="117"/>
    <x v="113"/>
    <n v="46"/>
    <x v="0"/>
    <x v="0"/>
  </r>
  <r>
    <x v="3"/>
    <x v="118"/>
    <x v="114"/>
    <n v="106"/>
    <x v="0"/>
    <x v="19"/>
  </r>
  <r>
    <x v="3"/>
    <x v="119"/>
    <x v="115"/>
    <n v="64"/>
    <x v="2"/>
    <x v="23"/>
  </r>
  <r>
    <x v="3"/>
    <x v="120"/>
    <x v="116"/>
    <n v="65"/>
    <x v="2"/>
    <x v="0"/>
  </r>
  <r>
    <x v="3"/>
    <x v="121"/>
    <x v="54"/>
    <n v="32"/>
    <x v="1"/>
    <x v="0"/>
  </r>
  <r>
    <x v="3"/>
    <x v="122"/>
    <x v="117"/>
    <n v="8"/>
    <x v="0"/>
    <x v="9"/>
  </r>
  <r>
    <x v="3"/>
    <x v="123"/>
    <x v="118"/>
    <n v="93"/>
    <x v="0"/>
    <x v="0"/>
  </r>
  <r>
    <x v="3"/>
    <x v="124"/>
    <x v="119"/>
    <n v="23"/>
    <x v="2"/>
    <x v="0"/>
  </r>
  <r>
    <x v="3"/>
    <x v="125"/>
    <x v="120"/>
    <n v="65"/>
    <x v="2"/>
    <x v="10"/>
  </r>
  <r>
    <x v="3"/>
    <x v="57"/>
    <x v="121"/>
    <n v="49"/>
    <x v="1"/>
    <x v="0"/>
  </r>
  <r>
    <x v="3"/>
    <x v="126"/>
    <x v="122"/>
    <n v="49"/>
    <x v="1"/>
    <x v="0"/>
  </r>
  <r>
    <x v="3"/>
    <x v="127"/>
    <x v="123"/>
    <n v="101"/>
    <x v="1"/>
    <x v="21"/>
  </r>
  <r>
    <x v="3"/>
    <x v="128"/>
    <x v="124"/>
    <n v="69"/>
    <x v="2"/>
    <x v="3"/>
  </r>
  <r>
    <x v="3"/>
    <x v="129"/>
    <x v="125"/>
    <n v="78"/>
    <x v="2"/>
    <x v="0"/>
  </r>
  <r>
    <x v="3"/>
    <x v="130"/>
    <x v="126"/>
    <n v="41"/>
    <x v="1"/>
    <x v="0"/>
  </r>
  <r>
    <x v="3"/>
    <x v="49"/>
    <x v="127"/>
    <n v="64"/>
    <x v="2"/>
    <x v="21"/>
  </r>
  <r>
    <x v="3"/>
    <x v="131"/>
    <x v="81"/>
    <n v="11"/>
    <x v="0"/>
    <x v="8"/>
  </r>
  <r>
    <x v="3"/>
    <x v="132"/>
    <x v="128"/>
    <n v="26"/>
    <x v="1"/>
    <x v="16"/>
  </r>
  <r>
    <x v="3"/>
    <x v="133"/>
    <x v="129"/>
    <n v="36"/>
    <x v="2"/>
    <x v="0"/>
  </r>
  <r>
    <x v="3"/>
    <x v="134"/>
    <x v="130"/>
    <n v="73"/>
    <x v="1"/>
    <x v="19"/>
  </r>
  <r>
    <x v="3"/>
    <x v="135"/>
    <x v="131"/>
    <n v="34"/>
    <x v="1"/>
    <x v="0"/>
  </r>
  <r>
    <x v="3"/>
    <x v="136"/>
    <x v="132"/>
    <n v="116"/>
    <x v="0"/>
    <x v="0"/>
  </r>
  <r>
    <x v="4"/>
    <x v="137"/>
    <x v="119"/>
    <n v="60"/>
    <x v="1"/>
    <x v="0"/>
  </r>
  <r>
    <x v="4"/>
    <x v="138"/>
    <x v="133"/>
    <n v="10"/>
    <x v="1"/>
    <x v="0"/>
  </r>
  <r>
    <x v="4"/>
    <x v="139"/>
    <x v="134"/>
    <n v="11"/>
    <x v="2"/>
    <x v="2"/>
  </r>
  <r>
    <x v="4"/>
    <x v="9"/>
    <x v="135"/>
    <n v="13"/>
    <x v="2"/>
    <x v="0"/>
  </r>
  <r>
    <x v="4"/>
    <x v="140"/>
    <x v="136"/>
    <n v="47"/>
    <x v="0"/>
    <x v="0"/>
  </r>
  <r>
    <x v="4"/>
    <x v="141"/>
    <x v="137"/>
    <n v="12"/>
    <x v="0"/>
    <x v="23"/>
  </r>
  <r>
    <x v="4"/>
    <x v="142"/>
    <x v="138"/>
    <n v="76"/>
    <x v="0"/>
    <x v="17"/>
  </r>
  <r>
    <x v="4"/>
    <x v="143"/>
    <x v="139"/>
    <n v="34"/>
    <x v="1"/>
    <x v="24"/>
  </r>
  <r>
    <x v="4"/>
    <x v="144"/>
    <x v="140"/>
    <n v="111"/>
    <x v="0"/>
    <x v="16"/>
  </r>
  <r>
    <x v="4"/>
    <x v="145"/>
    <x v="121"/>
    <n v="93"/>
    <x v="2"/>
    <x v="0"/>
  </r>
  <r>
    <x v="4"/>
    <x v="146"/>
    <x v="141"/>
    <n v="61"/>
    <x v="1"/>
    <x v="3"/>
  </r>
  <r>
    <x v="4"/>
    <x v="147"/>
    <x v="74"/>
    <n v="88"/>
    <x v="2"/>
    <x v="20"/>
  </r>
  <r>
    <x v="4"/>
    <x v="148"/>
    <x v="142"/>
    <n v="113"/>
    <x v="0"/>
    <x v="5"/>
  </r>
  <r>
    <x v="4"/>
    <x v="149"/>
    <x v="142"/>
    <n v="21"/>
    <x v="0"/>
    <x v="5"/>
  </r>
  <r>
    <x v="4"/>
    <x v="150"/>
    <x v="143"/>
    <n v="90"/>
    <x v="2"/>
    <x v="25"/>
  </r>
  <r>
    <x v="4"/>
    <x v="151"/>
    <x v="45"/>
    <n v="47"/>
    <x v="1"/>
    <x v="13"/>
  </r>
  <r>
    <x v="4"/>
    <x v="152"/>
    <x v="144"/>
    <n v="92"/>
    <x v="1"/>
    <x v="0"/>
  </r>
  <r>
    <x v="4"/>
    <x v="153"/>
    <x v="145"/>
    <n v="64"/>
    <x v="2"/>
    <x v="0"/>
  </r>
  <r>
    <x v="4"/>
    <x v="154"/>
    <x v="146"/>
    <n v="16"/>
    <x v="2"/>
    <x v="0"/>
  </r>
  <r>
    <x v="4"/>
    <x v="155"/>
    <x v="147"/>
    <n v="81"/>
    <x v="1"/>
    <x v="0"/>
  </r>
  <r>
    <x v="4"/>
    <x v="156"/>
    <x v="148"/>
    <n v="10"/>
    <x v="1"/>
    <x v="13"/>
  </r>
  <r>
    <x v="4"/>
    <x v="157"/>
    <x v="149"/>
    <n v="56"/>
    <x v="1"/>
    <x v="0"/>
  </r>
  <r>
    <x v="4"/>
    <x v="158"/>
    <x v="150"/>
    <n v="108"/>
    <x v="0"/>
    <x v="8"/>
  </r>
  <r>
    <x v="4"/>
    <x v="159"/>
    <x v="151"/>
    <n v="42"/>
    <x v="0"/>
    <x v="0"/>
  </r>
  <r>
    <x v="4"/>
    <x v="160"/>
    <x v="152"/>
    <n v="94"/>
    <x v="2"/>
    <x v="3"/>
  </r>
  <r>
    <x v="4"/>
    <x v="161"/>
    <x v="153"/>
    <n v="105"/>
    <x v="2"/>
    <x v="0"/>
  </r>
  <r>
    <x v="4"/>
    <x v="162"/>
    <x v="98"/>
    <n v="71"/>
    <x v="2"/>
    <x v="20"/>
  </r>
  <r>
    <x v="4"/>
    <x v="163"/>
    <x v="154"/>
    <n v="41"/>
    <x v="2"/>
    <x v="12"/>
  </r>
  <r>
    <x v="4"/>
    <x v="6"/>
    <x v="155"/>
    <n v="66"/>
    <x v="1"/>
    <x v="0"/>
  </r>
  <r>
    <x v="4"/>
    <x v="164"/>
    <x v="156"/>
    <n v="98"/>
    <x v="2"/>
    <x v="0"/>
  </r>
  <r>
    <x v="4"/>
    <x v="165"/>
    <x v="157"/>
    <n v="100"/>
    <x v="0"/>
    <x v="0"/>
  </r>
  <r>
    <x v="4"/>
    <x v="166"/>
    <x v="158"/>
    <n v="120"/>
    <x v="0"/>
    <x v="0"/>
  </r>
  <r>
    <x v="4"/>
    <x v="167"/>
    <x v="159"/>
    <n v="9"/>
    <x v="2"/>
    <x v="20"/>
  </r>
  <r>
    <x v="5"/>
    <x v="168"/>
    <x v="160"/>
    <n v="74"/>
    <x v="0"/>
    <x v="22"/>
  </r>
  <r>
    <x v="5"/>
    <x v="169"/>
    <x v="161"/>
    <n v="115"/>
    <x v="0"/>
    <x v="1"/>
  </r>
  <r>
    <x v="5"/>
    <x v="170"/>
    <x v="162"/>
    <n v="67"/>
    <x v="0"/>
    <x v="0"/>
  </r>
  <r>
    <x v="5"/>
    <x v="171"/>
    <x v="163"/>
    <n v="109"/>
    <x v="0"/>
    <x v="2"/>
  </r>
  <r>
    <x v="5"/>
    <x v="172"/>
    <x v="164"/>
    <n v="82"/>
    <x v="2"/>
    <x v="25"/>
  </r>
  <r>
    <x v="5"/>
    <x v="173"/>
    <x v="165"/>
    <n v="33"/>
    <x v="2"/>
    <x v="0"/>
  </r>
  <r>
    <x v="5"/>
    <x v="174"/>
    <x v="166"/>
    <n v="40"/>
    <x v="2"/>
    <x v="13"/>
  </r>
  <r>
    <x v="5"/>
    <x v="175"/>
    <x v="5"/>
    <n v="109"/>
    <x v="2"/>
    <x v="0"/>
  </r>
  <r>
    <x v="5"/>
    <x v="91"/>
    <x v="167"/>
    <n v="56"/>
    <x v="2"/>
    <x v="0"/>
  </r>
  <r>
    <x v="5"/>
    <x v="176"/>
    <x v="168"/>
    <n v="17"/>
    <x v="1"/>
    <x v="0"/>
  </r>
  <r>
    <x v="5"/>
    <x v="177"/>
    <x v="169"/>
    <n v="32"/>
    <x v="1"/>
    <x v="0"/>
  </r>
  <r>
    <x v="5"/>
    <x v="178"/>
    <x v="170"/>
    <n v="84"/>
    <x v="0"/>
    <x v="0"/>
  </r>
  <r>
    <x v="5"/>
    <x v="179"/>
    <x v="171"/>
    <n v="102"/>
    <x v="0"/>
    <x v="6"/>
  </r>
  <r>
    <x v="5"/>
    <x v="180"/>
    <x v="172"/>
    <n v="84"/>
    <x v="2"/>
    <x v="0"/>
  </r>
  <r>
    <x v="5"/>
    <x v="156"/>
    <x v="14"/>
    <n v="50"/>
    <x v="0"/>
    <x v="7"/>
  </r>
  <r>
    <x v="5"/>
    <x v="181"/>
    <x v="4"/>
    <n v="67"/>
    <x v="2"/>
    <x v="3"/>
  </r>
  <r>
    <x v="5"/>
    <x v="108"/>
    <x v="173"/>
    <n v="45"/>
    <x v="0"/>
    <x v="0"/>
  </r>
  <r>
    <x v="5"/>
    <x v="182"/>
    <x v="37"/>
    <n v="43"/>
    <x v="0"/>
    <x v="0"/>
  </r>
  <r>
    <x v="5"/>
    <x v="183"/>
    <x v="174"/>
    <n v="103"/>
    <x v="1"/>
    <x v="13"/>
  </r>
  <r>
    <x v="5"/>
    <x v="184"/>
    <x v="175"/>
    <n v="36"/>
    <x v="1"/>
    <x v="5"/>
  </r>
  <r>
    <x v="5"/>
    <x v="185"/>
    <x v="176"/>
    <n v="81"/>
    <x v="2"/>
    <x v="6"/>
  </r>
  <r>
    <x v="5"/>
    <x v="186"/>
    <x v="177"/>
    <n v="99"/>
    <x v="0"/>
    <x v="0"/>
  </r>
  <r>
    <x v="5"/>
    <x v="187"/>
    <x v="178"/>
    <n v="25"/>
    <x v="1"/>
    <x v="17"/>
  </r>
  <r>
    <x v="5"/>
    <x v="188"/>
    <x v="128"/>
    <n v="35"/>
    <x v="0"/>
    <x v="16"/>
  </r>
  <r>
    <x v="5"/>
    <x v="189"/>
    <x v="179"/>
    <n v="52"/>
    <x v="1"/>
    <x v="0"/>
  </r>
  <r>
    <x v="5"/>
    <x v="190"/>
    <x v="180"/>
    <n v="119"/>
    <x v="2"/>
    <x v="0"/>
  </r>
  <r>
    <x v="5"/>
    <x v="191"/>
    <x v="181"/>
    <n v="12"/>
    <x v="1"/>
    <x v="1"/>
  </r>
  <r>
    <x v="5"/>
    <x v="192"/>
    <x v="182"/>
    <n v="110"/>
    <x v="1"/>
    <x v="0"/>
  </r>
  <r>
    <x v="5"/>
    <x v="193"/>
    <x v="183"/>
    <n v="42"/>
    <x v="0"/>
    <x v="18"/>
  </r>
  <r>
    <x v="5"/>
    <x v="194"/>
    <x v="184"/>
    <n v="52"/>
    <x v="1"/>
    <x v="17"/>
  </r>
  <r>
    <x v="5"/>
    <x v="195"/>
    <x v="185"/>
    <n v="18"/>
    <x v="0"/>
    <x v="6"/>
  </r>
  <r>
    <x v="5"/>
    <x v="196"/>
    <x v="186"/>
    <n v="104"/>
    <x v="1"/>
    <x v="0"/>
  </r>
  <r>
    <x v="5"/>
    <x v="197"/>
    <x v="39"/>
    <n v="19"/>
    <x v="0"/>
    <x v="0"/>
  </r>
  <r>
    <x v="5"/>
    <x v="198"/>
    <x v="187"/>
    <n v="106"/>
    <x v="2"/>
    <x v="10"/>
  </r>
  <r>
    <x v="5"/>
    <x v="199"/>
    <x v="188"/>
    <n v="63"/>
    <x v="1"/>
    <x v="5"/>
  </r>
  <r>
    <x v="5"/>
    <x v="200"/>
    <x v="189"/>
    <n v="52"/>
    <x v="0"/>
    <x v="19"/>
  </r>
  <r>
    <x v="5"/>
    <x v="201"/>
    <x v="190"/>
    <n v="89"/>
    <x v="2"/>
    <x v="0"/>
  </r>
  <r>
    <x v="5"/>
    <x v="202"/>
    <x v="191"/>
    <n v="34"/>
    <x v="1"/>
    <x v="4"/>
  </r>
  <r>
    <x v="6"/>
    <x v="203"/>
    <x v="192"/>
    <n v="109"/>
    <x v="2"/>
    <x v="0"/>
  </r>
  <r>
    <x v="6"/>
    <x v="147"/>
    <x v="193"/>
    <n v="10"/>
    <x v="1"/>
    <x v="0"/>
  </r>
  <r>
    <x v="6"/>
    <x v="204"/>
    <x v="194"/>
    <n v="26"/>
    <x v="2"/>
    <x v="14"/>
  </r>
  <r>
    <x v="6"/>
    <x v="124"/>
    <x v="195"/>
    <n v="117"/>
    <x v="2"/>
    <x v="0"/>
  </r>
  <r>
    <x v="6"/>
    <x v="205"/>
    <x v="196"/>
    <n v="45"/>
    <x v="2"/>
    <x v="7"/>
  </r>
  <r>
    <x v="6"/>
    <x v="206"/>
    <x v="197"/>
    <n v="104"/>
    <x v="1"/>
    <x v="0"/>
  </r>
  <r>
    <x v="6"/>
    <x v="207"/>
    <x v="34"/>
    <n v="32"/>
    <x v="0"/>
    <x v="14"/>
  </r>
  <r>
    <x v="6"/>
    <x v="208"/>
    <x v="65"/>
    <n v="13"/>
    <x v="0"/>
    <x v="18"/>
  </r>
  <r>
    <x v="6"/>
    <x v="209"/>
    <x v="198"/>
    <n v="30"/>
    <x v="2"/>
    <x v="0"/>
  </r>
  <r>
    <x v="6"/>
    <x v="210"/>
    <x v="199"/>
    <n v="76"/>
    <x v="2"/>
    <x v="17"/>
  </r>
  <r>
    <x v="6"/>
    <x v="211"/>
    <x v="200"/>
    <n v="43"/>
    <x v="1"/>
    <x v="26"/>
  </r>
  <r>
    <x v="6"/>
    <x v="212"/>
    <x v="201"/>
    <n v="108"/>
    <x v="1"/>
    <x v="12"/>
  </r>
  <r>
    <x v="6"/>
    <x v="213"/>
    <x v="202"/>
    <n v="37"/>
    <x v="1"/>
    <x v="17"/>
  </r>
  <r>
    <x v="6"/>
    <x v="214"/>
    <x v="203"/>
    <n v="64"/>
    <x v="0"/>
    <x v="11"/>
  </r>
  <r>
    <x v="6"/>
    <x v="215"/>
    <x v="204"/>
    <n v="53"/>
    <x v="0"/>
    <x v="10"/>
  </r>
  <r>
    <x v="6"/>
    <x v="216"/>
    <x v="205"/>
    <n v="75"/>
    <x v="2"/>
    <x v="0"/>
  </r>
  <r>
    <x v="6"/>
    <x v="217"/>
    <x v="206"/>
    <n v="96"/>
    <x v="0"/>
    <x v="10"/>
  </r>
  <r>
    <x v="6"/>
    <x v="218"/>
    <x v="74"/>
    <n v="36"/>
    <x v="2"/>
    <x v="20"/>
  </r>
  <r>
    <x v="6"/>
    <x v="219"/>
    <x v="207"/>
    <n v="60"/>
    <x v="2"/>
    <x v="23"/>
  </r>
  <r>
    <x v="6"/>
    <x v="220"/>
    <x v="208"/>
    <n v="32"/>
    <x v="2"/>
    <x v="1"/>
  </r>
  <r>
    <x v="6"/>
    <x v="221"/>
    <x v="209"/>
    <n v="98"/>
    <x v="1"/>
    <x v="0"/>
  </r>
  <r>
    <x v="6"/>
    <x v="209"/>
    <x v="71"/>
    <n v="69"/>
    <x v="0"/>
    <x v="0"/>
  </r>
  <r>
    <x v="6"/>
    <x v="222"/>
    <x v="210"/>
    <n v="35"/>
    <x v="2"/>
    <x v="0"/>
  </r>
  <r>
    <x v="6"/>
    <x v="223"/>
    <x v="211"/>
    <n v="69"/>
    <x v="1"/>
    <x v="0"/>
  </r>
  <r>
    <x v="6"/>
    <x v="224"/>
    <x v="212"/>
    <n v="69"/>
    <x v="2"/>
    <x v="0"/>
  </r>
  <r>
    <x v="6"/>
    <x v="64"/>
    <x v="213"/>
    <n v="48"/>
    <x v="2"/>
    <x v="7"/>
  </r>
  <r>
    <x v="7"/>
    <x v="225"/>
    <x v="214"/>
    <n v="99"/>
    <x v="0"/>
    <x v="0"/>
  </r>
  <r>
    <x v="7"/>
    <x v="226"/>
    <x v="215"/>
    <n v="118"/>
    <x v="2"/>
    <x v="0"/>
  </r>
  <r>
    <x v="7"/>
    <x v="227"/>
    <x v="216"/>
    <n v="68"/>
    <x v="1"/>
    <x v="11"/>
  </r>
  <r>
    <x v="7"/>
    <x v="141"/>
    <x v="217"/>
    <n v="32"/>
    <x v="1"/>
    <x v="20"/>
  </r>
  <r>
    <x v="7"/>
    <x v="228"/>
    <x v="218"/>
    <n v="49"/>
    <x v="0"/>
    <x v="0"/>
  </r>
  <r>
    <x v="7"/>
    <x v="229"/>
    <x v="173"/>
    <n v="55"/>
    <x v="0"/>
    <x v="0"/>
  </r>
  <r>
    <x v="7"/>
    <x v="230"/>
    <x v="120"/>
    <n v="73"/>
    <x v="0"/>
    <x v="10"/>
  </r>
  <r>
    <x v="7"/>
    <x v="231"/>
    <x v="219"/>
    <n v="75"/>
    <x v="2"/>
    <x v="0"/>
  </r>
  <r>
    <x v="7"/>
    <x v="232"/>
    <x v="220"/>
    <n v="73"/>
    <x v="2"/>
    <x v="0"/>
  </r>
  <r>
    <x v="7"/>
    <x v="233"/>
    <x v="49"/>
    <n v="59"/>
    <x v="1"/>
    <x v="13"/>
  </r>
  <r>
    <x v="7"/>
    <x v="234"/>
    <x v="221"/>
    <n v="78"/>
    <x v="2"/>
    <x v="10"/>
  </r>
  <r>
    <x v="7"/>
    <x v="235"/>
    <x v="150"/>
    <n v="38"/>
    <x v="1"/>
    <x v="8"/>
  </r>
  <r>
    <x v="7"/>
    <x v="236"/>
    <x v="222"/>
    <n v="12"/>
    <x v="2"/>
    <x v="0"/>
  </r>
  <r>
    <x v="7"/>
    <x v="237"/>
    <x v="43"/>
    <n v="46"/>
    <x v="0"/>
    <x v="5"/>
  </r>
  <r>
    <x v="7"/>
    <x v="238"/>
    <x v="223"/>
    <n v="25"/>
    <x v="2"/>
    <x v="13"/>
  </r>
  <r>
    <x v="7"/>
    <x v="239"/>
    <x v="45"/>
    <n v="23"/>
    <x v="2"/>
    <x v="13"/>
  </r>
  <r>
    <x v="7"/>
    <x v="240"/>
    <x v="224"/>
    <n v="28"/>
    <x v="0"/>
    <x v="0"/>
  </r>
  <r>
    <x v="7"/>
    <x v="241"/>
    <x v="225"/>
    <n v="54"/>
    <x v="1"/>
    <x v="0"/>
  </r>
  <r>
    <x v="7"/>
    <x v="242"/>
    <x v="226"/>
    <n v="66"/>
    <x v="0"/>
    <x v="15"/>
  </r>
  <r>
    <x v="7"/>
    <x v="243"/>
    <x v="227"/>
    <n v="46"/>
    <x v="1"/>
    <x v="19"/>
  </r>
  <r>
    <x v="7"/>
    <x v="118"/>
    <x v="228"/>
    <n v="50"/>
    <x v="0"/>
    <x v="0"/>
  </r>
  <r>
    <x v="7"/>
    <x v="244"/>
    <x v="229"/>
    <n v="27"/>
    <x v="2"/>
    <x v="4"/>
  </r>
  <r>
    <x v="7"/>
    <x v="245"/>
    <x v="230"/>
    <n v="107"/>
    <x v="0"/>
    <x v="0"/>
  </r>
  <r>
    <x v="7"/>
    <x v="246"/>
    <x v="231"/>
    <n v="103"/>
    <x v="1"/>
    <x v="0"/>
  </r>
  <r>
    <x v="7"/>
    <x v="180"/>
    <x v="232"/>
    <n v="41"/>
    <x v="1"/>
    <x v="8"/>
  </r>
  <r>
    <x v="7"/>
    <x v="247"/>
    <x v="233"/>
    <n v="101"/>
    <x v="2"/>
    <x v="25"/>
  </r>
  <r>
    <x v="7"/>
    <x v="248"/>
    <x v="234"/>
    <n v="77"/>
    <x v="2"/>
    <x v="0"/>
  </r>
  <r>
    <x v="7"/>
    <x v="249"/>
    <x v="235"/>
    <n v="94"/>
    <x v="0"/>
    <x v="24"/>
  </r>
  <r>
    <x v="7"/>
    <x v="208"/>
    <x v="236"/>
    <n v="42"/>
    <x v="1"/>
    <x v="0"/>
  </r>
  <r>
    <x v="7"/>
    <x v="250"/>
    <x v="237"/>
    <n v="15"/>
    <x v="0"/>
    <x v="26"/>
  </r>
  <r>
    <x v="7"/>
    <x v="251"/>
    <x v="238"/>
    <n v="83"/>
    <x v="1"/>
    <x v="0"/>
  </r>
  <r>
    <x v="7"/>
    <x v="224"/>
    <x v="239"/>
    <n v="30"/>
    <x v="2"/>
    <x v="0"/>
  </r>
  <r>
    <x v="7"/>
    <x v="14"/>
    <x v="240"/>
    <n v="28"/>
    <x v="1"/>
    <x v="3"/>
  </r>
  <r>
    <x v="7"/>
    <x v="252"/>
    <x v="241"/>
    <n v="113"/>
    <x v="1"/>
    <x v="5"/>
  </r>
  <r>
    <x v="7"/>
    <x v="253"/>
    <x v="241"/>
    <n v="57"/>
    <x v="1"/>
    <x v="5"/>
  </r>
  <r>
    <x v="8"/>
    <x v="48"/>
    <x v="54"/>
    <n v="87"/>
    <x v="1"/>
    <x v="0"/>
  </r>
  <r>
    <x v="8"/>
    <x v="254"/>
    <x v="242"/>
    <n v="68"/>
    <x v="1"/>
    <x v="3"/>
  </r>
  <r>
    <x v="8"/>
    <x v="255"/>
    <x v="243"/>
    <n v="82"/>
    <x v="2"/>
    <x v="0"/>
  </r>
  <r>
    <x v="8"/>
    <x v="256"/>
    <x v="244"/>
    <n v="38"/>
    <x v="1"/>
    <x v="0"/>
  </r>
  <r>
    <x v="8"/>
    <x v="257"/>
    <x v="245"/>
    <n v="98"/>
    <x v="0"/>
    <x v="0"/>
  </r>
  <r>
    <x v="8"/>
    <x v="258"/>
    <x v="246"/>
    <n v="92"/>
    <x v="1"/>
    <x v="8"/>
  </r>
  <r>
    <x v="8"/>
    <x v="26"/>
    <x v="247"/>
    <n v="91"/>
    <x v="2"/>
    <x v="0"/>
  </r>
  <r>
    <x v="8"/>
    <x v="259"/>
    <x v="248"/>
    <n v="41"/>
    <x v="0"/>
    <x v="16"/>
  </r>
  <r>
    <x v="8"/>
    <x v="260"/>
    <x v="50"/>
    <n v="98"/>
    <x v="2"/>
    <x v="13"/>
  </r>
  <r>
    <x v="8"/>
    <x v="261"/>
    <x v="249"/>
    <n v="44"/>
    <x v="2"/>
    <x v="20"/>
  </r>
  <r>
    <x v="8"/>
    <x v="262"/>
    <x v="250"/>
    <n v="68"/>
    <x v="1"/>
    <x v="13"/>
  </r>
  <r>
    <x v="8"/>
    <x v="168"/>
    <x v="251"/>
    <n v="72"/>
    <x v="2"/>
    <x v="0"/>
  </r>
  <r>
    <x v="8"/>
    <x v="195"/>
    <x v="252"/>
    <n v="47"/>
    <x v="1"/>
    <x v="6"/>
  </r>
  <r>
    <x v="8"/>
    <x v="263"/>
    <x v="253"/>
    <n v="31"/>
    <x v="2"/>
    <x v="0"/>
  </r>
  <r>
    <x v="8"/>
    <x v="264"/>
    <x v="254"/>
    <n v="85"/>
    <x v="0"/>
    <x v="2"/>
  </r>
  <r>
    <x v="8"/>
    <x v="265"/>
    <x v="255"/>
    <n v="50"/>
    <x v="1"/>
    <x v="0"/>
  </r>
  <r>
    <x v="8"/>
    <x v="175"/>
    <x v="118"/>
    <n v="75"/>
    <x v="0"/>
    <x v="0"/>
  </r>
  <r>
    <x v="8"/>
    <x v="266"/>
    <x v="256"/>
    <n v="92"/>
    <x v="2"/>
    <x v="0"/>
  </r>
  <r>
    <x v="8"/>
    <x v="267"/>
    <x v="257"/>
    <n v="102"/>
    <x v="0"/>
    <x v="1"/>
  </r>
  <r>
    <x v="8"/>
    <x v="268"/>
    <x v="233"/>
    <n v="33"/>
    <x v="0"/>
    <x v="25"/>
  </r>
  <r>
    <x v="8"/>
    <x v="269"/>
    <x v="258"/>
    <n v="59"/>
    <x v="0"/>
    <x v="0"/>
  </r>
  <r>
    <x v="8"/>
    <x v="270"/>
    <x v="259"/>
    <n v="101"/>
    <x v="1"/>
    <x v="0"/>
  </r>
  <r>
    <x v="8"/>
    <x v="271"/>
    <x v="260"/>
    <n v="7"/>
    <x v="2"/>
    <x v="7"/>
  </r>
  <r>
    <x v="8"/>
    <x v="272"/>
    <x v="261"/>
    <n v="104"/>
    <x v="2"/>
    <x v="0"/>
  </r>
  <r>
    <x v="8"/>
    <x v="273"/>
    <x v="262"/>
    <n v="115"/>
    <x v="1"/>
    <x v="21"/>
  </r>
  <r>
    <x v="8"/>
    <x v="274"/>
    <x v="263"/>
    <n v="50"/>
    <x v="0"/>
    <x v="0"/>
  </r>
  <r>
    <x v="9"/>
    <x v="275"/>
    <x v="154"/>
    <n v="99"/>
    <x v="0"/>
    <x v="12"/>
  </r>
  <r>
    <x v="9"/>
    <x v="276"/>
    <x v="264"/>
    <n v="96"/>
    <x v="1"/>
    <x v="0"/>
  </r>
  <r>
    <x v="9"/>
    <x v="277"/>
    <x v="265"/>
    <n v="107"/>
    <x v="0"/>
    <x v="24"/>
  </r>
  <r>
    <x v="9"/>
    <x v="278"/>
    <x v="56"/>
    <n v="44"/>
    <x v="2"/>
    <x v="0"/>
  </r>
  <r>
    <x v="9"/>
    <x v="279"/>
    <x v="266"/>
    <n v="57"/>
    <x v="1"/>
    <x v="0"/>
  </r>
  <r>
    <x v="9"/>
    <x v="280"/>
    <x v="4"/>
    <n v="119"/>
    <x v="1"/>
    <x v="3"/>
  </r>
  <r>
    <x v="9"/>
    <x v="281"/>
    <x v="267"/>
    <n v="27"/>
    <x v="2"/>
    <x v="8"/>
  </r>
  <r>
    <x v="9"/>
    <x v="282"/>
    <x v="268"/>
    <n v="40"/>
    <x v="2"/>
    <x v="25"/>
  </r>
  <r>
    <x v="9"/>
    <x v="283"/>
    <x v="269"/>
    <n v="80"/>
    <x v="0"/>
    <x v="0"/>
  </r>
  <r>
    <x v="9"/>
    <x v="10"/>
    <x v="270"/>
    <n v="35"/>
    <x v="1"/>
    <x v="0"/>
  </r>
  <r>
    <x v="9"/>
    <x v="284"/>
    <x v="271"/>
    <n v="81"/>
    <x v="0"/>
    <x v="0"/>
  </r>
  <r>
    <x v="9"/>
    <x v="285"/>
    <x v="77"/>
    <n v="10"/>
    <x v="0"/>
    <x v="0"/>
  </r>
  <r>
    <x v="9"/>
    <x v="286"/>
    <x v="272"/>
    <n v="41"/>
    <x v="0"/>
    <x v="0"/>
  </r>
  <r>
    <x v="9"/>
    <x v="162"/>
    <x v="273"/>
    <n v="115"/>
    <x v="2"/>
    <x v="0"/>
  </r>
  <r>
    <x v="9"/>
    <x v="287"/>
    <x v="274"/>
    <n v="97"/>
    <x v="2"/>
    <x v="0"/>
  </r>
  <r>
    <x v="9"/>
    <x v="75"/>
    <x v="55"/>
    <n v="67"/>
    <x v="2"/>
    <x v="16"/>
  </r>
  <r>
    <x v="9"/>
    <x v="34"/>
    <x v="98"/>
    <n v="93"/>
    <x v="2"/>
    <x v="20"/>
  </r>
  <r>
    <x v="9"/>
    <x v="288"/>
    <x v="275"/>
    <n v="46"/>
    <x v="0"/>
    <x v="0"/>
  </r>
  <r>
    <x v="9"/>
    <x v="289"/>
    <x v="276"/>
    <n v="6"/>
    <x v="2"/>
    <x v="0"/>
  </r>
  <r>
    <x v="9"/>
    <x v="290"/>
    <x v="277"/>
    <n v="42"/>
    <x v="2"/>
    <x v="0"/>
  </r>
  <r>
    <x v="9"/>
    <x v="291"/>
    <x v="278"/>
    <n v="120"/>
    <x v="1"/>
    <x v="4"/>
  </r>
  <r>
    <x v="9"/>
    <x v="292"/>
    <x v="51"/>
    <n v="94"/>
    <x v="0"/>
    <x v="0"/>
  </r>
  <r>
    <x v="9"/>
    <x v="293"/>
    <x v="279"/>
    <n v="44"/>
    <x v="1"/>
    <x v="0"/>
  </r>
  <r>
    <x v="9"/>
    <x v="151"/>
    <x v="280"/>
    <n v="63"/>
    <x v="1"/>
    <x v="23"/>
  </r>
  <r>
    <x v="9"/>
    <x v="283"/>
    <x v="139"/>
    <n v="51"/>
    <x v="0"/>
    <x v="24"/>
  </r>
  <r>
    <x v="9"/>
    <x v="294"/>
    <x v="281"/>
    <n v="23"/>
    <x v="2"/>
    <x v="12"/>
  </r>
  <r>
    <x v="9"/>
    <x v="295"/>
    <x v="282"/>
    <n v="115"/>
    <x v="2"/>
    <x v="0"/>
  </r>
  <r>
    <x v="9"/>
    <x v="296"/>
    <x v="132"/>
    <n v="30"/>
    <x v="2"/>
    <x v="0"/>
  </r>
  <r>
    <x v="9"/>
    <x v="297"/>
    <x v="283"/>
    <n v="43"/>
    <x v="1"/>
    <x v="0"/>
  </r>
  <r>
    <x v="9"/>
    <x v="298"/>
    <x v="284"/>
    <n v="5"/>
    <x v="1"/>
    <x v="0"/>
  </r>
  <r>
    <x v="9"/>
    <x v="261"/>
    <x v="285"/>
    <n v="66"/>
    <x v="0"/>
    <x v="11"/>
  </r>
  <r>
    <x v="9"/>
    <x v="299"/>
    <x v="233"/>
    <n v="29"/>
    <x v="0"/>
    <x v="25"/>
  </r>
  <r>
    <x v="9"/>
    <x v="300"/>
    <x v="286"/>
    <n v="68"/>
    <x v="0"/>
    <x v="18"/>
  </r>
  <r>
    <x v="9"/>
    <x v="301"/>
    <x v="287"/>
    <n v="99"/>
    <x v="2"/>
    <x v="6"/>
  </r>
  <r>
    <x v="9"/>
    <x v="302"/>
    <x v="288"/>
    <n v="45"/>
    <x v="2"/>
    <x v="0"/>
  </r>
  <r>
    <x v="9"/>
    <x v="303"/>
    <x v="289"/>
    <n v="93"/>
    <x v="0"/>
    <x v="0"/>
  </r>
  <r>
    <x v="9"/>
    <x v="79"/>
    <x v="290"/>
    <n v="91"/>
    <x v="2"/>
    <x v="26"/>
  </r>
  <r>
    <x v="9"/>
    <x v="304"/>
    <x v="206"/>
    <n v="37"/>
    <x v="0"/>
    <x v="10"/>
  </r>
  <r>
    <x v="9"/>
    <x v="305"/>
    <x v="21"/>
    <n v="102"/>
    <x v="2"/>
    <x v="0"/>
  </r>
  <r>
    <x v="9"/>
    <x v="7"/>
    <x v="76"/>
    <n v="111"/>
    <x v="2"/>
    <x v="3"/>
  </r>
  <r>
    <x v="10"/>
    <x v="306"/>
    <x v="291"/>
    <n v="20"/>
    <x v="1"/>
    <x v="24"/>
  </r>
  <r>
    <x v="10"/>
    <x v="209"/>
    <x v="292"/>
    <n v="67"/>
    <x v="0"/>
    <x v="25"/>
  </r>
  <r>
    <x v="10"/>
    <x v="307"/>
    <x v="293"/>
    <n v="66"/>
    <x v="1"/>
    <x v="12"/>
  </r>
  <r>
    <x v="10"/>
    <x v="76"/>
    <x v="294"/>
    <n v="119"/>
    <x v="2"/>
    <x v="0"/>
  </r>
  <r>
    <x v="10"/>
    <x v="308"/>
    <x v="21"/>
    <n v="59"/>
    <x v="0"/>
    <x v="0"/>
  </r>
  <r>
    <x v="10"/>
    <x v="309"/>
    <x v="295"/>
    <n v="104"/>
    <x v="2"/>
    <x v="0"/>
  </r>
  <r>
    <x v="10"/>
    <x v="310"/>
    <x v="138"/>
    <n v="16"/>
    <x v="1"/>
    <x v="17"/>
  </r>
  <r>
    <x v="10"/>
    <x v="311"/>
    <x v="196"/>
    <n v="45"/>
    <x v="0"/>
    <x v="7"/>
  </r>
  <r>
    <x v="10"/>
    <x v="312"/>
    <x v="27"/>
    <n v="115"/>
    <x v="1"/>
    <x v="0"/>
  </r>
  <r>
    <x v="10"/>
    <x v="313"/>
    <x v="296"/>
    <n v="30"/>
    <x v="1"/>
    <x v="0"/>
  </r>
  <r>
    <x v="10"/>
    <x v="314"/>
    <x v="297"/>
    <n v="53"/>
    <x v="1"/>
    <x v="2"/>
  </r>
  <r>
    <x v="10"/>
    <x v="246"/>
    <x v="298"/>
    <n v="57"/>
    <x v="2"/>
    <x v="16"/>
  </r>
  <r>
    <x v="10"/>
    <x v="92"/>
    <x v="298"/>
    <n v="62"/>
    <x v="0"/>
    <x v="16"/>
  </r>
  <r>
    <x v="10"/>
    <x v="315"/>
    <x v="87"/>
    <n v="95"/>
    <x v="0"/>
    <x v="7"/>
  </r>
  <r>
    <x v="10"/>
    <x v="20"/>
    <x v="299"/>
    <n v="25"/>
    <x v="2"/>
    <x v="0"/>
  </r>
  <r>
    <x v="10"/>
    <x v="164"/>
    <x v="250"/>
    <n v="85"/>
    <x v="0"/>
    <x v="13"/>
  </r>
  <r>
    <x v="10"/>
    <x v="133"/>
    <x v="237"/>
    <n v="63"/>
    <x v="2"/>
    <x v="26"/>
  </r>
  <r>
    <x v="10"/>
    <x v="159"/>
    <x v="252"/>
    <n v="110"/>
    <x v="2"/>
    <x v="6"/>
  </r>
  <r>
    <x v="10"/>
    <x v="316"/>
    <x v="300"/>
    <n v="73"/>
    <x v="1"/>
    <x v="19"/>
  </r>
  <r>
    <x v="10"/>
    <x v="317"/>
    <x v="301"/>
    <n v="32"/>
    <x v="0"/>
    <x v="0"/>
  </r>
  <r>
    <x v="10"/>
    <x v="192"/>
    <x v="302"/>
    <n v="97"/>
    <x v="1"/>
    <x v="0"/>
  </r>
  <r>
    <x v="10"/>
    <x v="318"/>
    <x v="303"/>
    <n v="68"/>
    <x v="2"/>
    <x v="0"/>
  </r>
  <r>
    <x v="10"/>
    <x v="319"/>
    <x v="304"/>
    <n v="43"/>
    <x v="0"/>
    <x v="18"/>
  </r>
  <r>
    <x v="10"/>
    <x v="320"/>
    <x v="305"/>
    <n v="114"/>
    <x v="2"/>
    <x v="0"/>
  </r>
  <r>
    <x v="10"/>
    <x v="49"/>
    <x v="306"/>
    <n v="27"/>
    <x v="0"/>
    <x v="0"/>
  </r>
  <r>
    <x v="10"/>
    <x v="321"/>
    <x v="307"/>
    <n v="75"/>
    <x v="2"/>
    <x v="1"/>
  </r>
  <r>
    <x v="10"/>
    <x v="322"/>
    <x v="308"/>
    <n v="118"/>
    <x v="1"/>
    <x v="22"/>
  </r>
  <r>
    <x v="10"/>
    <x v="323"/>
    <x v="309"/>
    <n v="118"/>
    <x v="1"/>
    <x v="0"/>
  </r>
  <r>
    <x v="10"/>
    <x v="324"/>
    <x v="310"/>
    <n v="110"/>
    <x v="1"/>
    <x v="19"/>
  </r>
  <r>
    <x v="10"/>
    <x v="325"/>
    <x v="311"/>
    <n v="74"/>
    <x v="1"/>
    <x v="0"/>
  </r>
  <r>
    <x v="10"/>
    <x v="326"/>
    <x v="312"/>
    <n v="96"/>
    <x v="1"/>
    <x v="12"/>
  </r>
  <r>
    <x v="10"/>
    <x v="280"/>
    <x v="313"/>
    <n v="86"/>
    <x v="0"/>
    <x v="0"/>
  </r>
  <r>
    <x v="10"/>
    <x v="327"/>
    <x v="314"/>
    <n v="9"/>
    <x v="0"/>
    <x v="0"/>
  </r>
  <r>
    <x v="10"/>
    <x v="328"/>
    <x v="315"/>
    <n v="7"/>
    <x v="1"/>
    <x v="0"/>
  </r>
  <r>
    <x v="10"/>
    <x v="329"/>
    <x v="316"/>
    <n v="80"/>
    <x v="0"/>
    <x v="10"/>
  </r>
  <r>
    <x v="10"/>
    <x v="30"/>
    <x v="317"/>
    <n v="47"/>
    <x v="0"/>
    <x v="0"/>
  </r>
  <r>
    <x v="10"/>
    <x v="330"/>
    <x v="207"/>
    <n v="85"/>
    <x v="1"/>
    <x v="23"/>
  </r>
  <r>
    <x v="10"/>
    <x v="331"/>
    <x v="318"/>
    <n v="86"/>
    <x v="2"/>
    <x v="0"/>
  </r>
  <r>
    <x v="10"/>
    <x v="332"/>
    <x v="319"/>
    <n v="66"/>
    <x v="1"/>
    <x v="25"/>
  </r>
  <r>
    <x v="11"/>
    <x v="287"/>
    <x v="278"/>
    <n v="84"/>
    <x v="2"/>
    <x v="4"/>
  </r>
  <r>
    <x v="11"/>
    <x v="333"/>
    <x v="320"/>
    <n v="84"/>
    <x v="1"/>
    <x v="0"/>
  </r>
  <r>
    <x v="11"/>
    <x v="334"/>
    <x v="321"/>
    <n v="59"/>
    <x v="2"/>
    <x v="18"/>
  </r>
  <r>
    <x v="11"/>
    <x v="335"/>
    <x v="322"/>
    <n v="7"/>
    <x v="2"/>
    <x v="0"/>
  </r>
  <r>
    <x v="11"/>
    <x v="336"/>
    <x v="323"/>
    <n v="105"/>
    <x v="1"/>
    <x v="0"/>
  </r>
  <r>
    <x v="11"/>
    <x v="337"/>
    <x v="179"/>
    <n v="40"/>
    <x v="2"/>
    <x v="0"/>
  </r>
  <r>
    <x v="11"/>
    <x v="338"/>
    <x v="324"/>
    <n v="5"/>
    <x v="1"/>
    <x v="13"/>
  </r>
  <r>
    <x v="11"/>
    <x v="339"/>
    <x v="73"/>
    <n v="82"/>
    <x v="0"/>
    <x v="0"/>
  </r>
  <r>
    <x v="11"/>
    <x v="340"/>
    <x v="325"/>
    <n v="108"/>
    <x v="0"/>
    <x v="0"/>
  </r>
  <r>
    <x v="11"/>
    <x v="341"/>
    <x v="326"/>
    <n v="57"/>
    <x v="0"/>
    <x v="21"/>
  </r>
  <r>
    <x v="11"/>
    <x v="342"/>
    <x v="181"/>
    <n v="87"/>
    <x v="2"/>
    <x v="1"/>
  </r>
  <r>
    <x v="11"/>
    <x v="343"/>
    <x v="327"/>
    <n v="93"/>
    <x v="2"/>
    <x v="25"/>
  </r>
  <r>
    <x v="11"/>
    <x v="344"/>
    <x v="328"/>
    <n v="28"/>
    <x v="1"/>
    <x v="17"/>
  </r>
  <r>
    <x v="11"/>
    <x v="96"/>
    <x v="311"/>
    <n v="73"/>
    <x v="2"/>
    <x v="0"/>
  </r>
  <r>
    <x v="11"/>
    <x v="115"/>
    <x v="329"/>
    <n v="37"/>
    <x v="1"/>
    <x v="19"/>
  </r>
  <r>
    <x v="11"/>
    <x v="345"/>
    <x v="330"/>
    <n v="27"/>
    <x v="2"/>
    <x v="24"/>
  </r>
  <r>
    <x v="11"/>
    <x v="312"/>
    <x v="331"/>
    <n v="110"/>
    <x v="0"/>
    <x v="1"/>
  </r>
  <r>
    <x v="11"/>
    <x v="243"/>
    <x v="332"/>
    <n v="15"/>
    <x v="0"/>
    <x v="0"/>
  </r>
  <r>
    <x v="11"/>
    <x v="135"/>
    <x v="333"/>
    <n v="120"/>
    <x v="2"/>
    <x v="0"/>
  </r>
  <r>
    <x v="11"/>
    <x v="346"/>
    <x v="334"/>
    <n v="29"/>
    <x v="0"/>
    <x v="0"/>
  </r>
  <r>
    <x v="11"/>
    <x v="347"/>
    <x v="335"/>
    <n v="88"/>
    <x v="0"/>
    <x v="11"/>
  </r>
  <r>
    <x v="11"/>
    <x v="348"/>
    <x v="336"/>
    <n v="87"/>
    <x v="1"/>
    <x v="0"/>
  </r>
  <r>
    <x v="11"/>
    <x v="349"/>
    <x v="336"/>
    <n v="61"/>
    <x v="0"/>
    <x v="0"/>
  </r>
  <r>
    <x v="11"/>
    <x v="350"/>
    <x v="284"/>
    <n v="89"/>
    <x v="0"/>
    <x v="0"/>
  </r>
  <r>
    <x v="11"/>
    <x v="351"/>
    <x v="337"/>
    <n v="114"/>
    <x v="1"/>
    <x v="11"/>
  </r>
  <r>
    <x v="11"/>
    <x v="352"/>
    <x v="309"/>
    <n v="13"/>
    <x v="0"/>
    <x v="0"/>
  </r>
  <r>
    <x v="11"/>
    <x v="123"/>
    <x v="28"/>
    <n v="111"/>
    <x v="1"/>
    <x v="13"/>
  </r>
  <r>
    <x v="11"/>
    <x v="353"/>
    <x v="338"/>
    <n v="6"/>
    <x v="2"/>
    <x v="15"/>
  </r>
  <r>
    <x v="11"/>
    <x v="354"/>
    <x v="173"/>
    <n v="95"/>
    <x v="0"/>
    <x v="0"/>
  </r>
  <r>
    <x v="11"/>
    <x v="355"/>
    <x v="339"/>
    <n v="62"/>
    <x v="2"/>
    <x v="13"/>
  </r>
  <r>
    <x v="11"/>
    <x v="246"/>
    <x v="340"/>
    <n v="32"/>
    <x v="0"/>
    <x v="0"/>
  </r>
  <r>
    <x v="11"/>
    <x v="356"/>
    <x v="91"/>
    <n v="87"/>
    <x v="0"/>
    <x v="17"/>
  </r>
  <r>
    <x v="11"/>
    <x v="357"/>
    <x v="341"/>
    <n v="107"/>
    <x v="1"/>
    <x v="6"/>
  </r>
  <r>
    <x v="11"/>
    <x v="358"/>
    <x v="342"/>
    <n v="115"/>
    <x v="1"/>
    <x v="0"/>
  </r>
  <r>
    <x v="11"/>
    <x v="330"/>
    <x v="343"/>
    <n v="76"/>
    <x v="0"/>
    <x v="0"/>
  </r>
  <r>
    <x v="11"/>
    <x v="29"/>
    <x v="344"/>
    <n v="18"/>
    <x v="2"/>
    <x v="22"/>
  </r>
  <r>
    <x v="11"/>
    <x v="359"/>
    <x v="345"/>
    <n v="115"/>
    <x v="2"/>
    <x v="0"/>
  </r>
  <r>
    <x v="11"/>
    <x v="360"/>
    <x v="8"/>
    <n v="69"/>
    <x v="0"/>
    <x v="0"/>
  </r>
  <r>
    <x v="11"/>
    <x v="361"/>
    <x v="35"/>
    <n v="116"/>
    <x v="0"/>
    <x v="13"/>
  </r>
  <r>
    <x v="11"/>
    <x v="259"/>
    <x v="128"/>
    <n v="75"/>
    <x v="1"/>
    <x v="16"/>
  </r>
  <r>
    <x v="11"/>
    <x v="362"/>
    <x v="346"/>
    <n v="59"/>
    <x v="0"/>
    <x v="0"/>
  </r>
  <r>
    <x v="11"/>
    <x v="302"/>
    <x v="304"/>
    <n v="45"/>
    <x v="2"/>
    <x v="18"/>
  </r>
  <r>
    <x v="11"/>
    <x v="363"/>
    <x v="186"/>
    <n v="67"/>
    <x v="1"/>
    <x v="0"/>
  </r>
  <r>
    <x v="11"/>
    <x v="364"/>
    <x v="347"/>
    <n v="92"/>
    <x v="1"/>
    <x v="21"/>
  </r>
  <r>
    <x v="12"/>
    <x v="365"/>
    <x v="267"/>
    <n v="112"/>
    <x v="2"/>
    <x v="8"/>
  </r>
  <r>
    <x v="12"/>
    <x v="366"/>
    <x v="340"/>
    <n v="82"/>
    <x v="1"/>
    <x v="0"/>
  </r>
  <r>
    <x v="12"/>
    <x v="367"/>
    <x v="105"/>
    <n v="112"/>
    <x v="1"/>
    <x v="0"/>
  </r>
  <r>
    <x v="12"/>
    <x v="368"/>
    <x v="348"/>
    <n v="23"/>
    <x v="1"/>
    <x v="8"/>
  </r>
  <r>
    <x v="12"/>
    <x v="300"/>
    <x v="200"/>
    <n v="58"/>
    <x v="1"/>
    <x v="26"/>
  </r>
  <r>
    <x v="12"/>
    <x v="369"/>
    <x v="349"/>
    <n v="27"/>
    <x v="2"/>
    <x v="5"/>
  </r>
  <r>
    <x v="12"/>
    <x v="298"/>
    <x v="350"/>
    <n v="112"/>
    <x v="2"/>
    <x v="0"/>
  </r>
  <r>
    <x v="12"/>
    <x v="370"/>
    <x v="96"/>
    <n v="55"/>
    <x v="0"/>
    <x v="23"/>
  </r>
  <r>
    <x v="12"/>
    <x v="371"/>
    <x v="81"/>
    <n v="88"/>
    <x v="0"/>
    <x v="8"/>
  </r>
  <r>
    <x v="12"/>
    <x v="372"/>
    <x v="351"/>
    <n v="28"/>
    <x v="1"/>
    <x v="0"/>
  </r>
  <r>
    <x v="12"/>
    <x v="373"/>
    <x v="317"/>
    <n v="107"/>
    <x v="0"/>
    <x v="0"/>
  </r>
  <r>
    <x v="12"/>
    <x v="374"/>
    <x v="352"/>
    <n v="33"/>
    <x v="2"/>
    <x v="9"/>
  </r>
  <r>
    <x v="12"/>
    <x v="375"/>
    <x v="346"/>
    <n v="54"/>
    <x v="0"/>
    <x v="0"/>
  </r>
  <r>
    <x v="12"/>
    <x v="237"/>
    <x v="353"/>
    <n v="19"/>
    <x v="0"/>
    <x v="19"/>
  </r>
  <r>
    <x v="12"/>
    <x v="376"/>
    <x v="92"/>
    <n v="113"/>
    <x v="2"/>
    <x v="0"/>
  </r>
  <r>
    <x v="12"/>
    <x v="377"/>
    <x v="354"/>
    <n v="15"/>
    <x v="0"/>
    <x v="7"/>
  </r>
  <r>
    <x v="12"/>
    <x v="233"/>
    <x v="355"/>
    <n v="58"/>
    <x v="0"/>
    <x v="17"/>
  </r>
  <r>
    <x v="12"/>
    <x v="326"/>
    <x v="356"/>
    <n v="42"/>
    <x v="0"/>
    <x v="20"/>
  </r>
  <r>
    <x v="12"/>
    <x v="378"/>
    <x v="357"/>
    <n v="118"/>
    <x v="2"/>
    <x v="0"/>
  </r>
  <r>
    <x v="12"/>
    <x v="379"/>
    <x v="358"/>
    <n v="75"/>
    <x v="1"/>
    <x v="0"/>
  </r>
  <r>
    <x v="12"/>
    <x v="380"/>
    <x v="359"/>
    <n v="33"/>
    <x v="1"/>
    <x v="0"/>
  </r>
  <r>
    <x v="12"/>
    <x v="381"/>
    <x v="360"/>
    <n v="79"/>
    <x v="1"/>
    <x v="26"/>
  </r>
  <r>
    <x v="12"/>
    <x v="382"/>
    <x v="361"/>
    <n v="63"/>
    <x v="1"/>
    <x v="0"/>
  </r>
  <r>
    <x v="12"/>
    <x v="314"/>
    <x v="362"/>
    <n v="99"/>
    <x v="1"/>
    <x v="0"/>
  </r>
  <r>
    <x v="13"/>
    <x v="383"/>
    <x v="363"/>
    <n v="53"/>
    <x v="0"/>
    <x v="16"/>
  </r>
  <r>
    <x v="13"/>
    <x v="384"/>
    <x v="364"/>
    <n v="88"/>
    <x v="0"/>
    <x v="2"/>
  </r>
  <r>
    <x v="13"/>
    <x v="385"/>
    <x v="365"/>
    <n v="120"/>
    <x v="1"/>
    <x v="4"/>
  </r>
  <r>
    <x v="13"/>
    <x v="386"/>
    <x v="366"/>
    <n v="93"/>
    <x v="0"/>
    <x v="0"/>
  </r>
  <r>
    <x v="13"/>
    <x v="370"/>
    <x v="149"/>
    <n v="100"/>
    <x v="1"/>
    <x v="0"/>
  </r>
  <r>
    <x v="13"/>
    <x v="387"/>
    <x v="367"/>
    <n v="35"/>
    <x v="0"/>
    <x v="0"/>
  </r>
  <r>
    <x v="13"/>
    <x v="59"/>
    <x v="368"/>
    <n v="40"/>
    <x v="1"/>
    <x v="0"/>
  </r>
  <r>
    <x v="13"/>
    <x v="388"/>
    <x v="369"/>
    <n v="100"/>
    <x v="0"/>
    <x v="0"/>
  </r>
  <r>
    <x v="13"/>
    <x v="389"/>
    <x v="370"/>
    <n v="25"/>
    <x v="0"/>
    <x v="0"/>
  </r>
  <r>
    <x v="13"/>
    <x v="390"/>
    <x v="6"/>
    <n v="111"/>
    <x v="1"/>
    <x v="0"/>
  </r>
  <r>
    <x v="13"/>
    <x v="108"/>
    <x v="13"/>
    <n v="104"/>
    <x v="1"/>
    <x v="0"/>
  </r>
  <r>
    <x v="13"/>
    <x v="301"/>
    <x v="371"/>
    <n v="52"/>
    <x v="1"/>
    <x v="13"/>
  </r>
  <r>
    <x v="13"/>
    <x v="391"/>
    <x v="372"/>
    <n v="62"/>
    <x v="1"/>
    <x v="0"/>
  </r>
  <r>
    <x v="13"/>
    <x v="392"/>
    <x v="291"/>
    <n v="119"/>
    <x v="2"/>
    <x v="24"/>
  </r>
  <r>
    <x v="13"/>
    <x v="393"/>
    <x v="373"/>
    <n v="73"/>
    <x v="2"/>
    <x v="9"/>
  </r>
  <r>
    <x v="13"/>
    <x v="394"/>
    <x v="374"/>
    <n v="50"/>
    <x v="2"/>
    <x v="0"/>
  </r>
  <r>
    <x v="13"/>
    <x v="395"/>
    <x v="10"/>
    <n v="56"/>
    <x v="2"/>
    <x v="5"/>
  </r>
  <r>
    <x v="13"/>
    <x v="396"/>
    <x v="321"/>
    <n v="63"/>
    <x v="1"/>
    <x v="18"/>
  </r>
  <r>
    <x v="13"/>
    <x v="14"/>
    <x v="375"/>
    <n v="63"/>
    <x v="0"/>
    <x v="1"/>
  </r>
  <r>
    <x v="13"/>
    <x v="381"/>
    <x v="360"/>
    <n v="22"/>
    <x v="0"/>
    <x v="26"/>
  </r>
  <r>
    <x v="13"/>
    <x v="397"/>
    <x v="376"/>
    <n v="22"/>
    <x v="1"/>
    <x v="0"/>
  </r>
  <r>
    <x v="13"/>
    <x v="398"/>
    <x v="377"/>
    <n v="28"/>
    <x v="2"/>
    <x v="7"/>
  </r>
  <r>
    <x v="13"/>
    <x v="239"/>
    <x v="378"/>
    <n v="103"/>
    <x v="0"/>
    <x v="0"/>
  </r>
  <r>
    <x v="13"/>
    <x v="149"/>
    <x v="49"/>
    <n v="68"/>
    <x v="2"/>
    <x v="13"/>
  </r>
  <r>
    <x v="13"/>
    <x v="399"/>
    <x v="10"/>
    <n v="119"/>
    <x v="0"/>
    <x v="5"/>
  </r>
  <r>
    <x v="13"/>
    <x v="176"/>
    <x v="379"/>
    <n v="46"/>
    <x v="0"/>
    <x v="4"/>
  </r>
  <r>
    <x v="13"/>
    <x v="400"/>
    <x v="15"/>
    <n v="105"/>
    <x v="0"/>
    <x v="8"/>
  </r>
  <r>
    <x v="13"/>
    <x v="140"/>
    <x v="380"/>
    <n v="72"/>
    <x v="0"/>
    <x v="4"/>
  </r>
  <r>
    <x v="13"/>
    <x v="401"/>
    <x v="381"/>
    <n v="86"/>
    <x v="2"/>
    <x v="23"/>
  </r>
  <r>
    <x v="13"/>
    <x v="402"/>
    <x v="230"/>
    <n v="93"/>
    <x v="1"/>
    <x v="0"/>
  </r>
  <r>
    <x v="13"/>
    <x v="403"/>
    <x v="382"/>
    <n v="22"/>
    <x v="2"/>
    <x v="0"/>
  </r>
  <r>
    <x v="13"/>
    <x v="404"/>
    <x v="383"/>
    <n v="101"/>
    <x v="0"/>
    <x v="0"/>
  </r>
  <r>
    <x v="13"/>
    <x v="405"/>
    <x v="384"/>
    <n v="95"/>
    <x v="1"/>
    <x v="10"/>
  </r>
  <r>
    <x v="13"/>
    <x v="406"/>
    <x v="385"/>
    <n v="108"/>
    <x v="0"/>
    <x v="0"/>
  </r>
  <r>
    <x v="13"/>
    <x v="218"/>
    <x v="386"/>
    <n v="68"/>
    <x v="2"/>
    <x v="26"/>
  </r>
  <r>
    <x v="13"/>
    <x v="39"/>
    <x v="387"/>
    <n v="11"/>
    <x v="2"/>
    <x v="0"/>
  </r>
  <r>
    <x v="14"/>
    <x v="324"/>
    <x v="388"/>
    <n v="106"/>
    <x v="1"/>
    <x v="1"/>
  </r>
  <r>
    <x v="14"/>
    <x v="407"/>
    <x v="389"/>
    <n v="8"/>
    <x v="1"/>
    <x v="13"/>
  </r>
  <r>
    <x v="14"/>
    <x v="408"/>
    <x v="275"/>
    <n v="51"/>
    <x v="2"/>
    <x v="0"/>
  </r>
  <r>
    <x v="14"/>
    <x v="409"/>
    <x v="196"/>
    <n v="16"/>
    <x v="1"/>
    <x v="7"/>
  </r>
  <r>
    <x v="14"/>
    <x v="410"/>
    <x v="390"/>
    <n v="34"/>
    <x v="2"/>
    <x v="8"/>
  </r>
  <r>
    <x v="14"/>
    <x v="411"/>
    <x v="140"/>
    <n v="115"/>
    <x v="0"/>
    <x v="16"/>
  </r>
  <r>
    <x v="14"/>
    <x v="412"/>
    <x v="139"/>
    <n v="112"/>
    <x v="0"/>
    <x v="24"/>
  </r>
  <r>
    <x v="14"/>
    <x v="413"/>
    <x v="391"/>
    <n v="47"/>
    <x v="2"/>
    <x v="0"/>
  </r>
  <r>
    <x v="14"/>
    <x v="414"/>
    <x v="392"/>
    <n v="61"/>
    <x v="2"/>
    <x v="0"/>
  </r>
  <r>
    <x v="14"/>
    <x v="415"/>
    <x v="32"/>
    <n v="25"/>
    <x v="1"/>
    <x v="10"/>
  </r>
  <r>
    <x v="14"/>
    <x v="239"/>
    <x v="393"/>
    <n v="38"/>
    <x v="1"/>
    <x v="25"/>
  </r>
  <r>
    <x v="14"/>
    <x v="48"/>
    <x v="394"/>
    <n v="6"/>
    <x v="1"/>
    <x v="3"/>
  </r>
  <r>
    <x v="14"/>
    <x v="416"/>
    <x v="215"/>
    <n v="29"/>
    <x v="2"/>
    <x v="0"/>
  </r>
  <r>
    <x v="14"/>
    <x v="417"/>
    <x v="395"/>
    <n v="89"/>
    <x v="0"/>
    <x v="0"/>
  </r>
  <r>
    <x v="14"/>
    <x v="418"/>
    <x v="396"/>
    <n v="33"/>
    <x v="1"/>
    <x v="23"/>
  </r>
  <r>
    <x v="14"/>
    <x v="419"/>
    <x v="397"/>
    <n v="36"/>
    <x v="0"/>
    <x v="0"/>
  </r>
  <r>
    <x v="14"/>
    <x v="414"/>
    <x v="398"/>
    <n v="11"/>
    <x v="2"/>
    <x v="0"/>
  </r>
  <r>
    <x v="14"/>
    <x v="121"/>
    <x v="399"/>
    <n v="60"/>
    <x v="0"/>
    <x v="0"/>
  </r>
  <r>
    <x v="14"/>
    <x v="173"/>
    <x v="273"/>
    <n v="92"/>
    <x v="2"/>
    <x v="0"/>
  </r>
  <r>
    <x v="14"/>
    <x v="420"/>
    <x v="400"/>
    <n v="26"/>
    <x v="0"/>
    <x v="0"/>
  </r>
  <r>
    <x v="14"/>
    <x v="109"/>
    <x v="162"/>
    <n v="88"/>
    <x v="2"/>
    <x v="0"/>
  </r>
  <r>
    <x v="14"/>
    <x v="421"/>
    <x v="401"/>
    <n v="67"/>
    <x v="1"/>
    <x v="0"/>
  </r>
  <r>
    <x v="14"/>
    <x v="422"/>
    <x v="315"/>
    <n v="102"/>
    <x v="0"/>
    <x v="0"/>
  </r>
  <r>
    <x v="14"/>
    <x v="172"/>
    <x v="402"/>
    <n v="89"/>
    <x v="2"/>
    <x v="0"/>
  </r>
  <r>
    <x v="14"/>
    <x v="423"/>
    <x v="226"/>
    <n v="31"/>
    <x v="2"/>
    <x v="15"/>
  </r>
  <r>
    <x v="14"/>
    <x v="424"/>
    <x v="403"/>
    <n v="98"/>
    <x v="2"/>
    <x v="14"/>
  </r>
  <r>
    <x v="14"/>
    <x v="221"/>
    <x v="300"/>
    <n v="61"/>
    <x v="2"/>
    <x v="19"/>
  </r>
  <r>
    <x v="14"/>
    <x v="425"/>
    <x v="224"/>
    <n v="87"/>
    <x v="0"/>
    <x v="0"/>
  </r>
  <r>
    <x v="14"/>
    <x v="40"/>
    <x v="404"/>
    <n v="48"/>
    <x v="2"/>
    <x v="18"/>
  </r>
  <r>
    <x v="14"/>
    <x v="6"/>
    <x v="313"/>
    <n v="81"/>
    <x v="0"/>
    <x v="0"/>
  </r>
  <r>
    <x v="14"/>
    <x v="96"/>
    <x v="405"/>
    <n v="27"/>
    <x v="0"/>
    <x v="24"/>
  </r>
  <r>
    <x v="14"/>
    <x v="380"/>
    <x v="406"/>
    <n v="118"/>
    <x v="1"/>
    <x v="18"/>
  </r>
  <r>
    <x v="14"/>
    <x v="426"/>
    <x v="186"/>
    <n v="76"/>
    <x v="2"/>
    <x v="0"/>
  </r>
  <r>
    <x v="14"/>
    <x v="427"/>
    <x v="308"/>
    <n v="108"/>
    <x v="2"/>
    <x v="22"/>
  </r>
  <r>
    <x v="14"/>
    <x v="278"/>
    <x v="407"/>
    <n v="119"/>
    <x v="2"/>
    <x v="2"/>
  </r>
  <r>
    <x v="14"/>
    <x v="428"/>
    <x v="408"/>
    <n v="92"/>
    <x v="1"/>
    <x v="0"/>
  </r>
  <r>
    <x v="14"/>
    <x v="429"/>
    <x v="186"/>
    <n v="72"/>
    <x v="1"/>
    <x v="0"/>
  </r>
  <r>
    <x v="15"/>
    <x v="430"/>
    <x v="409"/>
    <n v="99"/>
    <x v="0"/>
    <x v="12"/>
  </r>
  <r>
    <x v="15"/>
    <x v="431"/>
    <x v="398"/>
    <n v="67"/>
    <x v="2"/>
    <x v="0"/>
  </r>
  <r>
    <x v="15"/>
    <x v="432"/>
    <x v="149"/>
    <n v="25"/>
    <x v="0"/>
    <x v="0"/>
  </r>
  <r>
    <x v="15"/>
    <x v="433"/>
    <x v="410"/>
    <n v="109"/>
    <x v="0"/>
    <x v="0"/>
  </r>
  <r>
    <x v="15"/>
    <x v="434"/>
    <x v="302"/>
    <n v="59"/>
    <x v="2"/>
    <x v="0"/>
  </r>
  <r>
    <x v="15"/>
    <x v="435"/>
    <x v="43"/>
    <n v="70"/>
    <x v="0"/>
    <x v="5"/>
  </r>
  <r>
    <x v="15"/>
    <x v="436"/>
    <x v="411"/>
    <n v="102"/>
    <x v="2"/>
    <x v="21"/>
  </r>
  <r>
    <x v="15"/>
    <x v="437"/>
    <x v="347"/>
    <n v="95"/>
    <x v="0"/>
    <x v="21"/>
  </r>
  <r>
    <x v="15"/>
    <x v="267"/>
    <x v="400"/>
    <n v="39"/>
    <x v="2"/>
    <x v="0"/>
  </r>
  <r>
    <x v="15"/>
    <x v="438"/>
    <x v="412"/>
    <n v="103"/>
    <x v="1"/>
    <x v="0"/>
  </r>
  <r>
    <x v="15"/>
    <x v="266"/>
    <x v="413"/>
    <n v="35"/>
    <x v="1"/>
    <x v="0"/>
  </r>
  <r>
    <x v="15"/>
    <x v="314"/>
    <x v="179"/>
    <n v="16"/>
    <x v="0"/>
    <x v="0"/>
  </r>
  <r>
    <x v="15"/>
    <x v="406"/>
    <x v="105"/>
    <n v="7"/>
    <x v="2"/>
    <x v="0"/>
  </r>
  <r>
    <x v="15"/>
    <x v="0"/>
    <x v="414"/>
    <n v="87"/>
    <x v="1"/>
    <x v="22"/>
  </r>
  <r>
    <x v="15"/>
    <x v="297"/>
    <x v="415"/>
    <n v="35"/>
    <x v="0"/>
    <x v="0"/>
  </r>
  <r>
    <x v="15"/>
    <x v="439"/>
    <x v="416"/>
    <n v="107"/>
    <x v="0"/>
    <x v="0"/>
  </r>
  <r>
    <x v="15"/>
    <x v="440"/>
    <x v="417"/>
    <n v="107"/>
    <x v="1"/>
    <x v="5"/>
  </r>
  <r>
    <x v="15"/>
    <x v="441"/>
    <x v="416"/>
    <n v="7"/>
    <x v="2"/>
    <x v="0"/>
  </r>
  <r>
    <x v="15"/>
    <x v="442"/>
    <x v="278"/>
    <n v="66"/>
    <x v="2"/>
    <x v="4"/>
  </r>
  <r>
    <x v="15"/>
    <x v="40"/>
    <x v="114"/>
    <n v="100"/>
    <x v="1"/>
    <x v="19"/>
  </r>
  <r>
    <x v="15"/>
    <x v="443"/>
    <x v="418"/>
    <n v="24"/>
    <x v="2"/>
    <x v="0"/>
  </r>
  <r>
    <x v="15"/>
    <x v="444"/>
    <x v="419"/>
    <n v="87"/>
    <x v="2"/>
    <x v="6"/>
  </r>
  <r>
    <x v="15"/>
    <x v="445"/>
    <x v="420"/>
    <n v="56"/>
    <x v="2"/>
    <x v="0"/>
  </r>
  <r>
    <x v="15"/>
    <x v="345"/>
    <x v="421"/>
    <n v="24"/>
    <x v="0"/>
    <x v="23"/>
  </r>
  <r>
    <x v="15"/>
    <x v="101"/>
    <x v="223"/>
    <n v="117"/>
    <x v="2"/>
    <x v="13"/>
  </r>
  <r>
    <x v="15"/>
    <x v="446"/>
    <x v="422"/>
    <n v="74"/>
    <x v="1"/>
    <x v="20"/>
  </r>
  <r>
    <x v="15"/>
    <x v="84"/>
    <x v="134"/>
    <n v="65"/>
    <x v="2"/>
    <x v="2"/>
  </r>
  <r>
    <x v="15"/>
    <x v="441"/>
    <x v="102"/>
    <n v="49"/>
    <x v="0"/>
    <x v="0"/>
  </r>
  <r>
    <x v="15"/>
    <x v="447"/>
    <x v="423"/>
    <n v="109"/>
    <x v="1"/>
    <x v="5"/>
  </r>
  <r>
    <x v="15"/>
    <x v="448"/>
    <x v="421"/>
    <n v="33"/>
    <x v="0"/>
    <x v="23"/>
  </r>
  <r>
    <x v="15"/>
    <x v="449"/>
    <x v="424"/>
    <n v="57"/>
    <x v="2"/>
    <x v="0"/>
  </r>
  <r>
    <x v="16"/>
    <x v="216"/>
    <x v="425"/>
    <n v="20"/>
    <x v="2"/>
    <x v="8"/>
  </r>
  <r>
    <x v="16"/>
    <x v="450"/>
    <x v="67"/>
    <n v="74"/>
    <x v="2"/>
    <x v="0"/>
  </r>
  <r>
    <x v="16"/>
    <x v="451"/>
    <x v="426"/>
    <n v="11"/>
    <x v="2"/>
    <x v="6"/>
  </r>
  <r>
    <x v="16"/>
    <x v="276"/>
    <x v="364"/>
    <n v="74"/>
    <x v="1"/>
    <x v="2"/>
  </r>
  <r>
    <x v="16"/>
    <x v="452"/>
    <x v="427"/>
    <n v="117"/>
    <x v="1"/>
    <x v="18"/>
  </r>
  <r>
    <x v="16"/>
    <x v="453"/>
    <x v="428"/>
    <n v="73"/>
    <x v="0"/>
    <x v="0"/>
  </r>
  <r>
    <x v="16"/>
    <x v="112"/>
    <x v="429"/>
    <n v="48"/>
    <x v="1"/>
    <x v="11"/>
  </r>
  <r>
    <x v="16"/>
    <x v="454"/>
    <x v="430"/>
    <n v="86"/>
    <x v="0"/>
    <x v="0"/>
  </r>
  <r>
    <x v="16"/>
    <x v="455"/>
    <x v="199"/>
    <n v="24"/>
    <x v="2"/>
    <x v="17"/>
  </r>
  <r>
    <x v="16"/>
    <x v="456"/>
    <x v="76"/>
    <n v="13"/>
    <x v="2"/>
    <x v="3"/>
  </r>
  <r>
    <x v="16"/>
    <x v="457"/>
    <x v="38"/>
    <n v="39"/>
    <x v="1"/>
    <x v="11"/>
  </r>
  <r>
    <x v="16"/>
    <x v="244"/>
    <x v="26"/>
    <n v="80"/>
    <x v="1"/>
    <x v="9"/>
  </r>
  <r>
    <x v="16"/>
    <x v="458"/>
    <x v="406"/>
    <n v="53"/>
    <x v="0"/>
    <x v="18"/>
  </r>
  <r>
    <x v="16"/>
    <x v="459"/>
    <x v="431"/>
    <n v="36"/>
    <x v="2"/>
    <x v="13"/>
  </r>
  <r>
    <x v="16"/>
    <x v="460"/>
    <x v="96"/>
    <n v="88"/>
    <x v="1"/>
    <x v="23"/>
  </r>
  <r>
    <x v="16"/>
    <x v="461"/>
    <x v="86"/>
    <n v="90"/>
    <x v="2"/>
    <x v="23"/>
  </r>
  <r>
    <x v="16"/>
    <x v="12"/>
    <x v="432"/>
    <n v="48"/>
    <x v="0"/>
    <x v="18"/>
  </r>
  <r>
    <x v="16"/>
    <x v="462"/>
    <x v="433"/>
    <n v="119"/>
    <x v="2"/>
    <x v="1"/>
  </r>
  <r>
    <x v="16"/>
    <x v="463"/>
    <x v="434"/>
    <n v="11"/>
    <x v="1"/>
    <x v="0"/>
  </r>
  <r>
    <x v="16"/>
    <x v="40"/>
    <x v="435"/>
    <n v="39"/>
    <x v="1"/>
    <x v="20"/>
  </r>
  <r>
    <x v="16"/>
    <x v="183"/>
    <x v="354"/>
    <n v="58"/>
    <x v="1"/>
    <x v="7"/>
  </r>
  <r>
    <x v="16"/>
    <x v="464"/>
    <x v="436"/>
    <n v="10"/>
    <x v="0"/>
    <x v="15"/>
  </r>
  <r>
    <x v="16"/>
    <x v="465"/>
    <x v="437"/>
    <n v="120"/>
    <x v="0"/>
    <x v="22"/>
  </r>
  <r>
    <x v="16"/>
    <x v="239"/>
    <x v="438"/>
    <n v="41"/>
    <x v="0"/>
    <x v="14"/>
  </r>
  <r>
    <x v="16"/>
    <x v="466"/>
    <x v="439"/>
    <n v="34"/>
    <x v="2"/>
    <x v="0"/>
  </r>
  <r>
    <x v="16"/>
    <x v="467"/>
    <x v="440"/>
    <n v="94"/>
    <x v="1"/>
    <x v="13"/>
  </r>
  <r>
    <x v="16"/>
    <x v="122"/>
    <x v="244"/>
    <n v="12"/>
    <x v="1"/>
    <x v="0"/>
  </r>
  <r>
    <x v="16"/>
    <x v="468"/>
    <x v="441"/>
    <n v="78"/>
    <x v="2"/>
    <x v="10"/>
  </r>
  <r>
    <x v="16"/>
    <x v="469"/>
    <x v="442"/>
    <n v="30"/>
    <x v="0"/>
    <x v="24"/>
  </r>
  <r>
    <x v="16"/>
    <x v="470"/>
    <x v="179"/>
    <n v="100"/>
    <x v="0"/>
    <x v="0"/>
  </r>
  <r>
    <x v="16"/>
    <x v="471"/>
    <x v="268"/>
    <n v="78"/>
    <x v="0"/>
    <x v="25"/>
  </r>
  <r>
    <x v="16"/>
    <x v="472"/>
    <x v="129"/>
    <n v="56"/>
    <x v="1"/>
    <x v="0"/>
  </r>
  <r>
    <x v="16"/>
    <x v="471"/>
    <x v="443"/>
    <n v="109"/>
    <x v="2"/>
    <x v="15"/>
  </r>
  <r>
    <x v="16"/>
    <x v="284"/>
    <x v="444"/>
    <n v="67"/>
    <x v="0"/>
    <x v="25"/>
  </r>
  <r>
    <x v="17"/>
    <x v="473"/>
    <x v="445"/>
    <n v="54"/>
    <x v="0"/>
    <x v="0"/>
  </r>
  <r>
    <x v="17"/>
    <x v="474"/>
    <x v="209"/>
    <n v="92"/>
    <x v="2"/>
    <x v="0"/>
  </r>
  <r>
    <x v="17"/>
    <x v="475"/>
    <x v="446"/>
    <n v="49"/>
    <x v="1"/>
    <x v="0"/>
  </r>
  <r>
    <x v="17"/>
    <x v="110"/>
    <x v="332"/>
    <n v="28"/>
    <x v="1"/>
    <x v="0"/>
  </r>
  <r>
    <x v="17"/>
    <x v="476"/>
    <x v="447"/>
    <n v="77"/>
    <x v="2"/>
    <x v="0"/>
  </r>
  <r>
    <x v="17"/>
    <x v="178"/>
    <x v="448"/>
    <n v="97"/>
    <x v="0"/>
    <x v="6"/>
  </r>
  <r>
    <x v="17"/>
    <x v="189"/>
    <x v="449"/>
    <n v="113"/>
    <x v="2"/>
    <x v="0"/>
  </r>
  <r>
    <x v="17"/>
    <x v="477"/>
    <x v="450"/>
    <n v="93"/>
    <x v="0"/>
    <x v="20"/>
  </r>
  <r>
    <x v="17"/>
    <x v="478"/>
    <x v="451"/>
    <n v="8"/>
    <x v="1"/>
    <x v="13"/>
  </r>
  <r>
    <x v="17"/>
    <x v="479"/>
    <x v="452"/>
    <n v="94"/>
    <x v="1"/>
    <x v="0"/>
  </r>
  <r>
    <x v="17"/>
    <x v="480"/>
    <x v="58"/>
    <n v="100"/>
    <x v="1"/>
    <x v="0"/>
  </r>
  <r>
    <x v="17"/>
    <x v="481"/>
    <x v="446"/>
    <n v="59"/>
    <x v="1"/>
    <x v="0"/>
  </r>
  <r>
    <x v="17"/>
    <x v="244"/>
    <x v="58"/>
    <n v="71"/>
    <x v="0"/>
    <x v="0"/>
  </r>
  <r>
    <x v="17"/>
    <x v="108"/>
    <x v="344"/>
    <n v="108"/>
    <x v="2"/>
    <x v="22"/>
  </r>
  <r>
    <x v="17"/>
    <x v="482"/>
    <x v="453"/>
    <n v="99"/>
    <x v="0"/>
    <x v="7"/>
  </r>
  <r>
    <x v="17"/>
    <x v="483"/>
    <x v="454"/>
    <n v="118"/>
    <x v="0"/>
    <x v="0"/>
  </r>
  <r>
    <x v="17"/>
    <x v="484"/>
    <x v="455"/>
    <n v="56"/>
    <x v="1"/>
    <x v="0"/>
  </r>
  <r>
    <x v="17"/>
    <x v="485"/>
    <x v="111"/>
    <n v="18"/>
    <x v="2"/>
    <x v="1"/>
  </r>
  <r>
    <x v="17"/>
    <x v="152"/>
    <x v="56"/>
    <n v="43"/>
    <x v="1"/>
    <x v="0"/>
  </r>
  <r>
    <x v="17"/>
    <x v="486"/>
    <x v="456"/>
    <n v="33"/>
    <x v="1"/>
    <x v="0"/>
  </r>
  <r>
    <x v="17"/>
    <x v="487"/>
    <x v="23"/>
    <n v="53"/>
    <x v="0"/>
    <x v="12"/>
  </r>
  <r>
    <x v="17"/>
    <x v="488"/>
    <x v="457"/>
    <n v="120"/>
    <x v="2"/>
    <x v="1"/>
  </r>
  <r>
    <x v="17"/>
    <x v="489"/>
    <x v="458"/>
    <n v="119"/>
    <x v="1"/>
    <x v="0"/>
  </r>
  <r>
    <x v="17"/>
    <x v="490"/>
    <x v="355"/>
    <n v="33"/>
    <x v="1"/>
    <x v="17"/>
  </r>
  <r>
    <x v="17"/>
    <x v="91"/>
    <x v="86"/>
    <n v="84"/>
    <x v="1"/>
    <x v="23"/>
  </r>
  <r>
    <x v="17"/>
    <x v="491"/>
    <x v="459"/>
    <n v="51"/>
    <x v="0"/>
    <x v="0"/>
  </r>
  <r>
    <x v="17"/>
    <x v="492"/>
    <x v="444"/>
    <n v="38"/>
    <x v="0"/>
    <x v="25"/>
  </r>
  <r>
    <x v="17"/>
    <x v="493"/>
    <x v="150"/>
    <n v="37"/>
    <x v="2"/>
    <x v="8"/>
  </r>
  <r>
    <x v="17"/>
    <x v="494"/>
    <x v="460"/>
    <n v="100"/>
    <x v="1"/>
    <x v="17"/>
  </r>
  <r>
    <x v="17"/>
    <x v="495"/>
    <x v="461"/>
    <n v="89"/>
    <x v="1"/>
    <x v="0"/>
  </r>
  <r>
    <x v="17"/>
    <x v="135"/>
    <x v="462"/>
    <n v="14"/>
    <x v="0"/>
    <x v="0"/>
  </r>
  <r>
    <x v="17"/>
    <x v="496"/>
    <x v="336"/>
    <n v="74"/>
    <x v="2"/>
    <x v="0"/>
  </r>
  <r>
    <x v="17"/>
    <x v="497"/>
    <x v="455"/>
    <n v="55"/>
    <x v="2"/>
    <x v="0"/>
  </r>
  <r>
    <x v="18"/>
    <x v="498"/>
    <x v="463"/>
    <n v="6"/>
    <x v="1"/>
    <x v="26"/>
  </r>
  <r>
    <x v="18"/>
    <x v="261"/>
    <x v="266"/>
    <n v="54"/>
    <x v="2"/>
    <x v="0"/>
  </r>
  <r>
    <x v="18"/>
    <x v="499"/>
    <x v="92"/>
    <n v="64"/>
    <x v="1"/>
    <x v="0"/>
  </r>
  <r>
    <x v="18"/>
    <x v="500"/>
    <x v="29"/>
    <n v="8"/>
    <x v="2"/>
    <x v="0"/>
  </r>
  <r>
    <x v="18"/>
    <x v="501"/>
    <x v="246"/>
    <n v="42"/>
    <x v="0"/>
    <x v="8"/>
  </r>
  <r>
    <x v="18"/>
    <x v="166"/>
    <x v="276"/>
    <n v="45"/>
    <x v="1"/>
    <x v="0"/>
  </r>
  <r>
    <x v="18"/>
    <x v="113"/>
    <x v="216"/>
    <n v="82"/>
    <x v="1"/>
    <x v="11"/>
  </r>
  <r>
    <x v="18"/>
    <x v="502"/>
    <x v="464"/>
    <n v="89"/>
    <x v="1"/>
    <x v="26"/>
  </r>
  <r>
    <x v="18"/>
    <x v="503"/>
    <x v="465"/>
    <n v="71"/>
    <x v="2"/>
    <x v="0"/>
  </r>
  <r>
    <x v="18"/>
    <x v="504"/>
    <x v="397"/>
    <n v="17"/>
    <x v="2"/>
    <x v="0"/>
  </r>
  <r>
    <x v="18"/>
    <x v="505"/>
    <x v="10"/>
    <n v="81"/>
    <x v="0"/>
    <x v="5"/>
  </r>
  <r>
    <x v="18"/>
    <x v="308"/>
    <x v="111"/>
    <n v="44"/>
    <x v="0"/>
    <x v="1"/>
  </r>
  <r>
    <x v="18"/>
    <x v="75"/>
    <x v="466"/>
    <n v="24"/>
    <x v="1"/>
    <x v="0"/>
  </r>
  <r>
    <x v="18"/>
    <x v="506"/>
    <x v="35"/>
    <n v="15"/>
    <x v="2"/>
    <x v="13"/>
  </r>
  <r>
    <x v="18"/>
    <x v="442"/>
    <x v="215"/>
    <n v="100"/>
    <x v="1"/>
    <x v="0"/>
  </r>
  <r>
    <x v="18"/>
    <x v="108"/>
    <x v="467"/>
    <n v="107"/>
    <x v="0"/>
    <x v="0"/>
  </r>
  <r>
    <x v="18"/>
    <x v="507"/>
    <x v="467"/>
    <n v="100"/>
    <x v="2"/>
    <x v="0"/>
  </r>
  <r>
    <x v="18"/>
    <x v="434"/>
    <x v="281"/>
    <n v="12"/>
    <x v="2"/>
    <x v="12"/>
  </r>
  <r>
    <x v="18"/>
    <x v="508"/>
    <x v="468"/>
    <n v="102"/>
    <x v="1"/>
    <x v="20"/>
  </r>
  <r>
    <x v="18"/>
    <x v="391"/>
    <x v="469"/>
    <n v="85"/>
    <x v="2"/>
    <x v="0"/>
  </r>
  <r>
    <x v="18"/>
    <x v="368"/>
    <x v="470"/>
    <n v="39"/>
    <x v="1"/>
    <x v="0"/>
  </r>
  <r>
    <x v="18"/>
    <x v="509"/>
    <x v="471"/>
    <n v="90"/>
    <x v="2"/>
    <x v="0"/>
  </r>
  <r>
    <x v="18"/>
    <x v="375"/>
    <x v="470"/>
    <n v="53"/>
    <x v="2"/>
    <x v="0"/>
  </r>
  <r>
    <x v="18"/>
    <x v="510"/>
    <x v="11"/>
    <n v="78"/>
    <x v="1"/>
    <x v="0"/>
  </r>
  <r>
    <x v="18"/>
    <x v="511"/>
    <x v="208"/>
    <n v="21"/>
    <x v="1"/>
    <x v="1"/>
  </r>
  <r>
    <x v="18"/>
    <x v="512"/>
    <x v="472"/>
    <n v="108"/>
    <x v="1"/>
    <x v="0"/>
  </r>
  <r>
    <x v="18"/>
    <x v="88"/>
    <x v="473"/>
    <n v="45"/>
    <x v="2"/>
    <x v="0"/>
  </r>
  <r>
    <x v="18"/>
    <x v="478"/>
    <x v="254"/>
    <n v="70"/>
    <x v="1"/>
    <x v="2"/>
  </r>
  <r>
    <x v="18"/>
    <x v="430"/>
    <x v="474"/>
    <n v="46"/>
    <x v="2"/>
    <x v="0"/>
  </r>
  <r>
    <x v="18"/>
    <x v="141"/>
    <x v="475"/>
    <n v="59"/>
    <x v="1"/>
    <x v="0"/>
  </r>
  <r>
    <x v="18"/>
    <x v="513"/>
    <x v="476"/>
    <n v="37"/>
    <x v="2"/>
    <x v="1"/>
  </r>
  <r>
    <x v="18"/>
    <x v="309"/>
    <x v="355"/>
    <n v="40"/>
    <x v="0"/>
    <x v="17"/>
  </r>
  <r>
    <x v="18"/>
    <x v="235"/>
    <x v="19"/>
    <n v="58"/>
    <x v="0"/>
    <x v="1"/>
  </r>
  <r>
    <x v="19"/>
    <x v="357"/>
    <x v="374"/>
    <n v="87"/>
    <x v="0"/>
    <x v="0"/>
  </r>
  <r>
    <x v="19"/>
    <x v="10"/>
    <x v="477"/>
    <n v="22"/>
    <x v="1"/>
    <x v="0"/>
  </r>
  <r>
    <x v="19"/>
    <x v="378"/>
    <x v="478"/>
    <n v="115"/>
    <x v="1"/>
    <x v="0"/>
  </r>
  <r>
    <x v="19"/>
    <x v="514"/>
    <x v="241"/>
    <n v="96"/>
    <x v="1"/>
    <x v="5"/>
  </r>
  <r>
    <x v="19"/>
    <x v="515"/>
    <x v="479"/>
    <n v="99"/>
    <x v="0"/>
    <x v="5"/>
  </r>
  <r>
    <x v="19"/>
    <x v="507"/>
    <x v="447"/>
    <n v="9"/>
    <x v="0"/>
    <x v="0"/>
  </r>
  <r>
    <x v="19"/>
    <x v="516"/>
    <x v="480"/>
    <n v="93"/>
    <x v="2"/>
    <x v="1"/>
  </r>
  <r>
    <x v="19"/>
    <x v="517"/>
    <x v="481"/>
    <n v="77"/>
    <x v="1"/>
    <x v="0"/>
  </r>
  <r>
    <x v="19"/>
    <x v="518"/>
    <x v="482"/>
    <n v="63"/>
    <x v="2"/>
    <x v="2"/>
  </r>
  <r>
    <x v="19"/>
    <x v="519"/>
    <x v="483"/>
    <n v="18"/>
    <x v="2"/>
    <x v="0"/>
  </r>
  <r>
    <x v="19"/>
    <x v="520"/>
    <x v="484"/>
    <n v="65"/>
    <x v="0"/>
    <x v="9"/>
  </r>
  <r>
    <x v="19"/>
    <x v="480"/>
    <x v="162"/>
    <n v="99"/>
    <x v="2"/>
    <x v="0"/>
  </r>
  <r>
    <x v="19"/>
    <x v="521"/>
    <x v="8"/>
    <n v="92"/>
    <x v="1"/>
    <x v="0"/>
  </r>
  <r>
    <x v="19"/>
    <x v="522"/>
    <x v="485"/>
    <n v="105"/>
    <x v="0"/>
    <x v="18"/>
  </r>
  <r>
    <x v="19"/>
    <x v="174"/>
    <x v="91"/>
    <n v="95"/>
    <x v="1"/>
    <x v="17"/>
  </r>
  <r>
    <x v="19"/>
    <x v="186"/>
    <x v="486"/>
    <n v="43"/>
    <x v="0"/>
    <x v="0"/>
  </r>
  <r>
    <x v="19"/>
    <x v="523"/>
    <x v="77"/>
    <n v="52"/>
    <x v="0"/>
    <x v="0"/>
  </r>
  <r>
    <x v="19"/>
    <x v="524"/>
    <x v="10"/>
    <n v="57"/>
    <x v="1"/>
    <x v="5"/>
  </r>
  <r>
    <x v="19"/>
    <x v="525"/>
    <x v="487"/>
    <n v="91"/>
    <x v="2"/>
    <x v="0"/>
  </r>
  <r>
    <x v="19"/>
    <x v="526"/>
    <x v="488"/>
    <n v="64"/>
    <x v="2"/>
    <x v="0"/>
  </r>
  <r>
    <x v="19"/>
    <x v="26"/>
    <x v="489"/>
    <n v="41"/>
    <x v="0"/>
    <x v="9"/>
  </r>
  <r>
    <x v="19"/>
    <x v="527"/>
    <x v="156"/>
    <n v="36"/>
    <x v="1"/>
    <x v="0"/>
  </r>
  <r>
    <x v="19"/>
    <x v="528"/>
    <x v="323"/>
    <n v="45"/>
    <x v="2"/>
    <x v="0"/>
  </r>
  <r>
    <x v="19"/>
    <x v="301"/>
    <x v="490"/>
    <n v="92"/>
    <x v="0"/>
    <x v="0"/>
  </r>
  <r>
    <x v="19"/>
    <x v="529"/>
    <x v="455"/>
    <n v="93"/>
    <x v="2"/>
    <x v="0"/>
  </r>
  <r>
    <x v="19"/>
    <x v="530"/>
    <x v="408"/>
    <n v="31"/>
    <x v="0"/>
    <x v="0"/>
  </r>
  <r>
    <x v="19"/>
    <x v="531"/>
    <x v="394"/>
    <n v="113"/>
    <x v="2"/>
    <x v="3"/>
  </r>
  <r>
    <x v="19"/>
    <x v="532"/>
    <x v="337"/>
    <n v="75"/>
    <x v="1"/>
    <x v="11"/>
  </r>
  <r>
    <x v="19"/>
    <x v="99"/>
    <x v="33"/>
    <n v="102"/>
    <x v="0"/>
    <x v="0"/>
  </r>
  <r>
    <x v="19"/>
    <x v="256"/>
    <x v="27"/>
    <n v="65"/>
    <x v="1"/>
    <x v="0"/>
  </r>
  <r>
    <x v="19"/>
    <x v="533"/>
    <x v="318"/>
    <n v="49"/>
    <x v="1"/>
    <x v="0"/>
  </r>
  <r>
    <x v="19"/>
    <x v="534"/>
    <x v="451"/>
    <n v="97"/>
    <x v="0"/>
    <x v="13"/>
  </r>
  <r>
    <x v="19"/>
    <x v="535"/>
    <x v="491"/>
    <n v="72"/>
    <x v="0"/>
    <x v="2"/>
  </r>
  <r>
    <x v="19"/>
    <x v="128"/>
    <x v="474"/>
    <n v="100"/>
    <x v="2"/>
    <x v="0"/>
  </r>
  <r>
    <x v="19"/>
    <x v="413"/>
    <x v="463"/>
    <n v="19"/>
    <x v="1"/>
    <x v="26"/>
  </r>
  <r>
    <x v="19"/>
    <x v="536"/>
    <x v="63"/>
    <n v="118"/>
    <x v="0"/>
    <x v="9"/>
  </r>
  <r>
    <x v="20"/>
    <x v="194"/>
    <x v="492"/>
    <n v="59"/>
    <x v="2"/>
    <x v="0"/>
  </r>
  <r>
    <x v="20"/>
    <x v="178"/>
    <x v="230"/>
    <n v="103"/>
    <x v="1"/>
    <x v="0"/>
  </r>
  <r>
    <x v="20"/>
    <x v="81"/>
    <x v="1"/>
    <n v="17"/>
    <x v="0"/>
    <x v="1"/>
  </r>
  <r>
    <x v="20"/>
    <x v="212"/>
    <x v="149"/>
    <n v="15"/>
    <x v="2"/>
    <x v="0"/>
  </r>
  <r>
    <x v="20"/>
    <x v="537"/>
    <x v="493"/>
    <n v="92"/>
    <x v="2"/>
    <x v="16"/>
  </r>
  <r>
    <x v="20"/>
    <x v="538"/>
    <x v="494"/>
    <n v="6"/>
    <x v="1"/>
    <x v="0"/>
  </r>
  <r>
    <x v="20"/>
    <x v="45"/>
    <x v="495"/>
    <n v="78"/>
    <x v="1"/>
    <x v="12"/>
  </r>
  <r>
    <x v="20"/>
    <x v="539"/>
    <x v="496"/>
    <n v="65"/>
    <x v="2"/>
    <x v="7"/>
  </r>
  <r>
    <x v="20"/>
    <x v="540"/>
    <x v="293"/>
    <n v="32"/>
    <x v="0"/>
    <x v="12"/>
  </r>
  <r>
    <x v="20"/>
    <x v="541"/>
    <x v="497"/>
    <n v="39"/>
    <x v="1"/>
    <x v="0"/>
  </r>
  <r>
    <x v="20"/>
    <x v="542"/>
    <x v="498"/>
    <n v="33"/>
    <x v="2"/>
    <x v="0"/>
  </r>
  <r>
    <x v="20"/>
    <x v="543"/>
    <x v="176"/>
    <n v="22"/>
    <x v="0"/>
    <x v="6"/>
  </r>
  <r>
    <x v="20"/>
    <x v="544"/>
    <x v="27"/>
    <n v="87"/>
    <x v="0"/>
    <x v="0"/>
  </r>
  <r>
    <x v="20"/>
    <x v="545"/>
    <x v="499"/>
    <n v="100"/>
    <x v="2"/>
    <x v="8"/>
  </r>
  <r>
    <x v="20"/>
    <x v="546"/>
    <x v="206"/>
    <n v="64"/>
    <x v="0"/>
    <x v="10"/>
  </r>
  <r>
    <x v="20"/>
    <x v="196"/>
    <x v="500"/>
    <n v="111"/>
    <x v="2"/>
    <x v="11"/>
  </r>
  <r>
    <x v="20"/>
    <x v="547"/>
    <x v="105"/>
    <n v="36"/>
    <x v="1"/>
    <x v="0"/>
  </r>
  <r>
    <x v="20"/>
    <x v="548"/>
    <x v="473"/>
    <n v="19"/>
    <x v="1"/>
    <x v="0"/>
  </r>
  <r>
    <x v="20"/>
    <x v="549"/>
    <x v="473"/>
    <n v="54"/>
    <x v="0"/>
    <x v="0"/>
  </r>
  <r>
    <x v="20"/>
    <x v="550"/>
    <x v="166"/>
    <n v="54"/>
    <x v="0"/>
    <x v="13"/>
  </r>
  <r>
    <x v="20"/>
    <x v="404"/>
    <x v="288"/>
    <n v="26"/>
    <x v="2"/>
    <x v="0"/>
  </r>
  <r>
    <x v="20"/>
    <x v="551"/>
    <x v="501"/>
    <n v="53"/>
    <x v="1"/>
    <x v="5"/>
  </r>
  <r>
    <x v="20"/>
    <x v="552"/>
    <x v="502"/>
    <n v="25"/>
    <x v="1"/>
    <x v="24"/>
  </r>
  <r>
    <x v="20"/>
    <x v="553"/>
    <x v="319"/>
    <n v="85"/>
    <x v="1"/>
    <x v="25"/>
  </r>
  <r>
    <x v="20"/>
    <x v="26"/>
    <x v="424"/>
    <n v="20"/>
    <x v="1"/>
    <x v="0"/>
  </r>
  <r>
    <x v="20"/>
    <x v="554"/>
    <x v="404"/>
    <n v="49"/>
    <x v="2"/>
    <x v="18"/>
  </r>
  <r>
    <x v="20"/>
    <x v="287"/>
    <x v="503"/>
    <n v="28"/>
    <x v="2"/>
    <x v="19"/>
  </r>
  <r>
    <x v="20"/>
    <x v="364"/>
    <x v="257"/>
    <n v="79"/>
    <x v="1"/>
    <x v="1"/>
  </r>
  <r>
    <x v="20"/>
    <x v="243"/>
    <x v="313"/>
    <n v="47"/>
    <x v="2"/>
    <x v="0"/>
  </r>
  <r>
    <x v="20"/>
    <x v="121"/>
    <x v="124"/>
    <n v="101"/>
    <x v="2"/>
    <x v="3"/>
  </r>
  <r>
    <x v="20"/>
    <x v="555"/>
    <x v="362"/>
    <n v="96"/>
    <x v="1"/>
    <x v="0"/>
  </r>
  <r>
    <x v="20"/>
    <x v="556"/>
    <x v="504"/>
    <n v="35"/>
    <x v="0"/>
    <x v="0"/>
  </r>
  <r>
    <x v="20"/>
    <x v="557"/>
    <x v="505"/>
    <n v="60"/>
    <x v="2"/>
    <x v="21"/>
  </r>
  <r>
    <x v="20"/>
    <x v="558"/>
    <x v="391"/>
    <n v="111"/>
    <x v="2"/>
    <x v="0"/>
  </r>
  <r>
    <x v="20"/>
    <x v="472"/>
    <x v="294"/>
    <n v="10"/>
    <x v="2"/>
    <x v="0"/>
  </r>
  <r>
    <x v="20"/>
    <x v="559"/>
    <x v="43"/>
    <n v="103"/>
    <x v="1"/>
    <x v="5"/>
  </r>
  <r>
    <x v="20"/>
    <x v="0"/>
    <x v="449"/>
    <n v="48"/>
    <x v="1"/>
    <x v="0"/>
  </r>
  <r>
    <x v="20"/>
    <x v="560"/>
    <x v="167"/>
    <n v="13"/>
    <x v="0"/>
    <x v="0"/>
  </r>
  <r>
    <x v="20"/>
    <x v="561"/>
    <x v="506"/>
    <n v="107"/>
    <x v="2"/>
    <x v="21"/>
  </r>
  <r>
    <x v="21"/>
    <x v="468"/>
    <x v="507"/>
    <n v="106"/>
    <x v="2"/>
    <x v="0"/>
  </r>
  <r>
    <x v="21"/>
    <x v="84"/>
    <x v="508"/>
    <n v="59"/>
    <x v="2"/>
    <x v="23"/>
  </r>
  <r>
    <x v="21"/>
    <x v="562"/>
    <x v="509"/>
    <n v="103"/>
    <x v="0"/>
    <x v="0"/>
  </r>
  <r>
    <x v="21"/>
    <x v="132"/>
    <x v="476"/>
    <n v="83"/>
    <x v="2"/>
    <x v="1"/>
  </r>
  <r>
    <x v="21"/>
    <x v="563"/>
    <x v="146"/>
    <n v="97"/>
    <x v="0"/>
    <x v="0"/>
  </r>
  <r>
    <x v="21"/>
    <x v="292"/>
    <x v="35"/>
    <n v="18"/>
    <x v="0"/>
    <x v="13"/>
  </r>
  <r>
    <x v="21"/>
    <x v="564"/>
    <x v="510"/>
    <n v="80"/>
    <x v="2"/>
    <x v="0"/>
  </r>
  <r>
    <x v="21"/>
    <x v="448"/>
    <x v="327"/>
    <n v="53"/>
    <x v="0"/>
    <x v="25"/>
  </r>
  <r>
    <x v="21"/>
    <x v="565"/>
    <x v="511"/>
    <n v="69"/>
    <x v="1"/>
    <x v="0"/>
  </r>
  <r>
    <x v="21"/>
    <x v="566"/>
    <x v="512"/>
    <n v="83"/>
    <x v="2"/>
    <x v="9"/>
  </r>
  <r>
    <x v="21"/>
    <x v="154"/>
    <x v="181"/>
    <n v="96"/>
    <x v="2"/>
    <x v="1"/>
  </r>
  <r>
    <x v="21"/>
    <x v="567"/>
    <x v="464"/>
    <n v="61"/>
    <x v="2"/>
    <x v="26"/>
  </r>
  <r>
    <x v="21"/>
    <x v="283"/>
    <x v="44"/>
    <n v="72"/>
    <x v="0"/>
    <x v="0"/>
  </r>
  <r>
    <x v="21"/>
    <x v="568"/>
    <x v="513"/>
    <n v="116"/>
    <x v="0"/>
    <x v="0"/>
  </r>
  <r>
    <x v="21"/>
    <x v="263"/>
    <x v="514"/>
    <n v="51"/>
    <x v="1"/>
    <x v="22"/>
  </r>
  <r>
    <x v="21"/>
    <x v="20"/>
    <x v="171"/>
    <n v="6"/>
    <x v="2"/>
    <x v="6"/>
  </r>
  <r>
    <x v="21"/>
    <x v="569"/>
    <x v="515"/>
    <n v="65"/>
    <x v="1"/>
    <x v="19"/>
  </r>
  <r>
    <x v="21"/>
    <x v="570"/>
    <x v="516"/>
    <n v="88"/>
    <x v="0"/>
    <x v="12"/>
  </r>
  <r>
    <x v="21"/>
    <x v="482"/>
    <x v="517"/>
    <n v="92"/>
    <x v="0"/>
    <x v="0"/>
  </r>
  <r>
    <x v="21"/>
    <x v="571"/>
    <x v="518"/>
    <n v="43"/>
    <x v="1"/>
    <x v="0"/>
  </r>
  <r>
    <x v="21"/>
    <x v="572"/>
    <x v="519"/>
    <n v="84"/>
    <x v="2"/>
    <x v="0"/>
  </r>
  <r>
    <x v="21"/>
    <x v="99"/>
    <x v="228"/>
    <n v="79"/>
    <x v="2"/>
    <x v="0"/>
  </r>
  <r>
    <x v="21"/>
    <x v="205"/>
    <x v="66"/>
    <n v="60"/>
    <x v="2"/>
    <x v="0"/>
  </r>
  <r>
    <x v="21"/>
    <x v="573"/>
    <x v="520"/>
    <n v="33"/>
    <x v="0"/>
    <x v="12"/>
  </r>
  <r>
    <x v="21"/>
    <x v="574"/>
    <x v="521"/>
    <n v="26"/>
    <x v="1"/>
    <x v="0"/>
  </r>
  <r>
    <x v="21"/>
    <x v="67"/>
    <x v="383"/>
    <n v="10"/>
    <x v="0"/>
    <x v="0"/>
  </r>
  <r>
    <x v="21"/>
    <x v="357"/>
    <x v="522"/>
    <n v="52"/>
    <x v="2"/>
    <x v="0"/>
  </r>
  <r>
    <x v="21"/>
    <x v="575"/>
    <x v="468"/>
    <n v="107"/>
    <x v="1"/>
    <x v="20"/>
  </r>
  <r>
    <x v="21"/>
    <x v="576"/>
    <x v="523"/>
    <n v="87"/>
    <x v="0"/>
    <x v="21"/>
  </r>
  <r>
    <x v="21"/>
    <x v="287"/>
    <x v="524"/>
    <n v="55"/>
    <x v="0"/>
    <x v="15"/>
  </r>
  <r>
    <x v="21"/>
    <x v="437"/>
    <x v="160"/>
    <n v="24"/>
    <x v="1"/>
    <x v="22"/>
  </r>
  <r>
    <x v="21"/>
    <x v="531"/>
    <x v="272"/>
    <n v="113"/>
    <x v="2"/>
    <x v="0"/>
  </r>
  <r>
    <x v="21"/>
    <x v="577"/>
    <x v="480"/>
    <n v="21"/>
    <x v="1"/>
    <x v="1"/>
  </r>
  <r>
    <x v="21"/>
    <x v="98"/>
    <x v="98"/>
    <n v="60"/>
    <x v="0"/>
    <x v="20"/>
  </r>
  <r>
    <x v="21"/>
    <x v="578"/>
    <x v="525"/>
    <n v="64"/>
    <x v="0"/>
    <x v="21"/>
  </r>
  <r>
    <x v="21"/>
    <x v="579"/>
    <x v="80"/>
    <n v="8"/>
    <x v="1"/>
    <x v="20"/>
  </r>
  <r>
    <x v="21"/>
    <x v="580"/>
    <x v="526"/>
    <n v="18"/>
    <x v="1"/>
    <x v="0"/>
  </r>
  <r>
    <x v="21"/>
    <x v="569"/>
    <x v="527"/>
    <n v="21"/>
    <x v="0"/>
    <x v="19"/>
  </r>
  <r>
    <x v="21"/>
    <x v="139"/>
    <x v="409"/>
    <n v="22"/>
    <x v="1"/>
    <x v="12"/>
  </r>
  <r>
    <x v="21"/>
    <x v="581"/>
    <x v="528"/>
    <n v="22"/>
    <x v="1"/>
    <x v="26"/>
  </r>
  <r>
    <x v="21"/>
    <x v="582"/>
    <x v="12"/>
    <n v="34"/>
    <x v="0"/>
    <x v="6"/>
  </r>
  <r>
    <x v="21"/>
    <x v="95"/>
    <x v="329"/>
    <n v="14"/>
    <x v="1"/>
    <x v="19"/>
  </r>
  <r>
    <x v="21"/>
    <x v="510"/>
    <x v="529"/>
    <n v="67"/>
    <x v="1"/>
    <x v="17"/>
  </r>
  <r>
    <x v="21"/>
    <x v="36"/>
    <x v="530"/>
    <n v="67"/>
    <x v="1"/>
    <x v="9"/>
  </r>
  <r>
    <x v="21"/>
    <x v="583"/>
    <x v="531"/>
    <n v="39"/>
    <x v="0"/>
    <x v="0"/>
  </r>
  <r>
    <x v="21"/>
    <x v="477"/>
    <x v="314"/>
    <n v="76"/>
    <x v="2"/>
    <x v="0"/>
  </r>
  <r>
    <x v="21"/>
    <x v="99"/>
    <x v="481"/>
    <n v="59"/>
    <x v="1"/>
    <x v="0"/>
  </r>
  <r>
    <x v="21"/>
    <x v="214"/>
    <x v="267"/>
    <n v="78"/>
    <x v="0"/>
    <x v="8"/>
  </r>
  <r>
    <x v="22"/>
    <x v="360"/>
    <x v="368"/>
    <n v="26"/>
    <x v="2"/>
    <x v="0"/>
  </r>
  <r>
    <x v="22"/>
    <x v="584"/>
    <x v="532"/>
    <n v="36"/>
    <x v="1"/>
    <x v="0"/>
  </r>
  <r>
    <x v="22"/>
    <x v="585"/>
    <x v="533"/>
    <n v="28"/>
    <x v="0"/>
    <x v="12"/>
  </r>
  <r>
    <x v="22"/>
    <x v="216"/>
    <x v="365"/>
    <n v="31"/>
    <x v="2"/>
    <x v="4"/>
  </r>
  <r>
    <x v="22"/>
    <x v="586"/>
    <x v="534"/>
    <n v="39"/>
    <x v="1"/>
    <x v="7"/>
  </r>
  <r>
    <x v="22"/>
    <x v="587"/>
    <x v="288"/>
    <n v="72"/>
    <x v="0"/>
    <x v="0"/>
  </r>
  <r>
    <x v="22"/>
    <x v="588"/>
    <x v="535"/>
    <n v="46"/>
    <x v="2"/>
    <x v="2"/>
  </r>
  <r>
    <x v="22"/>
    <x v="392"/>
    <x v="394"/>
    <n v="91"/>
    <x v="2"/>
    <x v="3"/>
  </r>
  <r>
    <x v="22"/>
    <x v="589"/>
    <x v="536"/>
    <n v="104"/>
    <x v="2"/>
    <x v="0"/>
  </r>
  <r>
    <x v="22"/>
    <x v="102"/>
    <x v="537"/>
    <n v="48"/>
    <x v="1"/>
    <x v="0"/>
  </r>
  <r>
    <x v="22"/>
    <x v="526"/>
    <x v="384"/>
    <n v="109"/>
    <x v="0"/>
    <x v="10"/>
  </r>
  <r>
    <x v="22"/>
    <x v="590"/>
    <x v="538"/>
    <n v="53"/>
    <x v="0"/>
    <x v="0"/>
  </r>
  <r>
    <x v="22"/>
    <x v="591"/>
    <x v="539"/>
    <n v="73"/>
    <x v="1"/>
    <x v="16"/>
  </r>
  <r>
    <x v="22"/>
    <x v="200"/>
    <x v="389"/>
    <n v="101"/>
    <x v="0"/>
    <x v="13"/>
  </r>
  <r>
    <x v="22"/>
    <x v="592"/>
    <x v="344"/>
    <n v="33"/>
    <x v="1"/>
    <x v="22"/>
  </r>
  <r>
    <x v="22"/>
    <x v="593"/>
    <x v="142"/>
    <n v="6"/>
    <x v="2"/>
    <x v="5"/>
  </r>
  <r>
    <x v="22"/>
    <x v="486"/>
    <x v="413"/>
    <n v="87"/>
    <x v="0"/>
    <x v="0"/>
  </r>
  <r>
    <x v="22"/>
    <x v="594"/>
    <x v="446"/>
    <n v="53"/>
    <x v="2"/>
    <x v="0"/>
  </r>
  <r>
    <x v="22"/>
    <x v="431"/>
    <x v="540"/>
    <n v="112"/>
    <x v="0"/>
    <x v="17"/>
  </r>
  <r>
    <x v="22"/>
    <x v="387"/>
    <x v="541"/>
    <n v="15"/>
    <x v="2"/>
    <x v="24"/>
  </r>
  <r>
    <x v="22"/>
    <x v="49"/>
    <x v="542"/>
    <n v="56"/>
    <x v="1"/>
    <x v="0"/>
  </r>
  <r>
    <x v="22"/>
    <x v="595"/>
    <x v="318"/>
    <n v="66"/>
    <x v="1"/>
    <x v="0"/>
  </r>
  <r>
    <x v="22"/>
    <x v="268"/>
    <x v="543"/>
    <n v="111"/>
    <x v="1"/>
    <x v="0"/>
  </r>
  <r>
    <x v="22"/>
    <x v="596"/>
    <x v="544"/>
    <n v="28"/>
    <x v="0"/>
    <x v="10"/>
  </r>
  <r>
    <x v="22"/>
    <x v="267"/>
    <x v="545"/>
    <n v="88"/>
    <x v="2"/>
    <x v="0"/>
  </r>
  <r>
    <x v="22"/>
    <x v="597"/>
    <x v="35"/>
    <n v="22"/>
    <x v="0"/>
    <x v="13"/>
  </r>
  <r>
    <x v="22"/>
    <x v="598"/>
    <x v="546"/>
    <n v="114"/>
    <x v="1"/>
    <x v="7"/>
  </r>
  <r>
    <x v="22"/>
    <x v="599"/>
    <x v="547"/>
    <n v="90"/>
    <x v="1"/>
    <x v="19"/>
  </r>
  <r>
    <x v="22"/>
    <x v="600"/>
    <x v="481"/>
    <n v="85"/>
    <x v="1"/>
    <x v="0"/>
  </r>
  <r>
    <x v="22"/>
    <x v="44"/>
    <x v="548"/>
    <n v="82"/>
    <x v="1"/>
    <x v="3"/>
  </r>
  <r>
    <x v="22"/>
    <x v="601"/>
    <x v="549"/>
    <n v="103"/>
    <x v="2"/>
    <x v="0"/>
  </r>
  <r>
    <x v="22"/>
    <x v="602"/>
    <x v="550"/>
    <n v="117"/>
    <x v="0"/>
    <x v="0"/>
  </r>
  <r>
    <x v="22"/>
    <x v="603"/>
    <x v="496"/>
    <n v="102"/>
    <x v="2"/>
    <x v="7"/>
  </r>
  <r>
    <x v="23"/>
    <x v="604"/>
    <x v="551"/>
    <n v="61"/>
    <x v="0"/>
    <x v="0"/>
  </r>
  <r>
    <x v="23"/>
    <x v="605"/>
    <x v="187"/>
    <n v="42"/>
    <x v="2"/>
    <x v="10"/>
  </r>
  <r>
    <x v="23"/>
    <x v="606"/>
    <x v="552"/>
    <n v="86"/>
    <x v="0"/>
    <x v="18"/>
  </r>
  <r>
    <x v="23"/>
    <x v="9"/>
    <x v="34"/>
    <n v="10"/>
    <x v="0"/>
    <x v="14"/>
  </r>
  <r>
    <x v="23"/>
    <x v="607"/>
    <x v="553"/>
    <n v="23"/>
    <x v="1"/>
    <x v="4"/>
  </r>
  <r>
    <x v="23"/>
    <x v="608"/>
    <x v="316"/>
    <n v="89"/>
    <x v="1"/>
    <x v="10"/>
  </r>
  <r>
    <x v="23"/>
    <x v="609"/>
    <x v="554"/>
    <n v="18"/>
    <x v="0"/>
    <x v="0"/>
  </r>
  <r>
    <x v="23"/>
    <x v="610"/>
    <x v="514"/>
    <n v="41"/>
    <x v="2"/>
    <x v="22"/>
  </r>
  <r>
    <x v="23"/>
    <x v="512"/>
    <x v="555"/>
    <n v="97"/>
    <x v="1"/>
    <x v="17"/>
  </r>
  <r>
    <x v="23"/>
    <x v="611"/>
    <x v="344"/>
    <n v="78"/>
    <x v="0"/>
    <x v="22"/>
  </r>
  <r>
    <x v="23"/>
    <x v="612"/>
    <x v="441"/>
    <n v="116"/>
    <x v="0"/>
    <x v="10"/>
  </r>
  <r>
    <x v="23"/>
    <x v="47"/>
    <x v="556"/>
    <n v="62"/>
    <x v="1"/>
    <x v="0"/>
  </r>
  <r>
    <x v="23"/>
    <x v="613"/>
    <x v="549"/>
    <n v="43"/>
    <x v="0"/>
    <x v="0"/>
  </r>
  <r>
    <x v="23"/>
    <x v="291"/>
    <x v="557"/>
    <n v="104"/>
    <x v="0"/>
    <x v="0"/>
  </r>
  <r>
    <x v="23"/>
    <x v="453"/>
    <x v="258"/>
    <n v="109"/>
    <x v="0"/>
    <x v="0"/>
  </r>
  <r>
    <x v="23"/>
    <x v="614"/>
    <x v="389"/>
    <n v="12"/>
    <x v="0"/>
    <x v="13"/>
  </r>
  <r>
    <x v="23"/>
    <x v="326"/>
    <x v="554"/>
    <n v="21"/>
    <x v="1"/>
    <x v="0"/>
  </r>
  <r>
    <x v="23"/>
    <x v="615"/>
    <x v="323"/>
    <n v="117"/>
    <x v="2"/>
    <x v="0"/>
  </r>
  <r>
    <x v="23"/>
    <x v="616"/>
    <x v="222"/>
    <n v="42"/>
    <x v="0"/>
    <x v="0"/>
  </r>
  <r>
    <x v="23"/>
    <x v="617"/>
    <x v="29"/>
    <n v="104"/>
    <x v="0"/>
    <x v="0"/>
  </r>
  <r>
    <x v="23"/>
    <x v="618"/>
    <x v="271"/>
    <n v="19"/>
    <x v="0"/>
    <x v="0"/>
  </r>
  <r>
    <x v="23"/>
    <x v="619"/>
    <x v="4"/>
    <n v="26"/>
    <x v="1"/>
    <x v="3"/>
  </r>
  <r>
    <x v="23"/>
    <x v="620"/>
    <x v="558"/>
    <n v="59"/>
    <x v="1"/>
    <x v="0"/>
  </r>
  <r>
    <x v="23"/>
    <x v="245"/>
    <x v="292"/>
    <n v="88"/>
    <x v="1"/>
    <x v="25"/>
  </r>
  <r>
    <x v="23"/>
    <x v="621"/>
    <x v="559"/>
    <n v="14"/>
    <x v="2"/>
    <x v="9"/>
  </r>
  <r>
    <x v="23"/>
    <x v="510"/>
    <x v="560"/>
    <n v="14"/>
    <x v="2"/>
    <x v="0"/>
  </r>
  <r>
    <x v="24"/>
    <x v="197"/>
    <x v="561"/>
    <n v="70"/>
    <x v="2"/>
    <x v="0"/>
  </r>
  <r>
    <x v="24"/>
    <x v="622"/>
    <x v="562"/>
    <n v="98"/>
    <x v="2"/>
    <x v="19"/>
  </r>
  <r>
    <x v="24"/>
    <x v="144"/>
    <x v="563"/>
    <n v="12"/>
    <x v="2"/>
    <x v="0"/>
  </r>
  <r>
    <x v="24"/>
    <x v="623"/>
    <x v="134"/>
    <n v="95"/>
    <x v="0"/>
    <x v="2"/>
  </r>
  <r>
    <x v="24"/>
    <x v="624"/>
    <x v="88"/>
    <n v="5"/>
    <x v="2"/>
    <x v="0"/>
  </r>
  <r>
    <x v="24"/>
    <x v="625"/>
    <x v="371"/>
    <n v="20"/>
    <x v="1"/>
    <x v="13"/>
  </r>
  <r>
    <x v="24"/>
    <x v="626"/>
    <x v="144"/>
    <n v="98"/>
    <x v="0"/>
    <x v="0"/>
  </r>
  <r>
    <x v="24"/>
    <x v="254"/>
    <x v="564"/>
    <n v="83"/>
    <x v="2"/>
    <x v="0"/>
  </r>
  <r>
    <x v="24"/>
    <x v="627"/>
    <x v="530"/>
    <n v="14"/>
    <x v="1"/>
    <x v="9"/>
  </r>
  <r>
    <x v="24"/>
    <x v="377"/>
    <x v="565"/>
    <n v="45"/>
    <x v="0"/>
    <x v="21"/>
  </r>
  <r>
    <x v="24"/>
    <x v="628"/>
    <x v="566"/>
    <n v="62"/>
    <x v="0"/>
    <x v="0"/>
  </r>
  <r>
    <x v="24"/>
    <x v="629"/>
    <x v="567"/>
    <n v="60"/>
    <x v="0"/>
    <x v="19"/>
  </r>
  <r>
    <x v="24"/>
    <x v="515"/>
    <x v="445"/>
    <n v="71"/>
    <x v="1"/>
    <x v="0"/>
  </r>
  <r>
    <x v="24"/>
    <x v="508"/>
    <x v="157"/>
    <n v="53"/>
    <x v="2"/>
    <x v="0"/>
  </r>
  <r>
    <x v="24"/>
    <x v="447"/>
    <x v="149"/>
    <n v="116"/>
    <x v="2"/>
    <x v="0"/>
  </r>
  <r>
    <x v="24"/>
    <x v="630"/>
    <x v="492"/>
    <n v="32"/>
    <x v="1"/>
    <x v="0"/>
  </r>
  <r>
    <x v="24"/>
    <x v="631"/>
    <x v="568"/>
    <n v="31"/>
    <x v="1"/>
    <x v="0"/>
  </r>
  <r>
    <x v="24"/>
    <x v="632"/>
    <x v="569"/>
    <n v="100"/>
    <x v="1"/>
    <x v="0"/>
  </r>
  <r>
    <x v="24"/>
    <x v="28"/>
    <x v="570"/>
    <n v="119"/>
    <x v="0"/>
    <x v="0"/>
  </r>
  <r>
    <x v="24"/>
    <x v="633"/>
    <x v="122"/>
    <n v="39"/>
    <x v="1"/>
    <x v="0"/>
  </r>
  <r>
    <x v="24"/>
    <x v="634"/>
    <x v="571"/>
    <n v="81"/>
    <x v="0"/>
    <x v="3"/>
  </r>
  <r>
    <x v="24"/>
    <x v="635"/>
    <x v="463"/>
    <n v="114"/>
    <x v="2"/>
    <x v="26"/>
  </r>
  <r>
    <x v="24"/>
    <x v="636"/>
    <x v="115"/>
    <n v="43"/>
    <x v="2"/>
    <x v="23"/>
  </r>
  <r>
    <x v="24"/>
    <x v="404"/>
    <x v="32"/>
    <n v="65"/>
    <x v="0"/>
    <x v="10"/>
  </r>
  <r>
    <x v="24"/>
    <x v="437"/>
    <x v="442"/>
    <n v="107"/>
    <x v="2"/>
    <x v="24"/>
  </r>
  <r>
    <x v="24"/>
    <x v="637"/>
    <x v="572"/>
    <n v="14"/>
    <x v="2"/>
    <x v="0"/>
  </r>
  <r>
    <x v="24"/>
    <x v="638"/>
    <x v="573"/>
    <n v="49"/>
    <x v="1"/>
    <x v="0"/>
  </r>
  <r>
    <x v="24"/>
    <x v="639"/>
    <x v="34"/>
    <n v="107"/>
    <x v="2"/>
    <x v="14"/>
  </r>
  <r>
    <x v="24"/>
    <x v="640"/>
    <x v="574"/>
    <n v="57"/>
    <x v="0"/>
    <x v="0"/>
  </r>
  <r>
    <x v="24"/>
    <x v="326"/>
    <x v="575"/>
    <n v="27"/>
    <x v="1"/>
    <x v="14"/>
  </r>
  <r>
    <x v="24"/>
    <x v="641"/>
    <x v="576"/>
    <n v="83"/>
    <x v="0"/>
    <x v="0"/>
  </r>
  <r>
    <x v="25"/>
    <x v="444"/>
    <x v="50"/>
    <n v="71"/>
    <x v="1"/>
    <x v="13"/>
  </r>
  <r>
    <x v="25"/>
    <x v="369"/>
    <x v="503"/>
    <n v="36"/>
    <x v="1"/>
    <x v="19"/>
  </r>
  <r>
    <x v="25"/>
    <x v="642"/>
    <x v="12"/>
    <n v="86"/>
    <x v="1"/>
    <x v="6"/>
  </r>
  <r>
    <x v="25"/>
    <x v="643"/>
    <x v="577"/>
    <n v="120"/>
    <x v="1"/>
    <x v="0"/>
  </r>
  <r>
    <x v="25"/>
    <x v="320"/>
    <x v="63"/>
    <n v="6"/>
    <x v="1"/>
    <x v="9"/>
  </r>
  <r>
    <x v="25"/>
    <x v="644"/>
    <x v="249"/>
    <n v="104"/>
    <x v="0"/>
    <x v="20"/>
  </r>
  <r>
    <x v="25"/>
    <x v="280"/>
    <x v="144"/>
    <n v="45"/>
    <x v="1"/>
    <x v="0"/>
  </r>
  <r>
    <x v="25"/>
    <x v="350"/>
    <x v="578"/>
    <n v="44"/>
    <x v="1"/>
    <x v="1"/>
  </r>
  <r>
    <x v="25"/>
    <x v="318"/>
    <x v="579"/>
    <n v="38"/>
    <x v="2"/>
    <x v="25"/>
  </r>
  <r>
    <x v="25"/>
    <x v="645"/>
    <x v="580"/>
    <n v="117"/>
    <x v="1"/>
    <x v="0"/>
  </r>
  <r>
    <x v="25"/>
    <x v="646"/>
    <x v="256"/>
    <n v="14"/>
    <x v="1"/>
    <x v="0"/>
  </r>
  <r>
    <x v="25"/>
    <x v="647"/>
    <x v="581"/>
    <n v="50"/>
    <x v="0"/>
    <x v="0"/>
  </r>
  <r>
    <x v="25"/>
    <x v="31"/>
    <x v="582"/>
    <n v="22"/>
    <x v="1"/>
    <x v="14"/>
  </r>
  <r>
    <x v="25"/>
    <x v="648"/>
    <x v="583"/>
    <n v="74"/>
    <x v="1"/>
    <x v="26"/>
  </r>
  <r>
    <x v="25"/>
    <x v="649"/>
    <x v="584"/>
    <n v="36"/>
    <x v="2"/>
    <x v="0"/>
  </r>
  <r>
    <x v="25"/>
    <x v="650"/>
    <x v="585"/>
    <n v="108"/>
    <x v="2"/>
    <x v="18"/>
  </r>
  <r>
    <x v="25"/>
    <x v="651"/>
    <x v="586"/>
    <n v="87"/>
    <x v="2"/>
    <x v="7"/>
  </r>
  <r>
    <x v="25"/>
    <x v="140"/>
    <x v="587"/>
    <n v="30"/>
    <x v="1"/>
    <x v="26"/>
  </r>
  <r>
    <x v="25"/>
    <x v="203"/>
    <x v="588"/>
    <n v="42"/>
    <x v="1"/>
    <x v="0"/>
  </r>
  <r>
    <x v="25"/>
    <x v="285"/>
    <x v="589"/>
    <n v="113"/>
    <x v="0"/>
    <x v="19"/>
  </r>
  <r>
    <x v="25"/>
    <x v="652"/>
    <x v="48"/>
    <n v="56"/>
    <x v="0"/>
    <x v="16"/>
  </r>
  <r>
    <x v="25"/>
    <x v="653"/>
    <x v="590"/>
    <n v="35"/>
    <x v="2"/>
    <x v="0"/>
  </r>
  <r>
    <x v="25"/>
    <x v="463"/>
    <x v="20"/>
    <n v="16"/>
    <x v="0"/>
    <x v="0"/>
  </r>
  <r>
    <x v="25"/>
    <x v="654"/>
    <x v="206"/>
    <n v="25"/>
    <x v="1"/>
    <x v="10"/>
  </r>
  <r>
    <x v="25"/>
    <x v="655"/>
    <x v="169"/>
    <n v="15"/>
    <x v="2"/>
    <x v="0"/>
  </r>
  <r>
    <x v="25"/>
    <x v="510"/>
    <x v="591"/>
    <n v="49"/>
    <x v="1"/>
    <x v="0"/>
  </r>
  <r>
    <x v="25"/>
    <x v="385"/>
    <x v="592"/>
    <n v="69"/>
    <x v="0"/>
    <x v="0"/>
  </r>
  <r>
    <x v="25"/>
    <x v="656"/>
    <x v="593"/>
    <n v="33"/>
    <x v="0"/>
    <x v="0"/>
  </r>
  <r>
    <x v="25"/>
    <x v="657"/>
    <x v="218"/>
    <n v="6"/>
    <x v="0"/>
    <x v="0"/>
  </r>
  <r>
    <x v="25"/>
    <x v="658"/>
    <x v="469"/>
    <n v="36"/>
    <x v="2"/>
    <x v="0"/>
  </r>
  <r>
    <x v="25"/>
    <x v="580"/>
    <x v="564"/>
    <n v="60"/>
    <x v="2"/>
    <x v="0"/>
  </r>
  <r>
    <x v="25"/>
    <x v="55"/>
    <x v="309"/>
    <n v="90"/>
    <x v="0"/>
    <x v="0"/>
  </r>
  <r>
    <x v="25"/>
    <x v="591"/>
    <x v="594"/>
    <n v="15"/>
    <x v="1"/>
    <x v="0"/>
  </r>
  <r>
    <x v="25"/>
    <x v="659"/>
    <x v="225"/>
    <n v="55"/>
    <x v="0"/>
    <x v="0"/>
  </r>
  <r>
    <x v="25"/>
    <x v="660"/>
    <x v="213"/>
    <n v="89"/>
    <x v="1"/>
    <x v="7"/>
  </r>
  <r>
    <x v="25"/>
    <x v="661"/>
    <x v="595"/>
    <n v="104"/>
    <x v="0"/>
    <x v="5"/>
  </r>
  <r>
    <x v="25"/>
    <x v="294"/>
    <x v="596"/>
    <n v="41"/>
    <x v="2"/>
    <x v="14"/>
  </r>
  <r>
    <x v="25"/>
    <x v="63"/>
    <x v="597"/>
    <n v="6"/>
    <x v="0"/>
    <x v="0"/>
  </r>
  <r>
    <x v="25"/>
    <x v="662"/>
    <x v="598"/>
    <n v="89"/>
    <x v="1"/>
    <x v="0"/>
  </r>
  <r>
    <x v="25"/>
    <x v="663"/>
    <x v="599"/>
    <n v="113"/>
    <x v="1"/>
    <x v="0"/>
  </r>
  <r>
    <x v="25"/>
    <x v="664"/>
    <x v="600"/>
    <n v="47"/>
    <x v="2"/>
    <x v="0"/>
  </r>
  <r>
    <x v="25"/>
    <x v="434"/>
    <x v="601"/>
    <n v="51"/>
    <x v="1"/>
    <x v="0"/>
  </r>
  <r>
    <x v="26"/>
    <x v="31"/>
    <x v="48"/>
    <n v="98"/>
    <x v="2"/>
    <x v="16"/>
  </r>
  <r>
    <x v="26"/>
    <x v="665"/>
    <x v="102"/>
    <n v="89"/>
    <x v="2"/>
    <x v="0"/>
  </r>
  <r>
    <x v="26"/>
    <x v="666"/>
    <x v="602"/>
    <n v="29"/>
    <x v="2"/>
    <x v="0"/>
  </r>
  <r>
    <x v="26"/>
    <x v="230"/>
    <x v="603"/>
    <n v="20"/>
    <x v="0"/>
    <x v="0"/>
  </r>
  <r>
    <x v="26"/>
    <x v="667"/>
    <x v="163"/>
    <n v="110"/>
    <x v="0"/>
    <x v="2"/>
  </r>
  <r>
    <x v="26"/>
    <x v="599"/>
    <x v="604"/>
    <n v="112"/>
    <x v="0"/>
    <x v="0"/>
  </r>
  <r>
    <x v="26"/>
    <x v="19"/>
    <x v="605"/>
    <n v="5"/>
    <x v="2"/>
    <x v="15"/>
  </r>
  <r>
    <x v="26"/>
    <x v="117"/>
    <x v="244"/>
    <n v="111"/>
    <x v="1"/>
    <x v="0"/>
  </r>
  <r>
    <x v="26"/>
    <x v="328"/>
    <x v="281"/>
    <n v="74"/>
    <x v="0"/>
    <x v="12"/>
  </r>
  <r>
    <x v="26"/>
    <x v="78"/>
    <x v="606"/>
    <n v="52"/>
    <x v="0"/>
    <x v="0"/>
  </r>
  <r>
    <x v="26"/>
    <x v="668"/>
    <x v="489"/>
    <n v="110"/>
    <x v="0"/>
    <x v="9"/>
  </r>
  <r>
    <x v="26"/>
    <x v="669"/>
    <x v="504"/>
    <n v="26"/>
    <x v="0"/>
    <x v="0"/>
  </r>
  <r>
    <x v="26"/>
    <x v="670"/>
    <x v="372"/>
    <n v="7"/>
    <x v="1"/>
    <x v="0"/>
  </r>
  <r>
    <x v="26"/>
    <x v="671"/>
    <x v="607"/>
    <n v="74"/>
    <x v="2"/>
    <x v="22"/>
  </r>
  <r>
    <x v="26"/>
    <x v="672"/>
    <x v="608"/>
    <n v="96"/>
    <x v="2"/>
    <x v="0"/>
  </r>
  <r>
    <x v="26"/>
    <x v="673"/>
    <x v="609"/>
    <n v="68"/>
    <x v="2"/>
    <x v="24"/>
  </r>
  <r>
    <x v="26"/>
    <x v="674"/>
    <x v="258"/>
    <n v="42"/>
    <x v="1"/>
    <x v="0"/>
  </r>
  <r>
    <x v="26"/>
    <x v="198"/>
    <x v="193"/>
    <n v="62"/>
    <x v="0"/>
    <x v="0"/>
  </r>
  <r>
    <x v="26"/>
    <x v="675"/>
    <x v="336"/>
    <n v="107"/>
    <x v="0"/>
    <x v="0"/>
  </r>
  <r>
    <x v="26"/>
    <x v="676"/>
    <x v="363"/>
    <n v="81"/>
    <x v="2"/>
    <x v="16"/>
  </r>
  <r>
    <x v="26"/>
    <x v="525"/>
    <x v="473"/>
    <n v="64"/>
    <x v="2"/>
    <x v="0"/>
  </r>
  <r>
    <x v="26"/>
    <x v="117"/>
    <x v="610"/>
    <n v="76"/>
    <x v="1"/>
    <x v="0"/>
  </r>
  <r>
    <x v="26"/>
    <x v="677"/>
    <x v="373"/>
    <n v="54"/>
    <x v="1"/>
    <x v="9"/>
  </r>
  <r>
    <x v="26"/>
    <x v="50"/>
    <x v="611"/>
    <n v="11"/>
    <x v="0"/>
    <x v="4"/>
  </r>
  <r>
    <x v="26"/>
    <x v="678"/>
    <x v="612"/>
    <n v="36"/>
    <x v="0"/>
    <x v="0"/>
  </r>
  <r>
    <x v="26"/>
    <x v="679"/>
    <x v="613"/>
    <n v="101"/>
    <x v="2"/>
    <x v="23"/>
  </r>
  <r>
    <x v="26"/>
    <x v="32"/>
    <x v="214"/>
    <n v="81"/>
    <x v="0"/>
    <x v="0"/>
  </r>
  <r>
    <x v="26"/>
    <x v="680"/>
    <x v="123"/>
    <n v="68"/>
    <x v="1"/>
    <x v="21"/>
  </r>
  <r>
    <x v="26"/>
    <x v="483"/>
    <x v="49"/>
    <n v="22"/>
    <x v="2"/>
    <x v="13"/>
  </r>
  <r>
    <x v="26"/>
    <x v="681"/>
    <x v="614"/>
    <n v="48"/>
    <x v="1"/>
    <x v="0"/>
  </r>
  <r>
    <x v="26"/>
    <x v="633"/>
    <x v="615"/>
    <n v="83"/>
    <x v="0"/>
    <x v="0"/>
  </r>
  <r>
    <x v="26"/>
    <x v="78"/>
    <x v="616"/>
    <n v="68"/>
    <x v="0"/>
    <x v="0"/>
  </r>
  <r>
    <x v="26"/>
    <x v="578"/>
    <x v="617"/>
    <n v="115"/>
    <x v="2"/>
    <x v="0"/>
  </r>
  <r>
    <x v="26"/>
    <x v="75"/>
    <x v="57"/>
    <n v="65"/>
    <x v="0"/>
    <x v="10"/>
  </r>
  <r>
    <x v="26"/>
    <x v="682"/>
    <x v="618"/>
    <n v="27"/>
    <x v="0"/>
    <x v="25"/>
  </r>
  <r>
    <x v="26"/>
    <x v="683"/>
    <x v="55"/>
    <n v="33"/>
    <x v="2"/>
    <x v="16"/>
  </r>
  <r>
    <x v="26"/>
    <x v="582"/>
    <x v="405"/>
    <n v="66"/>
    <x v="2"/>
    <x v="24"/>
  </r>
  <r>
    <x v="26"/>
    <x v="99"/>
    <x v="619"/>
    <n v="53"/>
    <x v="2"/>
    <x v="16"/>
  </r>
  <r>
    <x v="26"/>
    <x v="684"/>
    <x v="480"/>
    <n v="101"/>
    <x v="1"/>
    <x v="1"/>
  </r>
  <r>
    <x v="27"/>
    <x v="685"/>
    <x v="620"/>
    <n v="68"/>
    <x v="2"/>
    <x v="16"/>
  </r>
  <r>
    <x v="27"/>
    <x v="686"/>
    <x v="186"/>
    <n v="71"/>
    <x v="0"/>
    <x v="0"/>
  </r>
  <r>
    <x v="27"/>
    <x v="687"/>
    <x v="406"/>
    <n v="118"/>
    <x v="2"/>
    <x v="18"/>
  </r>
  <r>
    <x v="27"/>
    <x v="662"/>
    <x v="582"/>
    <n v="67"/>
    <x v="2"/>
    <x v="14"/>
  </r>
  <r>
    <x v="27"/>
    <x v="688"/>
    <x v="621"/>
    <n v="66"/>
    <x v="2"/>
    <x v="0"/>
  </r>
  <r>
    <x v="27"/>
    <x v="635"/>
    <x v="622"/>
    <n v="49"/>
    <x v="2"/>
    <x v="0"/>
  </r>
  <r>
    <x v="27"/>
    <x v="656"/>
    <x v="623"/>
    <n v="38"/>
    <x v="1"/>
    <x v="0"/>
  </r>
  <r>
    <x v="27"/>
    <x v="135"/>
    <x v="624"/>
    <n v="52"/>
    <x v="1"/>
    <x v="0"/>
  </r>
  <r>
    <x v="27"/>
    <x v="689"/>
    <x v="145"/>
    <n v="25"/>
    <x v="0"/>
    <x v="0"/>
  </r>
  <r>
    <x v="27"/>
    <x v="690"/>
    <x v="495"/>
    <n v="113"/>
    <x v="0"/>
    <x v="12"/>
  </r>
  <r>
    <x v="27"/>
    <x v="386"/>
    <x v="326"/>
    <n v="50"/>
    <x v="2"/>
    <x v="21"/>
  </r>
  <r>
    <x v="27"/>
    <x v="354"/>
    <x v="153"/>
    <n v="108"/>
    <x v="0"/>
    <x v="0"/>
  </r>
  <r>
    <x v="27"/>
    <x v="691"/>
    <x v="153"/>
    <n v="20"/>
    <x v="1"/>
    <x v="0"/>
  </r>
  <r>
    <x v="27"/>
    <x v="692"/>
    <x v="498"/>
    <n v="81"/>
    <x v="0"/>
    <x v="0"/>
  </r>
  <r>
    <x v="27"/>
    <x v="693"/>
    <x v="552"/>
    <n v="42"/>
    <x v="1"/>
    <x v="18"/>
  </r>
  <r>
    <x v="27"/>
    <x v="466"/>
    <x v="24"/>
    <n v="67"/>
    <x v="1"/>
    <x v="0"/>
  </r>
  <r>
    <x v="27"/>
    <x v="694"/>
    <x v="288"/>
    <n v="81"/>
    <x v="0"/>
    <x v="0"/>
  </r>
  <r>
    <x v="27"/>
    <x v="580"/>
    <x v="625"/>
    <n v="94"/>
    <x v="2"/>
    <x v="0"/>
  </r>
  <r>
    <x v="27"/>
    <x v="695"/>
    <x v="49"/>
    <n v="26"/>
    <x v="2"/>
    <x v="13"/>
  </r>
  <r>
    <x v="27"/>
    <x v="646"/>
    <x v="341"/>
    <n v="67"/>
    <x v="2"/>
    <x v="6"/>
  </r>
  <r>
    <x v="27"/>
    <x v="696"/>
    <x v="216"/>
    <n v="26"/>
    <x v="0"/>
    <x v="11"/>
  </r>
  <r>
    <x v="27"/>
    <x v="697"/>
    <x v="522"/>
    <n v="24"/>
    <x v="0"/>
    <x v="0"/>
  </r>
  <r>
    <x v="27"/>
    <x v="184"/>
    <x v="626"/>
    <n v="61"/>
    <x v="0"/>
    <x v="0"/>
  </r>
  <r>
    <x v="27"/>
    <x v="678"/>
    <x v="627"/>
    <n v="78"/>
    <x v="0"/>
    <x v="0"/>
  </r>
  <r>
    <x v="27"/>
    <x v="698"/>
    <x v="628"/>
    <n v="61"/>
    <x v="1"/>
    <x v="12"/>
  </r>
  <r>
    <x v="27"/>
    <x v="699"/>
    <x v="629"/>
    <n v="61"/>
    <x v="0"/>
    <x v="0"/>
  </r>
  <r>
    <x v="27"/>
    <x v="305"/>
    <x v="253"/>
    <n v="70"/>
    <x v="2"/>
    <x v="0"/>
  </r>
  <r>
    <x v="27"/>
    <x v="544"/>
    <x v="630"/>
    <n v="112"/>
    <x v="1"/>
    <x v="8"/>
  </r>
  <r>
    <x v="27"/>
    <x v="700"/>
    <x v="411"/>
    <n v="11"/>
    <x v="0"/>
    <x v="21"/>
  </r>
  <r>
    <x v="27"/>
    <x v="144"/>
    <x v="631"/>
    <n v="92"/>
    <x v="2"/>
    <x v="7"/>
  </r>
  <r>
    <x v="27"/>
    <x v="701"/>
    <x v="391"/>
    <n v="13"/>
    <x v="0"/>
    <x v="0"/>
  </r>
  <r>
    <x v="27"/>
    <x v="345"/>
    <x v="140"/>
    <n v="50"/>
    <x v="0"/>
    <x v="16"/>
  </r>
  <r>
    <x v="27"/>
    <x v="174"/>
    <x v="632"/>
    <n v="107"/>
    <x v="0"/>
    <x v="19"/>
  </r>
  <r>
    <x v="27"/>
    <x v="91"/>
    <x v="509"/>
    <n v="45"/>
    <x v="2"/>
    <x v="0"/>
  </r>
  <r>
    <x v="27"/>
    <x v="103"/>
    <x v="433"/>
    <n v="84"/>
    <x v="0"/>
    <x v="1"/>
  </r>
  <r>
    <x v="28"/>
    <x v="702"/>
    <x v="633"/>
    <n v="118"/>
    <x v="2"/>
    <x v="0"/>
  </r>
  <r>
    <x v="28"/>
    <x v="374"/>
    <x v="25"/>
    <n v="101"/>
    <x v="0"/>
    <x v="0"/>
  </r>
  <r>
    <x v="28"/>
    <x v="703"/>
    <x v="247"/>
    <n v="92"/>
    <x v="2"/>
    <x v="0"/>
  </r>
  <r>
    <x v="28"/>
    <x v="667"/>
    <x v="275"/>
    <n v="23"/>
    <x v="2"/>
    <x v="0"/>
  </r>
  <r>
    <x v="28"/>
    <x v="704"/>
    <x v="634"/>
    <n v="54"/>
    <x v="1"/>
    <x v="0"/>
  </r>
  <r>
    <x v="28"/>
    <x v="705"/>
    <x v="568"/>
    <n v="109"/>
    <x v="0"/>
    <x v="0"/>
  </r>
  <r>
    <x v="28"/>
    <x v="547"/>
    <x v="331"/>
    <n v="119"/>
    <x v="1"/>
    <x v="1"/>
  </r>
  <r>
    <x v="28"/>
    <x v="557"/>
    <x v="635"/>
    <n v="30"/>
    <x v="1"/>
    <x v="8"/>
  </r>
  <r>
    <x v="28"/>
    <x v="706"/>
    <x v="143"/>
    <n v="106"/>
    <x v="1"/>
    <x v="25"/>
  </r>
  <r>
    <x v="28"/>
    <x v="521"/>
    <x v="0"/>
    <n v="101"/>
    <x v="1"/>
    <x v="0"/>
  </r>
  <r>
    <x v="28"/>
    <x v="78"/>
    <x v="292"/>
    <n v="27"/>
    <x v="1"/>
    <x v="25"/>
  </r>
  <r>
    <x v="28"/>
    <x v="707"/>
    <x v="565"/>
    <n v="44"/>
    <x v="1"/>
    <x v="21"/>
  </r>
  <r>
    <x v="28"/>
    <x v="708"/>
    <x v="130"/>
    <n v="63"/>
    <x v="1"/>
    <x v="19"/>
  </r>
  <r>
    <x v="28"/>
    <x v="450"/>
    <x v="307"/>
    <n v="100"/>
    <x v="0"/>
    <x v="1"/>
  </r>
  <r>
    <x v="28"/>
    <x v="49"/>
    <x v="636"/>
    <n v="64"/>
    <x v="0"/>
    <x v="17"/>
  </r>
  <r>
    <x v="28"/>
    <x v="35"/>
    <x v="637"/>
    <n v="43"/>
    <x v="2"/>
    <x v="4"/>
  </r>
  <r>
    <x v="28"/>
    <x v="709"/>
    <x v="300"/>
    <n v="42"/>
    <x v="1"/>
    <x v="19"/>
  </r>
  <r>
    <x v="28"/>
    <x v="710"/>
    <x v="243"/>
    <n v="18"/>
    <x v="2"/>
    <x v="0"/>
  </r>
  <r>
    <x v="28"/>
    <x v="711"/>
    <x v="200"/>
    <n v="98"/>
    <x v="2"/>
    <x v="26"/>
  </r>
  <r>
    <x v="28"/>
    <x v="712"/>
    <x v="500"/>
    <n v="112"/>
    <x v="2"/>
    <x v="11"/>
  </r>
  <r>
    <x v="28"/>
    <x v="612"/>
    <x v="638"/>
    <n v="66"/>
    <x v="2"/>
    <x v="15"/>
  </r>
  <r>
    <x v="28"/>
    <x v="713"/>
    <x v="518"/>
    <n v="37"/>
    <x v="0"/>
    <x v="0"/>
  </r>
  <r>
    <x v="28"/>
    <x v="714"/>
    <x v="394"/>
    <n v="48"/>
    <x v="0"/>
    <x v="3"/>
  </r>
  <r>
    <x v="28"/>
    <x v="335"/>
    <x v="282"/>
    <n v="98"/>
    <x v="1"/>
    <x v="0"/>
  </r>
  <r>
    <x v="28"/>
    <x v="715"/>
    <x v="639"/>
    <n v="105"/>
    <x v="1"/>
    <x v="21"/>
  </r>
  <r>
    <x v="28"/>
    <x v="716"/>
    <x v="355"/>
    <n v="80"/>
    <x v="2"/>
    <x v="17"/>
  </r>
  <r>
    <x v="29"/>
    <x v="717"/>
    <x v="363"/>
    <n v="5"/>
    <x v="2"/>
    <x v="16"/>
  </r>
  <r>
    <x v="29"/>
    <x v="33"/>
    <x v="354"/>
    <n v="41"/>
    <x v="2"/>
    <x v="7"/>
  </r>
  <r>
    <x v="29"/>
    <x v="718"/>
    <x v="640"/>
    <n v="74"/>
    <x v="2"/>
    <x v="17"/>
  </r>
  <r>
    <x v="29"/>
    <x v="719"/>
    <x v="641"/>
    <n v="82"/>
    <x v="2"/>
    <x v="0"/>
  </r>
  <r>
    <x v="29"/>
    <x v="720"/>
    <x v="473"/>
    <n v="102"/>
    <x v="0"/>
    <x v="0"/>
  </r>
  <r>
    <x v="29"/>
    <x v="599"/>
    <x v="642"/>
    <n v="81"/>
    <x v="1"/>
    <x v="9"/>
  </r>
  <r>
    <x v="29"/>
    <x v="721"/>
    <x v="342"/>
    <n v="74"/>
    <x v="2"/>
    <x v="0"/>
  </r>
  <r>
    <x v="29"/>
    <x v="693"/>
    <x v="54"/>
    <n v="70"/>
    <x v="1"/>
    <x v="0"/>
  </r>
  <r>
    <x v="29"/>
    <x v="722"/>
    <x v="572"/>
    <n v="77"/>
    <x v="1"/>
    <x v="0"/>
  </r>
  <r>
    <x v="29"/>
    <x v="520"/>
    <x v="413"/>
    <n v="89"/>
    <x v="1"/>
    <x v="0"/>
  </r>
  <r>
    <x v="29"/>
    <x v="344"/>
    <x v="140"/>
    <n v="76"/>
    <x v="0"/>
    <x v="16"/>
  </r>
  <r>
    <x v="29"/>
    <x v="723"/>
    <x v="407"/>
    <n v="36"/>
    <x v="0"/>
    <x v="2"/>
  </r>
  <r>
    <x v="29"/>
    <x v="724"/>
    <x v="424"/>
    <n v="37"/>
    <x v="2"/>
    <x v="0"/>
  </r>
  <r>
    <x v="29"/>
    <x v="725"/>
    <x v="50"/>
    <n v="93"/>
    <x v="1"/>
    <x v="13"/>
  </r>
  <r>
    <x v="29"/>
    <x v="164"/>
    <x v="444"/>
    <n v="28"/>
    <x v="2"/>
    <x v="25"/>
  </r>
  <r>
    <x v="29"/>
    <x v="726"/>
    <x v="643"/>
    <n v="106"/>
    <x v="0"/>
    <x v="0"/>
  </r>
  <r>
    <x v="29"/>
    <x v="727"/>
    <x v="644"/>
    <n v="90"/>
    <x v="1"/>
    <x v="0"/>
  </r>
  <r>
    <x v="29"/>
    <x v="728"/>
    <x v="65"/>
    <n v="88"/>
    <x v="2"/>
    <x v="18"/>
  </r>
  <r>
    <x v="29"/>
    <x v="575"/>
    <x v="477"/>
    <n v="27"/>
    <x v="1"/>
    <x v="0"/>
  </r>
  <r>
    <x v="29"/>
    <x v="271"/>
    <x v="645"/>
    <n v="5"/>
    <x v="1"/>
    <x v="20"/>
  </r>
  <r>
    <x v="30"/>
    <x v="94"/>
    <x v="646"/>
    <n v="103"/>
    <x v="2"/>
    <x v="3"/>
  </r>
  <r>
    <x v="30"/>
    <x v="729"/>
    <x v="581"/>
    <n v="91"/>
    <x v="1"/>
    <x v="0"/>
  </r>
  <r>
    <x v="30"/>
    <x v="444"/>
    <x v="644"/>
    <n v="55"/>
    <x v="0"/>
    <x v="0"/>
  </r>
  <r>
    <x v="30"/>
    <x v="730"/>
    <x v="268"/>
    <n v="8"/>
    <x v="0"/>
    <x v="25"/>
  </r>
  <r>
    <x v="30"/>
    <x v="731"/>
    <x v="491"/>
    <n v="39"/>
    <x v="2"/>
    <x v="2"/>
  </r>
  <r>
    <x v="30"/>
    <x v="565"/>
    <x v="442"/>
    <n v="99"/>
    <x v="1"/>
    <x v="24"/>
  </r>
  <r>
    <x v="30"/>
    <x v="337"/>
    <x v="647"/>
    <n v="90"/>
    <x v="1"/>
    <x v="0"/>
  </r>
  <r>
    <x v="30"/>
    <x v="386"/>
    <x v="25"/>
    <n v="97"/>
    <x v="1"/>
    <x v="0"/>
  </r>
  <r>
    <x v="30"/>
    <x v="419"/>
    <x v="648"/>
    <n v="31"/>
    <x v="0"/>
    <x v="0"/>
  </r>
  <r>
    <x v="30"/>
    <x v="576"/>
    <x v="156"/>
    <n v="74"/>
    <x v="1"/>
    <x v="0"/>
  </r>
  <r>
    <x v="30"/>
    <x v="732"/>
    <x v="588"/>
    <n v="33"/>
    <x v="0"/>
    <x v="0"/>
  </r>
  <r>
    <x v="30"/>
    <x v="733"/>
    <x v="649"/>
    <n v="16"/>
    <x v="2"/>
    <x v="0"/>
  </r>
  <r>
    <x v="30"/>
    <x v="734"/>
    <x v="650"/>
    <n v="75"/>
    <x v="1"/>
    <x v="0"/>
  </r>
  <r>
    <x v="30"/>
    <x v="573"/>
    <x v="70"/>
    <n v="117"/>
    <x v="0"/>
    <x v="5"/>
  </r>
  <r>
    <x v="30"/>
    <x v="735"/>
    <x v="551"/>
    <n v="103"/>
    <x v="1"/>
    <x v="0"/>
  </r>
  <r>
    <x v="30"/>
    <x v="736"/>
    <x v="518"/>
    <n v="16"/>
    <x v="0"/>
    <x v="0"/>
  </r>
  <r>
    <x v="30"/>
    <x v="737"/>
    <x v="646"/>
    <n v="11"/>
    <x v="2"/>
    <x v="3"/>
  </r>
  <r>
    <x v="30"/>
    <x v="738"/>
    <x v="17"/>
    <n v="87"/>
    <x v="2"/>
    <x v="10"/>
  </r>
  <r>
    <x v="30"/>
    <x v="739"/>
    <x v="651"/>
    <n v="89"/>
    <x v="2"/>
    <x v="3"/>
  </r>
  <r>
    <x v="30"/>
    <x v="150"/>
    <x v="652"/>
    <n v="62"/>
    <x v="1"/>
    <x v="22"/>
  </r>
  <r>
    <x v="30"/>
    <x v="42"/>
    <x v="447"/>
    <n v="19"/>
    <x v="0"/>
    <x v="0"/>
  </r>
  <r>
    <x v="30"/>
    <x v="740"/>
    <x v="45"/>
    <n v="38"/>
    <x v="1"/>
    <x v="13"/>
  </r>
  <r>
    <x v="30"/>
    <x v="99"/>
    <x v="653"/>
    <n v="72"/>
    <x v="2"/>
    <x v="11"/>
  </r>
  <r>
    <x v="30"/>
    <x v="741"/>
    <x v="547"/>
    <n v="67"/>
    <x v="1"/>
    <x v="19"/>
  </r>
  <r>
    <x v="30"/>
    <x v="669"/>
    <x v="322"/>
    <n v="87"/>
    <x v="1"/>
    <x v="0"/>
  </r>
  <r>
    <x v="30"/>
    <x v="742"/>
    <x v="417"/>
    <n v="37"/>
    <x v="0"/>
    <x v="5"/>
  </r>
  <r>
    <x v="30"/>
    <x v="743"/>
    <x v="654"/>
    <n v="77"/>
    <x v="0"/>
    <x v="12"/>
  </r>
  <r>
    <x v="30"/>
    <x v="744"/>
    <x v="106"/>
    <n v="62"/>
    <x v="1"/>
    <x v="9"/>
  </r>
  <r>
    <x v="30"/>
    <x v="745"/>
    <x v="501"/>
    <n v="83"/>
    <x v="2"/>
    <x v="5"/>
  </r>
  <r>
    <x v="30"/>
    <x v="746"/>
    <x v="232"/>
    <n v="58"/>
    <x v="2"/>
    <x v="8"/>
  </r>
  <r>
    <x v="30"/>
    <x v="747"/>
    <x v="635"/>
    <n v="80"/>
    <x v="0"/>
    <x v="8"/>
  </r>
  <r>
    <x v="30"/>
    <x v="748"/>
    <x v="655"/>
    <n v="106"/>
    <x v="1"/>
    <x v="16"/>
  </r>
  <r>
    <x v="30"/>
    <x v="24"/>
    <x v="628"/>
    <n v="14"/>
    <x v="1"/>
    <x v="12"/>
  </r>
  <r>
    <x v="30"/>
    <x v="749"/>
    <x v="656"/>
    <n v="9"/>
    <x v="2"/>
    <x v="0"/>
  </r>
  <r>
    <x v="30"/>
    <x v="750"/>
    <x v="657"/>
    <n v="58"/>
    <x v="1"/>
    <x v="25"/>
  </r>
  <r>
    <x v="30"/>
    <x v="519"/>
    <x v="605"/>
    <n v="34"/>
    <x v="1"/>
    <x v="15"/>
  </r>
  <r>
    <x v="30"/>
    <x v="751"/>
    <x v="0"/>
    <n v="87"/>
    <x v="0"/>
    <x v="0"/>
  </r>
  <r>
    <x v="30"/>
    <x v="752"/>
    <x v="610"/>
    <n v="87"/>
    <x v="2"/>
    <x v="0"/>
  </r>
  <r>
    <x v="30"/>
    <x v="57"/>
    <x v="109"/>
    <n v="11"/>
    <x v="0"/>
    <x v="16"/>
  </r>
  <r>
    <x v="30"/>
    <x v="753"/>
    <x v="473"/>
    <n v="46"/>
    <x v="0"/>
    <x v="0"/>
  </r>
  <r>
    <x v="30"/>
    <x v="754"/>
    <x v="636"/>
    <n v="105"/>
    <x v="1"/>
    <x v="17"/>
  </r>
  <r>
    <x v="30"/>
    <x v="755"/>
    <x v="101"/>
    <n v="40"/>
    <x v="1"/>
    <x v="0"/>
  </r>
  <r>
    <x v="30"/>
    <x v="258"/>
    <x v="457"/>
    <n v="57"/>
    <x v="1"/>
    <x v="1"/>
  </r>
  <r>
    <x v="30"/>
    <x v="580"/>
    <x v="291"/>
    <n v="83"/>
    <x v="2"/>
    <x v="24"/>
  </r>
  <r>
    <x v="30"/>
    <x v="756"/>
    <x v="31"/>
    <n v="52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4">
  <r>
    <d v="2023-10-04T00:00:00"/>
    <d v="1899-12-30T12:25:00"/>
    <x v="0"/>
    <n v="26"/>
    <s v="Résolu"/>
    <s v="Nord-Ubangi"/>
    <s v="CLI-00112"/>
    <x v="0"/>
    <s v="ZTE"/>
    <s v="Bloqué 5Go"/>
    <s v="B2C"/>
  </r>
  <r>
    <d v="2023-10-06T00:00:00"/>
    <d v="1899-12-30T00:20:00"/>
    <x v="0"/>
    <n v="35"/>
    <s v="Non Résolu"/>
    <s v="Nord-Ubangi"/>
    <s v="CLI-00112"/>
    <x v="0"/>
    <s v="ZTE"/>
    <s v="Bloqué 5Go"/>
    <s v="B2C"/>
  </r>
  <r>
    <d v="2023-10-12T00:00:00"/>
    <d v="1899-12-30T06:42:00"/>
    <x v="0"/>
    <n v="75"/>
    <s v="Résolu"/>
    <s v="Nord-Ubangi"/>
    <s v="CLI-00112"/>
    <x v="0"/>
    <s v="ZTE"/>
    <s v="Bloqué 5Go"/>
    <s v="B2C"/>
  </r>
  <r>
    <d v="2023-10-25T00:00:00"/>
    <d v="1899-12-30T13:38:00"/>
    <x v="1"/>
    <n v="27"/>
    <s v="Résolu"/>
    <s v="Mai-Ndombe"/>
    <s v="CLI-00090"/>
    <x v="0"/>
    <s v="Nokia"/>
    <s v="Bloqué 5Go"/>
    <s v="B2C"/>
  </r>
  <r>
    <d v="2023-10-09T00:00:00"/>
    <d v="1899-12-30T07:14:00"/>
    <x v="2"/>
    <n v="38"/>
    <s v="Résolu"/>
    <s v="Non Trouvée"/>
    <s v="Aucun"/>
    <x v="1"/>
    <s v="Non Trouvée"/>
    <s v="Pas d'information"/>
    <s v="B2C"/>
  </r>
  <r>
    <d v="2023-10-17T00:00:00"/>
    <d v="1899-12-30T22:49:00"/>
    <x v="2"/>
    <n v="12"/>
    <s v="Résolu"/>
    <s v="Non Trouvée"/>
    <s v="Aucun"/>
    <x v="1"/>
    <s v="Non Trouvée"/>
    <s v="Pas d'information"/>
    <s v="B2C"/>
  </r>
  <r>
    <d v="2023-10-27T00:00:00"/>
    <d v="1899-12-30T00:05:00"/>
    <x v="2"/>
    <n v="111"/>
    <s v="Résolu"/>
    <s v="Non Trouvée"/>
    <s v="Aucun"/>
    <x v="1"/>
    <s v="Non Trouvée"/>
    <s v="Pas d'information"/>
    <s v="B2C"/>
  </r>
  <r>
    <d v="2023-10-31T00:00:00"/>
    <d v="1899-12-30T20:50:00"/>
    <x v="3"/>
    <n v="103"/>
    <s v="En Cours"/>
    <s v="Bas-Uele"/>
    <s v="CLI-00029"/>
    <x v="2"/>
    <s v="Huawei"/>
    <s v="Pro Monde"/>
    <s v="B2B"/>
  </r>
  <r>
    <d v="2023-10-31T00:00:00"/>
    <d v="1899-12-30T10:18:00"/>
    <x v="3"/>
    <n v="11"/>
    <s v="En Cours"/>
    <s v="Bas-Uele"/>
    <s v="CLI-00029"/>
    <x v="2"/>
    <s v="Huawei"/>
    <s v="Pro Monde"/>
    <s v="B2B"/>
  </r>
  <r>
    <d v="2023-10-22T00:00:00"/>
    <d v="1899-12-30T13:35:00"/>
    <x v="4"/>
    <n v="87"/>
    <s v="Non Résolu"/>
    <s v="Tshopo"/>
    <s v="CLI-00100"/>
    <x v="2"/>
    <s v="ZTE"/>
    <s v="Bloqué 5Go"/>
    <s v="B2C"/>
  </r>
  <r>
    <d v="2023-10-23T00:00:00"/>
    <d v="1899-12-30T12:02:00"/>
    <x v="5"/>
    <n v="39"/>
    <s v="Résolu"/>
    <s v="Haut-Lomami"/>
    <s v="CLI-00022"/>
    <x v="3"/>
    <s v="ZTE"/>
    <s v="Premium 5G 150Go"/>
    <s v="B2C"/>
  </r>
  <r>
    <d v="2023-10-11T00:00:00"/>
    <d v="1899-12-30T20:03:00"/>
    <x v="6"/>
    <n v="80"/>
    <s v="Non Résolu"/>
    <s v="Haut-Katanga"/>
    <s v="CLI-00059"/>
    <x v="3"/>
    <s v="Ericsson"/>
    <s v="Pro Monde"/>
    <s v="B2B"/>
  </r>
  <r>
    <d v="2023-10-24T00:00:00"/>
    <d v="1899-12-30T10:03:00"/>
    <x v="6"/>
    <n v="89"/>
    <s v="Résolu"/>
    <s v="Haut-Katanga"/>
    <s v="CLI-00059"/>
    <x v="3"/>
    <s v="Ericsson"/>
    <s v="Pro Monde"/>
    <s v="B2B"/>
  </r>
  <r>
    <d v="2023-10-03T00:00:00"/>
    <d v="1899-12-30T20:27:00"/>
    <x v="7"/>
    <n v="83"/>
    <s v="Résolu"/>
    <s v="Mai-Ndombe"/>
    <s v="CLI-00090"/>
    <x v="0"/>
    <s v="Ericsson"/>
    <s v="Bloqué 5Go"/>
    <s v="B2C"/>
  </r>
  <r>
    <d v="2023-10-14T00:00:00"/>
    <d v="1899-12-30T22:08:00"/>
    <x v="8"/>
    <n v="40"/>
    <s v="Résolu"/>
    <s v="Non Trouvée"/>
    <s v="Aucun"/>
    <x v="1"/>
    <s v="Non Trouvée"/>
    <s v="Pas d'information"/>
    <s v="B2C"/>
  </r>
  <r>
    <d v="2023-10-23T00:00:00"/>
    <d v="1899-12-30T13:26:00"/>
    <x v="8"/>
    <n v="26"/>
    <s v="En Cours"/>
    <s v="Non Trouvée"/>
    <s v="Aucun"/>
    <x v="1"/>
    <s v="Non Trouvée"/>
    <s v="Pas d'information"/>
    <s v="B2C"/>
  </r>
  <r>
    <d v="2023-10-05T00:00:00"/>
    <d v="1899-12-30T09:24:00"/>
    <x v="9"/>
    <n v="98"/>
    <s v="En Cours"/>
    <s v="Non Trouvée"/>
    <s v="Aucun"/>
    <x v="1"/>
    <s v="Non Trouvée"/>
    <s v="Pas d'information"/>
    <s v="B2C"/>
  </r>
  <r>
    <d v="2023-10-20T00:00:00"/>
    <d v="1899-12-30T23:45:00"/>
    <x v="9"/>
    <n v="36"/>
    <s v="Résolu"/>
    <s v="Non Trouvée"/>
    <s v="Aucun"/>
    <x v="1"/>
    <s v="Non Trouvée"/>
    <s v="Pas d'information"/>
    <s v="B2C"/>
  </r>
  <r>
    <d v="2023-10-31T00:00:00"/>
    <d v="1899-12-30T13:35:00"/>
    <x v="9"/>
    <n v="74"/>
    <s v="Résolu"/>
    <s v="Non Trouvée"/>
    <s v="Aucun"/>
    <x v="1"/>
    <s v="Non Trouvée"/>
    <s v="Pas d'information"/>
    <s v="B2C"/>
  </r>
  <r>
    <d v="2023-10-14T00:00:00"/>
    <d v="1899-12-30T23:07:00"/>
    <x v="10"/>
    <n v="25"/>
    <s v="Non Résolu"/>
    <s v="Non Trouvée"/>
    <s v="Aucun"/>
    <x v="1"/>
    <s v="Non Trouvée"/>
    <s v="Pas d'information"/>
    <s v="B2C"/>
  </r>
  <r>
    <d v="2023-10-18T00:00:00"/>
    <d v="1899-12-30T23:15:00"/>
    <x v="11"/>
    <n v="97"/>
    <s v="Non Résolu"/>
    <s v="Kasai"/>
    <s v="CLI-00057"/>
    <x v="0"/>
    <s v="Huawei"/>
    <s v="Bloqué 5Go"/>
    <s v="B2C"/>
  </r>
  <r>
    <d v="2023-10-18T00:00:00"/>
    <d v="1899-12-30T15:22:00"/>
    <x v="12"/>
    <n v="113"/>
    <s v="En Cours"/>
    <s v="Non Trouvée"/>
    <s v="Aucun"/>
    <x v="1"/>
    <s v="Non Trouvée"/>
    <s v="Pas d'information"/>
    <s v="B2C"/>
  </r>
  <r>
    <d v="2023-10-21T00:00:00"/>
    <d v="1899-12-30T02:14:00"/>
    <x v="12"/>
    <n v="48"/>
    <s v="Résolu"/>
    <s v="Non Trouvée"/>
    <s v="Aucun"/>
    <x v="1"/>
    <s v="Non Trouvée"/>
    <s v="Pas d'information"/>
    <s v="B2C"/>
  </r>
  <r>
    <d v="2023-10-05T00:00:00"/>
    <d v="1899-12-30T21:30:00"/>
    <x v="13"/>
    <n v="42"/>
    <s v="Non Résolu"/>
    <s v="Non Trouvée"/>
    <s v="Aucun"/>
    <x v="1"/>
    <s v="Non Trouvée"/>
    <s v="Pas d'information"/>
    <s v="B2C"/>
  </r>
  <r>
    <d v="2023-10-06T00:00:00"/>
    <d v="1899-12-30T18:37:00"/>
    <x v="14"/>
    <n v="56"/>
    <s v="En Cours"/>
    <s v="Non Trouvée"/>
    <s v="Aucun"/>
    <x v="1"/>
    <s v="Non Trouvée"/>
    <s v="Pas d'information"/>
    <s v="B2C"/>
  </r>
  <r>
    <d v="2023-10-21T00:00:00"/>
    <d v="1899-12-30T09:23:00"/>
    <x v="14"/>
    <n v="13"/>
    <s v="Non Résolu"/>
    <s v="Non Trouvée"/>
    <s v="Aucun"/>
    <x v="1"/>
    <s v="Non Trouvée"/>
    <s v="Pas d'information"/>
    <s v="B2C"/>
  </r>
  <r>
    <d v="2023-10-25T00:00:00"/>
    <d v="1899-12-30T23:05:00"/>
    <x v="15"/>
    <n v="83"/>
    <s v="En Cours"/>
    <s v="Non Trouvée"/>
    <s v="Aucun"/>
    <x v="1"/>
    <s v="Non Trouvée"/>
    <s v="Pas d'information"/>
    <s v="B2C"/>
  </r>
  <r>
    <d v="2023-10-26T00:00:00"/>
    <d v="1899-12-30T20:09:00"/>
    <x v="15"/>
    <n v="60"/>
    <s v="En Cours"/>
    <s v="Non Trouvée"/>
    <s v="Aucun"/>
    <x v="1"/>
    <s v="Non Trouvée"/>
    <s v="Pas d'information"/>
    <s v="B2C"/>
  </r>
  <r>
    <d v="2023-10-07T00:00:00"/>
    <d v="1899-12-30T12:23:00"/>
    <x v="16"/>
    <n v="108"/>
    <s v="Résolu"/>
    <s v="Kinshasa"/>
    <s v="CLI-00184"/>
    <x v="3"/>
    <s v="ZTE"/>
    <s v="Premium 5G 150Go"/>
    <s v="B2C"/>
  </r>
  <r>
    <d v="2023-10-23T00:00:00"/>
    <d v="1899-12-30T12:17:00"/>
    <x v="17"/>
    <n v="56"/>
    <s v="Résolu"/>
    <s v="Non Trouvée"/>
    <s v="Aucun"/>
    <x v="1"/>
    <s v="Non Trouvée"/>
    <s v="Pas d'information"/>
    <s v="B2C"/>
  </r>
  <r>
    <d v="2023-10-23T00:00:00"/>
    <d v="1899-12-30T15:40:00"/>
    <x v="18"/>
    <n v="46"/>
    <s v="En Cours"/>
    <s v="Lomami"/>
    <s v="CLI-00044"/>
    <x v="3"/>
    <s v="Ericsson"/>
    <s v="Illimité 50Go"/>
    <s v="B2C"/>
  </r>
  <r>
    <d v="2023-10-15T00:00:00"/>
    <d v="1899-12-30T18:03:00"/>
    <x v="19"/>
    <n v="89"/>
    <s v="Non Résolu"/>
    <s v="Non Trouvée"/>
    <s v="Aucun"/>
    <x v="1"/>
    <s v="Non Trouvée"/>
    <s v="Pas d'information"/>
    <s v="B2C"/>
  </r>
  <r>
    <d v="2023-10-26T00:00:00"/>
    <d v="1899-12-30T09:58:00"/>
    <x v="20"/>
    <n v="15"/>
    <s v="Résolu"/>
    <s v="Non Trouvée"/>
    <s v="Aucun"/>
    <x v="1"/>
    <s v="Non Trouvée"/>
    <s v="Pas d'information"/>
    <s v="B2C"/>
  </r>
  <r>
    <d v="2023-10-09T00:00:00"/>
    <d v="1899-12-30T10:39:00"/>
    <x v="21"/>
    <n v="7"/>
    <s v="En Cours"/>
    <s v="Haut-Lomami"/>
    <s v="CLI-00022"/>
    <x v="0"/>
    <s v="ZTE"/>
    <s v="Premium 5G 150Go"/>
    <s v="B2C"/>
  </r>
  <r>
    <d v="2023-10-07T00:00:00"/>
    <d v="1899-12-30T13:44:00"/>
    <x v="22"/>
    <n v="10"/>
    <s v="Résolu"/>
    <s v="Non Trouvée"/>
    <s v="Aucun"/>
    <x v="1"/>
    <s v="Non Trouvée"/>
    <s v="Pas d'information"/>
    <s v="B2C"/>
  </r>
  <r>
    <d v="2023-10-27T00:00:00"/>
    <d v="1899-12-30T17:30:00"/>
    <x v="22"/>
    <n v="62"/>
    <s v="Non Résolu"/>
    <s v="Non Trouvée"/>
    <s v="Aucun"/>
    <x v="1"/>
    <s v="Non Trouvée"/>
    <s v="Pas d'information"/>
    <s v="B2C"/>
  </r>
  <r>
    <d v="2023-10-12T00:00:00"/>
    <d v="1899-12-30T14:39:00"/>
    <x v="23"/>
    <n v="114"/>
    <s v="Résolu"/>
    <s v="Ituri"/>
    <s v="CLI-00041"/>
    <x v="3"/>
    <s v="Nokia"/>
    <s v="Pro Monde"/>
    <s v="B2B"/>
  </r>
  <r>
    <d v="2023-10-20T00:00:00"/>
    <d v="1899-12-30T02:26:00"/>
    <x v="23"/>
    <n v="75"/>
    <s v="Résolu"/>
    <s v="Ituri"/>
    <s v="CLI-00041"/>
    <x v="3"/>
    <s v="Nokia"/>
    <s v="Pro Monde"/>
    <s v="B2B"/>
  </r>
  <r>
    <d v="2023-10-03T00:00:00"/>
    <d v="1899-12-30T08:24:00"/>
    <x v="24"/>
    <n v="78"/>
    <s v="Résolu"/>
    <s v="Mongala"/>
    <s v="CLI-00011"/>
    <x v="3"/>
    <s v="Huawei"/>
    <s v="Illimité 50Go"/>
    <s v="B2C"/>
  </r>
  <r>
    <d v="2023-10-17T00:00:00"/>
    <d v="1899-12-30T14:00:00"/>
    <x v="25"/>
    <n v="78"/>
    <s v="En Cours"/>
    <s v="Haut-Katanga"/>
    <s v="CLI-00059"/>
    <x v="2"/>
    <s v="Huawei"/>
    <s v="Pro Monde"/>
    <s v="B2B"/>
  </r>
  <r>
    <d v="2023-10-24T00:00:00"/>
    <d v="1899-12-30T17:40:00"/>
    <x v="25"/>
    <n v="116"/>
    <s v="Non Résolu"/>
    <s v="Haut-Katanga"/>
    <s v="CLI-00059"/>
    <x v="2"/>
    <s v="Huawei"/>
    <s v="Pro Monde"/>
    <s v="B2B"/>
  </r>
  <r>
    <d v="2023-10-18T00:00:00"/>
    <d v="1899-12-30T13:53:00"/>
    <x v="26"/>
    <n v="93"/>
    <s v="Non Résolu"/>
    <s v="Kasai-Central"/>
    <s v="CLI-00060"/>
    <x v="3"/>
    <s v="Ericsson"/>
    <s v="Pro Monde"/>
    <s v="B2B"/>
  </r>
  <r>
    <d v="2023-10-25T00:00:00"/>
    <d v="1899-12-30T02:00:00"/>
    <x v="27"/>
    <n v="31"/>
    <s v="Résolu"/>
    <s v="Non Trouvée"/>
    <s v="Aucun"/>
    <x v="1"/>
    <s v="Non Trouvée"/>
    <s v="Pas d'information"/>
    <s v="B2C"/>
  </r>
  <r>
    <d v="2023-10-29T00:00:00"/>
    <d v="1899-12-30T06:28:00"/>
    <x v="27"/>
    <n v="109"/>
    <s v="Non Résolu"/>
    <s v="Non Trouvée"/>
    <s v="Aucun"/>
    <x v="1"/>
    <s v="Non Trouvée"/>
    <s v="Pas d'information"/>
    <s v="B2C"/>
  </r>
  <r>
    <d v="2023-10-03T00:00:00"/>
    <d v="1899-12-30T03:53:00"/>
    <x v="28"/>
    <n v="61"/>
    <s v="Non Résolu"/>
    <s v="Nord-Kivu"/>
    <s v="CLI-00043"/>
    <x v="3"/>
    <s v="Huawei"/>
    <s v="Pro Monde"/>
    <s v="B2B"/>
  </r>
  <r>
    <d v="2023-10-06T00:00:00"/>
    <d v="1899-12-30T11:08:00"/>
    <x v="29"/>
    <n v="103"/>
    <s v="Résolu"/>
    <s v="Nord-Kivu"/>
    <s v="CLI-00043"/>
    <x v="2"/>
    <s v="Nokia"/>
    <s v="Pro Monde"/>
    <s v="B2B"/>
  </r>
  <r>
    <d v="2023-10-02T00:00:00"/>
    <d v="1899-12-30T20:34:00"/>
    <x v="30"/>
    <n v="61"/>
    <s v="Résolu"/>
    <s v="Non Trouvée"/>
    <s v="Aucun"/>
    <x v="1"/>
    <s v="Non Trouvée"/>
    <s v="Pas d'information"/>
    <s v="B2C"/>
  </r>
  <r>
    <d v="2023-10-12T00:00:00"/>
    <d v="1899-12-30T07:47:00"/>
    <x v="31"/>
    <n v="120"/>
    <s v="En Cours"/>
    <s v="Non Trouvée"/>
    <s v="Aucun"/>
    <x v="1"/>
    <s v="Non Trouvée"/>
    <s v="Pas d'information"/>
    <s v="B2C"/>
  </r>
  <r>
    <d v="2023-10-02T00:00:00"/>
    <d v="1899-12-30T01:02:00"/>
    <x v="32"/>
    <n v="45"/>
    <s v="Non Résolu"/>
    <s v="Non Trouvée"/>
    <s v="Aucun"/>
    <x v="1"/>
    <s v="Non Trouvée"/>
    <s v="Pas d'information"/>
    <s v="B2C"/>
  </r>
  <r>
    <d v="2023-10-06T00:00:00"/>
    <d v="1899-12-30T11:32:00"/>
    <x v="32"/>
    <n v="43"/>
    <s v="Non Résolu"/>
    <s v="Non Trouvée"/>
    <s v="Aucun"/>
    <x v="1"/>
    <s v="Non Trouvée"/>
    <s v="Pas d'information"/>
    <s v="B2C"/>
  </r>
  <r>
    <d v="2023-10-15T00:00:00"/>
    <d v="1899-12-30T02:43:00"/>
    <x v="33"/>
    <n v="47"/>
    <s v="En Cours"/>
    <s v="Non Trouvée"/>
    <s v="Aucun"/>
    <x v="1"/>
    <s v="Non Trouvée"/>
    <s v="Pas d'information"/>
    <s v="B2C"/>
  </r>
  <r>
    <d v="2023-10-21T00:00:00"/>
    <d v="1899-12-30T05:32:00"/>
    <x v="33"/>
    <n v="111"/>
    <s v="En Cours"/>
    <s v="Non Trouvée"/>
    <s v="Aucun"/>
    <x v="1"/>
    <s v="Non Trouvée"/>
    <s v="Pas d'information"/>
    <s v="B2C"/>
  </r>
  <r>
    <d v="2023-10-28T00:00:00"/>
    <d v="1899-12-30T03:15:00"/>
    <x v="33"/>
    <n v="13"/>
    <s v="Non Résolu"/>
    <s v="Non Trouvée"/>
    <s v="Aucun"/>
    <x v="1"/>
    <s v="Non Trouvée"/>
    <s v="Pas d'information"/>
    <s v="B2C"/>
  </r>
  <r>
    <d v="2023-10-22T00:00:00"/>
    <d v="1899-12-30T12:08:00"/>
    <x v="34"/>
    <n v="51"/>
    <s v="Résolu"/>
    <s v="Mongala"/>
    <s v="CLI-00011"/>
    <x v="3"/>
    <s v="Ericsson"/>
    <s v="Illimité 50Go"/>
    <s v="B2C"/>
  </r>
  <r>
    <d v="2023-10-24T00:00:00"/>
    <d v="1899-12-30T09:37:00"/>
    <x v="34"/>
    <n v="41"/>
    <s v="En Cours"/>
    <s v="Mongala"/>
    <s v="CLI-00011"/>
    <x v="3"/>
    <s v="Ericsson"/>
    <s v="Illimité 50Go"/>
    <s v="B2C"/>
  </r>
  <r>
    <d v="2023-10-02T00:00:00"/>
    <d v="1899-12-30T19:47:00"/>
    <x v="35"/>
    <n v="28"/>
    <s v="Non Résolu"/>
    <s v="Mai-Ndombe"/>
    <s v="CLI-00090"/>
    <x v="0"/>
    <s v="Huawei"/>
    <s v="Bloqué 5Go"/>
    <s v="B2C"/>
  </r>
  <r>
    <d v="2023-10-07T00:00:00"/>
    <d v="1899-12-30T22:58:00"/>
    <x v="35"/>
    <n v="32"/>
    <s v="Non Résolu"/>
    <s v="Mai-Ndombe"/>
    <s v="CLI-00090"/>
    <x v="0"/>
    <s v="Huawei"/>
    <s v="Bloqué 5Go"/>
    <s v="B2C"/>
  </r>
  <r>
    <d v="2023-10-24T00:00:00"/>
    <d v="1899-12-30T13:41:00"/>
    <x v="35"/>
    <n v="10"/>
    <s v="Non Résolu"/>
    <s v="Mai-Ndombe"/>
    <s v="CLI-00090"/>
    <x v="0"/>
    <s v="Huawei"/>
    <s v="Bloqué 5Go"/>
    <s v="B2C"/>
  </r>
  <r>
    <d v="2023-10-25T00:00:00"/>
    <d v="1899-12-30T23:36:00"/>
    <x v="35"/>
    <n v="107"/>
    <s v="En Cours"/>
    <s v="Mai-Ndombe"/>
    <s v="CLI-00090"/>
    <x v="0"/>
    <s v="Huawei"/>
    <s v="Bloqué 5Go"/>
    <s v="B2C"/>
  </r>
  <r>
    <d v="2023-10-21T00:00:00"/>
    <d v="1899-12-30T16:15:00"/>
    <x v="36"/>
    <n v="107"/>
    <s v="En Cours"/>
    <s v="Tshopo"/>
    <s v="CLI-00100"/>
    <x v="0"/>
    <s v="ZTE"/>
    <s v="Bloqué 5Go"/>
    <s v="B2C"/>
  </r>
  <r>
    <d v="2023-10-02T00:00:00"/>
    <d v="1899-12-30T05:54:00"/>
    <x v="37"/>
    <n v="91"/>
    <s v="Non Résolu"/>
    <s v="Ituri"/>
    <s v="CLI-00041"/>
    <x v="2"/>
    <s v="Ericsson"/>
    <s v="Pro Monde"/>
    <s v="B2B"/>
  </r>
  <r>
    <d v="2023-10-17T00:00:00"/>
    <d v="1899-12-30T17:01:00"/>
    <x v="37"/>
    <n v="39"/>
    <s v="Résolu"/>
    <s v="Ituri"/>
    <s v="CLI-00041"/>
    <x v="2"/>
    <s v="Ericsson"/>
    <s v="Pro Monde"/>
    <s v="B2B"/>
  </r>
  <r>
    <d v="2023-10-23T00:00:00"/>
    <d v="1899-12-30T10:13:00"/>
    <x v="38"/>
    <n v="48"/>
    <s v="Résolu"/>
    <s v="Non Trouvée"/>
    <s v="Aucun"/>
    <x v="1"/>
    <s v="Non Trouvée"/>
    <s v="Pas d'information"/>
    <s v="B2C"/>
  </r>
  <r>
    <d v="2023-10-18T00:00:00"/>
    <d v="1899-12-30T11:43:00"/>
    <x v="39"/>
    <n v="94"/>
    <s v="Résolu"/>
    <s v="Non Trouvée"/>
    <s v="Aucun"/>
    <x v="1"/>
    <s v="Non Trouvée"/>
    <s v="Pas d'information"/>
    <s v="B2C"/>
  </r>
  <r>
    <d v="2023-10-22T00:00:00"/>
    <d v="1899-12-30T23:11:00"/>
    <x v="40"/>
    <n v="84"/>
    <s v="En Cours"/>
    <s v="Non Trouvée"/>
    <s v="Aucun"/>
    <x v="1"/>
    <s v="Non Trouvée"/>
    <s v="Pas d'information"/>
    <s v="B2C"/>
  </r>
  <r>
    <d v="2023-10-04T00:00:00"/>
    <d v="1899-12-30T23:00:00"/>
    <x v="41"/>
    <n v="65"/>
    <s v="En Cours"/>
    <s v="Non Trouvée"/>
    <s v="Aucun"/>
    <x v="1"/>
    <s v="Non Trouvée"/>
    <s v="Pas d'information"/>
    <s v="B2C"/>
  </r>
  <r>
    <d v="2023-10-10T00:00:00"/>
    <d v="1899-12-30T04:11:00"/>
    <x v="42"/>
    <n v="5"/>
    <s v="Résolu"/>
    <s v="Non Trouvée"/>
    <s v="Aucun"/>
    <x v="1"/>
    <s v="Non Trouvée"/>
    <s v="Pas d'information"/>
    <s v="B2C"/>
  </r>
  <r>
    <d v="2023-10-12T00:00:00"/>
    <d v="1899-12-30T03:32:00"/>
    <x v="42"/>
    <n v="89"/>
    <s v="Non Résolu"/>
    <s v="Non Trouvée"/>
    <s v="Aucun"/>
    <x v="1"/>
    <s v="Non Trouvée"/>
    <s v="Pas d'information"/>
    <s v="B2C"/>
  </r>
  <r>
    <d v="2023-10-12T00:00:00"/>
    <d v="1899-12-30T01:32:00"/>
    <x v="43"/>
    <n v="6"/>
    <s v="En Cours"/>
    <s v="Kasai-Oriental"/>
    <s v="CLI-00107"/>
    <x v="2"/>
    <s v="Huawei"/>
    <s v="Premium 5G 150Go"/>
    <s v="B2C"/>
  </r>
  <r>
    <d v="2023-10-22T00:00:00"/>
    <d v="1899-12-30T11:34:00"/>
    <x v="44"/>
    <n v="80"/>
    <s v="En Cours"/>
    <s v="Non Trouvée"/>
    <s v="Aucun"/>
    <x v="1"/>
    <s v="Non Trouvée"/>
    <s v="Pas d'information"/>
    <s v="B2C"/>
  </r>
  <r>
    <d v="2023-10-13T00:00:00"/>
    <d v="1899-12-30T21:07:00"/>
    <x v="45"/>
    <n v="99"/>
    <s v="Résolu"/>
    <s v="Non Trouvée"/>
    <s v="Aucun"/>
    <x v="1"/>
    <s v="Non Trouvée"/>
    <s v="Pas d'information"/>
    <s v="B2C"/>
  </r>
  <r>
    <d v="2023-10-21T00:00:00"/>
    <d v="1899-12-30T06:18:00"/>
    <x v="45"/>
    <n v="96"/>
    <s v="Résolu"/>
    <s v="Non Trouvée"/>
    <s v="Aucun"/>
    <x v="1"/>
    <s v="Non Trouvée"/>
    <s v="Pas d'information"/>
    <s v="B2C"/>
  </r>
  <r>
    <d v="2023-10-08T00:00:00"/>
    <d v="1899-12-30T16:50:00"/>
    <x v="46"/>
    <n v="27"/>
    <s v="En Cours"/>
    <s v="Sankuru"/>
    <s v="CLI-00197"/>
    <x v="0"/>
    <s v="Nokia"/>
    <s v="Illimité 50Go"/>
    <s v="B2C"/>
  </r>
  <r>
    <d v="2023-10-10T00:00:00"/>
    <d v="1899-12-30T13:24:00"/>
    <x v="47"/>
    <n v="66"/>
    <s v="Non Résolu"/>
    <s v="Ituri"/>
    <s v="CLI-00041"/>
    <x v="0"/>
    <s v="Huawei"/>
    <s v="Pro Monde"/>
    <s v="B2B"/>
  </r>
  <r>
    <d v="2023-10-22T00:00:00"/>
    <d v="1899-12-30T14:00:00"/>
    <x v="48"/>
    <n v="106"/>
    <s v="En Cours"/>
    <s v="Non Trouvée"/>
    <s v="Aucun"/>
    <x v="1"/>
    <s v="Non Trouvée"/>
    <s v="Pas d'information"/>
    <s v="B2C"/>
  </r>
  <r>
    <d v="2023-10-09T00:00:00"/>
    <d v="1899-12-30T13:24:00"/>
    <x v="49"/>
    <n v="44"/>
    <s v="En Cours"/>
    <s v="Kasai-Central"/>
    <s v="CLI-00060"/>
    <x v="2"/>
    <s v="Huawei"/>
    <s v="Pro Monde"/>
    <s v="B2B"/>
  </r>
  <r>
    <d v="2023-10-26T00:00:00"/>
    <d v="1899-12-30T05:18:00"/>
    <x v="49"/>
    <n v="104"/>
    <s v="Non Résolu"/>
    <s v="Kasai-Central"/>
    <s v="CLI-00060"/>
    <x v="2"/>
    <s v="Huawei"/>
    <s v="Pro Monde"/>
    <s v="B2B"/>
  </r>
  <r>
    <d v="2023-10-05T00:00:00"/>
    <d v="1899-12-30T13:41:00"/>
    <x v="50"/>
    <n v="13"/>
    <s v="En Cours"/>
    <s v="Non Trouvée"/>
    <s v="Aucun"/>
    <x v="1"/>
    <s v="Non Trouvée"/>
    <s v="Pas d'information"/>
    <s v="B2C"/>
  </r>
  <r>
    <d v="2023-10-11T00:00:00"/>
    <d v="1899-12-30T07:26:00"/>
    <x v="51"/>
    <n v="47"/>
    <s v="Non Résolu"/>
    <s v="Non Trouvée"/>
    <s v="Aucun"/>
    <x v="1"/>
    <s v="Non Trouvée"/>
    <s v="Pas d'information"/>
    <s v="B2C"/>
  </r>
  <r>
    <d v="2023-10-13T00:00:00"/>
    <d v="1899-12-30T15:02:00"/>
    <x v="51"/>
    <n v="107"/>
    <s v="Non Résolu"/>
    <s v="Non Trouvée"/>
    <s v="Aucun"/>
    <x v="1"/>
    <s v="Non Trouvée"/>
    <s v="Pas d'information"/>
    <s v="B2C"/>
  </r>
  <r>
    <d v="2023-10-17T00:00:00"/>
    <d v="1899-12-30T16:10:00"/>
    <x v="52"/>
    <n v="117"/>
    <s v="Résolu"/>
    <s v="Sud-Ubangi"/>
    <s v="CLI-00070"/>
    <x v="2"/>
    <s v="Ericsson"/>
    <s v="Illimité 50Go"/>
    <s v="B2C"/>
  </r>
  <r>
    <d v="2023-10-22T00:00:00"/>
    <d v="1899-12-30T09:02:00"/>
    <x v="53"/>
    <n v="59"/>
    <s v="En Cours"/>
    <s v="Maniema"/>
    <s v="CLI-00039"/>
    <x v="2"/>
    <s v="Ericsson"/>
    <s v="Pro Monde"/>
    <s v="B2B"/>
  </r>
  <r>
    <d v="2023-10-07T00:00:00"/>
    <d v="1899-12-30T04:01:00"/>
    <x v="54"/>
    <n v="64"/>
    <s v="Non Résolu"/>
    <s v="Ituri"/>
    <s v="CLI-00041"/>
    <x v="0"/>
    <s v="Huawei"/>
    <s v="Pro Monde"/>
    <s v="B2B"/>
  </r>
  <r>
    <d v="2023-10-03T00:00:00"/>
    <d v="1899-12-30T01:09:00"/>
    <x v="55"/>
    <n v="115"/>
    <s v="Non Résolu"/>
    <s v="Tshuapa"/>
    <s v="CLI-00033"/>
    <x v="0"/>
    <s v="ZTE"/>
    <s v="Premium 5G 150Go"/>
    <s v="B2C"/>
  </r>
  <r>
    <d v="2023-10-20T00:00:00"/>
    <d v="1899-12-30T15:45:00"/>
    <x v="55"/>
    <n v="118"/>
    <s v="Non Résolu"/>
    <s v="Tshuapa"/>
    <s v="CLI-00033"/>
    <x v="0"/>
    <s v="ZTE"/>
    <s v="Premium 5G 150Go"/>
    <s v="B2C"/>
  </r>
  <r>
    <d v="2023-10-26T00:00:00"/>
    <d v="1899-12-30T23:30:00"/>
    <x v="55"/>
    <n v="6"/>
    <s v="Résolu"/>
    <s v="Tshuapa"/>
    <s v="CLI-00033"/>
    <x v="0"/>
    <s v="ZTE"/>
    <s v="Premium 5G 150Go"/>
    <s v="B2C"/>
  </r>
  <r>
    <d v="2023-10-14T00:00:00"/>
    <d v="1899-12-30T08:02:00"/>
    <x v="56"/>
    <n v="62"/>
    <s v="Résolu"/>
    <s v="Non Trouvée"/>
    <s v="Aucun"/>
    <x v="1"/>
    <s v="Non Trouvée"/>
    <s v="Pas d'information"/>
    <s v="B2C"/>
  </r>
  <r>
    <d v="2023-10-27T00:00:00"/>
    <d v="1899-12-30T15:46:00"/>
    <x v="56"/>
    <n v="7"/>
    <s v="Résolu"/>
    <s v="Non Trouvée"/>
    <s v="Aucun"/>
    <x v="1"/>
    <s v="Non Trouvée"/>
    <s v="Pas d'information"/>
    <s v="B2C"/>
  </r>
  <r>
    <d v="2023-10-26T00:00:00"/>
    <d v="1899-12-30T03:32:00"/>
    <x v="57"/>
    <n v="44"/>
    <s v="Résolu"/>
    <s v="Sud-Kivu"/>
    <s v="CLI-00054"/>
    <x v="3"/>
    <s v="Ericsson"/>
    <s v="Bloqué 5Go"/>
    <s v="B2C"/>
  </r>
  <r>
    <d v="2023-10-04T00:00:00"/>
    <d v="1899-12-30T07:47:00"/>
    <x v="58"/>
    <n v="34"/>
    <s v="Résolu"/>
    <s v="Non Trouvée"/>
    <s v="Aucun"/>
    <x v="1"/>
    <s v="Non Trouvée"/>
    <s v="Pas d'information"/>
    <s v="B2C"/>
  </r>
  <r>
    <d v="2023-10-11T00:00:00"/>
    <d v="1899-12-30T10:48:00"/>
    <x v="59"/>
    <n v="66"/>
    <s v="Résolu"/>
    <s v="Lualaba"/>
    <s v="CLI-00334"/>
    <x v="0"/>
    <s v="Ericsson"/>
    <s v="Pro Monde"/>
    <s v="B2B"/>
  </r>
  <r>
    <d v="2023-10-21T00:00:00"/>
    <d v="1899-12-30T18:06:00"/>
    <x v="59"/>
    <n v="85"/>
    <s v="Résolu"/>
    <s v="Lualaba"/>
    <s v="CLI-00334"/>
    <x v="0"/>
    <s v="Ericsson"/>
    <s v="Pro Monde"/>
    <s v="B2B"/>
  </r>
  <r>
    <d v="2023-10-13T00:00:00"/>
    <d v="1899-12-30T13:38:00"/>
    <x v="60"/>
    <n v="42"/>
    <s v="Non Résolu"/>
    <s v="Kasai-Central"/>
    <s v="CLI-00060"/>
    <x v="3"/>
    <s v="Nokia"/>
    <s v="Pro Monde"/>
    <s v="B2B"/>
  </r>
  <r>
    <d v="2023-10-06T00:00:00"/>
    <d v="1899-12-30T04:36:00"/>
    <x v="61"/>
    <n v="34"/>
    <s v="Résolu"/>
    <s v="Sankuru"/>
    <s v="CLI-00197"/>
    <x v="3"/>
    <s v="ZTE"/>
    <s v="Illimité 50Go"/>
    <s v="B2C"/>
  </r>
  <r>
    <d v="2023-10-20T00:00:00"/>
    <d v="1899-12-30T15:12:00"/>
    <x v="62"/>
    <n v="18"/>
    <s v="En Cours"/>
    <s v="Non Trouvée"/>
    <s v="Aucun"/>
    <x v="1"/>
    <s v="Non Trouvée"/>
    <s v="Pas d'information"/>
    <s v="B2C"/>
  </r>
  <r>
    <d v="2023-10-05T00:00:00"/>
    <d v="1899-12-30T13:12:00"/>
    <x v="63"/>
    <n v="113"/>
    <s v="Non Résolu"/>
    <s v="Kongo-Central"/>
    <s v="CLI-00012"/>
    <x v="0"/>
    <s v="Huawei"/>
    <s v="Illimité 50Go"/>
    <s v="B2C"/>
  </r>
  <r>
    <d v="2023-10-05T00:00:00"/>
    <d v="1899-12-30T05:42:00"/>
    <x v="63"/>
    <n v="21"/>
    <s v="Non Résolu"/>
    <s v="Kongo-Central"/>
    <s v="CLI-00012"/>
    <x v="0"/>
    <s v="Huawei"/>
    <s v="Illimité 50Go"/>
    <s v="B2C"/>
  </r>
  <r>
    <d v="2023-10-23T00:00:00"/>
    <d v="1899-12-30T15:55:00"/>
    <x v="63"/>
    <n v="6"/>
    <s v="En Cours"/>
    <s v="Kongo-Central"/>
    <s v="CLI-00012"/>
    <x v="0"/>
    <s v="Huawei"/>
    <s v="Illimité 50Go"/>
    <s v="B2C"/>
  </r>
  <r>
    <d v="2023-10-27T00:00:00"/>
    <d v="1899-12-30T12:44:00"/>
    <x v="64"/>
    <n v="101"/>
    <s v="En Cours"/>
    <s v="Maniema"/>
    <s v="CLI-00039"/>
    <x v="0"/>
    <s v="Nokia"/>
    <s v="Pro Monde"/>
    <s v="B2B"/>
  </r>
  <r>
    <d v="2023-10-07T00:00:00"/>
    <d v="1899-12-30T06:34:00"/>
    <x v="65"/>
    <n v="117"/>
    <s v="En Cours"/>
    <s v="Non Trouvée"/>
    <s v="Aucun"/>
    <x v="1"/>
    <s v="Non Trouvée"/>
    <s v="Pas d'information"/>
    <s v="B2C"/>
  </r>
  <r>
    <d v="2023-10-04T00:00:00"/>
    <d v="1899-12-30T05:19:00"/>
    <x v="66"/>
    <n v="101"/>
    <s v="Résolu"/>
    <s v="Tshopo"/>
    <s v="CLI-00100"/>
    <x v="3"/>
    <s v="ZTE"/>
    <s v="Bloqué 5Go"/>
    <s v="B2C"/>
  </r>
  <r>
    <d v="2023-10-27T00:00:00"/>
    <d v="1899-12-30T23:16:00"/>
    <x v="66"/>
    <n v="68"/>
    <s v="Résolu"/>
    <s v="Tshopo"/>
    <s v="CLI-00100"/>
    <x v="3"/>
    <s v="ZTE"/>
    <s v="Bloqué 5Go"/>
    <s v="B2C"/>
  </r>
  <r>
    <d v="2023-10-28T00:00:00"/>
    <d v="1899-12-30T00:15:00"/>
    <x v="67"/>
    <n v="49"/>
    <s v="En Cours"/>
    <s v="Non Trouvée"/>
    <s v="Aucun"/>
    <x v="1"/>
    <s v="Non Trouvée"/>
    <s v="Pas d'information"/>
    <s v="B2C"/>
  </r>
  <r>
    <d v="2023-10-16T00:00:00"/>
    <d v="1899-12-30T06:55:00"/>
    <x v="68"/>
    <n v="109"/>
    <s v="Résolu"/>
    <s v="Kongo-Central"/>
    <s v="CLI-00012"/>
    <x v="2"/>
    <s v="ZTE"/>
    <s v="Illimité 50Go"/>
    <s v="B2C"/>
  </r>
  <r>
    <d v="2023-10-16T00:00:00"/>
    <d v="1899-12-30T01:08:00"/>
    <x v="69"/>
    <n v="35"/>
    <s v="Résolu"/>
    <s v="Non Trouvée"/>
    <s v="Aucun"/>
    <x v="1"/>
    <s v="Non Trouvée"/>
    <s v="Pas d'information"/>
    <s v="B2C"/>
  </r>
  <r>
    <d v="2023-10-23T00:00:00"/>
    <d v="1899-12-30T22:40:00"/>
    <x v="69"/>
    <n v="87"/>
    <s v="Non Résolu"/>
    <s v="Non Trouvée"/>
    <s v="Aucun"/>
    <x v="1"/>
    <s v="Non Trouvée"/>
    <s v="Pas d'information"/>
    <s v="B2C"/>
  </r>
  <r>
    <d v="2023-10-30T00:00:00"/>
    <d v="1899-12-30T19:14:00"/>
    <x v="69"/>
    <n v="89"/>
    <s v="Résolu"/>
    <s v="Non Trouvée"/>
    <s v="Aucun"/>
    <x v="1"/>
    <s v="Non Trouvée"/>
    <s v="Pas d'information"/>
    <s v="B2C"/>
  </r>
  <r>
    <d v="2023-10-24T00:00:00"/>
    <d v="1899-12-30T19:04:00"/>
    <x v="70"/>
    <n v="97"/>
    <s v="Résolu"/>
    <s v="Haut-Uele"/>
    <s v="CLI-00055"/>
    <x v="0"/>
    <s v="Nokia"/>
    <s v="Pro Monde"/>
    <s v="B2B"/>
  </r>
  <r>
    <d v="2023-10-28T00:00:00"/>
    <d v="1899-12-30T00:08:00"/>
    <x v="71"/>
    <n v="66"/>
    <s v="En Cours"/>
    <s v="Non Trouvée"/>
    <s v="Aucun"/>
    <x v="1"/>
    <s v="Non Trouvée"/>
    <s v="Pas d'information"/>
    <s v="B2C"/>
  </r>
  <r>
    <d v="2023-10-11T00:00:00"/>
    <d v="1899-12-30T16:53:00"/>
    <x v="72"/>
    <n v="20"/>
    <s v="Résolu"/>
    <s v="Equateur"/>
    <s v="CLI-00091"/>
    <x v="2"/>
    <s v="Huawei"/>
    <s v="Bloqué 5Go"/>
    <s v="B2C"/>
  </r>
  <r>
    <d v="2023-10-14T00:00:00"/>
    <d v="1899-12-30T18:19:00"/>
    <x v="72"/>
    <n v="119"/>
    <s v="En Cours"/>
    <s v="Equateur"/>
    <s v="CLI-00091"/>
    <x v="2"/>
    <s v="Huawei"/>
    <s v="Bloqué 5Go"/>
    <s v="B2C"/>
  </r>
  <r>
    <d v="2023-10-31T00:00:00"/>
    <d v="1899-12-30T20:09:00"/>
    <x v="72"/>
    <n v="83"/>
    <s v="En Cours"/>
    <s v="Equateur"/>
    <s v="CLI-00091"/>
    <x v="2"/>
    <s v="Huawei"/>
    <s v="Bloqué 5Go"/>
    <s v="B2C"/>
  </r>
  <r>
    <d v="2023-10-26T00:00:00"/>
    <d v="1899-12-30T02:08:00"/>
    <x v="73"/>
    <n v="51"/>
    <s v="Résolu"/>
    <s v="Non Trouvée"/>
    <s v="Aucun"/>
    <x v="1"/>
    <s v="Non Trouvée"/>
    <s v="Pas d'information"/>
    <s v="B2C"/>
  </r>
  <r>
    <d v="2023-10-15T00:00:00"/>
    <d v="1899-12-30T03:16:00"/>
    <x v="74"/>
    <n v="92"/>
    <s v="Résolu"/>
    <s v="Non Trouvée"/>
    <s v="Aucun"/>
    <x v="1"/>
    <s v="Non Trouvée"/>
    <s v="Pas d'information"/>
    <s v="B2C"/>
  </r>
  <r>
    <d v="2023-10-20T00:00:00"/>
    <d v="1899-12-30T19:43:00"/>
    <x v="74"/>
    <n v="31"/>
    <s v="Non Résolu"/>
    <s v="Non Trouvée"/>
    <s v="Aucun"/>
    <x v="1"/>
    <s v="Non Trouvée"/>
    <s v="Pas d'information"/>
    <s v="B2C"/>
  </r>
  <r>
    <d v="2023-10-04T00:00:00"/>
    <d v="1899-12-30T01:00:00"/>
    <x v="75"/>
    <n v="69"/>
    <s v="En Cours"/>
    <s v="Bas-Uele"/>
    <s v="CLI-00029"/>
    <x v="0"/>
    <s v="Huawei"/>
    <s v="Pro Monde"/>
    <s v="B2B"/>
  </r>
  <r>
    <d v="2023-10-21T00:00:00"/>
    <d v="1899-12-30T21:27:00"/>
    <x v="75"/>
    <n v="101"/>
    <s v="En Cours"/>
    <s v="Bas-Uele"/>
    <s v="CLI-00029"/>
    <x v="0"/>
    <s v="Huawei"/>
    <s v="Pro Monde"/>
    <s v="B2B"/>
  </r>
  <r>
    <d v="2023-10-12T00:00:00"/>
    <d v="1899-12-30T09:08:00"/>
    <x v="76"/>
    <n v="84"/>
    <s v="Résolu"/>
    <s v="Non Trouvée"/>
    <s v="Aucun"/>
    <x v="1"/>
    <s v="Non Trouvée"/>
    <s v="Pas d'information"/>
    <s v="B2C"/>
  </r>
  <r>
    <d v="2023-10-01T00:00:00"/>
    <d v="1899-12-30T02:47:00"/>
    <x v="77"/>
    <n v="111"/>
    <s v="En Cours"/>
    <s v="Non Trouvée"/>
    <s v="Aucun"/>
    <x v="1"/>
    <s v="Non Trouvée"/>
    <s v="Pas d'information"/>
    <s v="B2C"/>
  </r>
  <r>
    <d v="2023-10-26T00:00:00"/>
    <d v="1899-12-30T05:44:00"/>
    <x v="77"/>
    <n v="16"/>
    <s v="Non Résolu"/>
    <s v="Non Trouvée"/>
    <s v="Aucun"/>
    <x v="1"/>
    <s v="Non Trouvée"/>
    <s v="Pas d'information"/>
    <s v="B2C"/>
  </r>
  <r>
    <d v="2023-10-26T00:00:00"/>
    <d v="1899-12-30T18:46:00"/>
    <x v="78"/>
    <n v="113"/>
    <s v="Non Résolu"/>
    <s v="Tanganyika"/>
    <s v="CLI-00007"/>
    <x v="3"/>
    <s v="ZTE"/>
    <s v="Bloqué 5Go"/>
    <s v="B2C"/>
  </r>
  <r>
    <d v="2023-10-08T00:00:00"/>
    <d v="1899-12-30T17:08:00"/>
    <x v="79"/>
    <n v="99"/>
    <s v="Non Résolu"/>
    <s v="Non Trouvée"/>
    <s v="Aucun"/>
    <x v="1"/>
    <s v="Non Trouvée"/>
    <s v="Pas d'information"/>
    <s v="B2C"/>
  </r>
  <r>
    <d v="2023-10-27T00:00:00"/>
    <d v="1899-12-30T13:47:00"/>
    <x v="79"/>
    <n v="81"/>
    <s v="Non Résolu"/>
    <s v="Non Trouvée"/>
    <s v="Aucun"/>
    <x v="1"/>
    <s v="Non Trouvée"/>
    <s v="Pas d'information"/>
    <s v="B2C"/>
  </r>
  <r>
    <d v="2023-10-02T00:00:00"/>
    <d v="1899-12-30T18:30:00"/>
    <x v="80"/>
    <n v="18"/>
    <s v="En Cours"/>
    <s v="Non Trouvée"/>
    <s v="Aucun"/>
    <x v="1"/>
    <s v="Non Trouvée"/>
    <s v="Pas d'information"/>
    <s v="B2C"/>
  </r>
  <r>
    <d v="2023-10-06T00:00:00"/>
    <d v="1899-12-30T14:24:00"/>
    <x v="80"/>
    <n v="19"/>
    <s v="Non Résolu"/>
    <s v="Non Trouvée"/>
    <s v="Aucun"/>
    <x v="1"/>
    <s v="Non Trouvée"/>
    <s v="Pas d'information"/>
    <s v="B2C"/>
  </r>
  <r>
    <d v="2023-10-05T00:00:00"/>
    <d v="1899-12-30T16:26:00"/>
    <x v="81"/>
    <n v="92"/>
    <s v="Résolu"/>
    <s v="Non Trouvée"/>
    <s v="Aucun"/>
    <x v="1"/>
    <s v="Non Trouvée"/>
    <s v="Pas d'information"/>
    <s v="B2C"/>
  </r>
  <r>
    <d v="2023-10-25T00:00:00"/>
    <d v="1899-12-30T07:27:00"/>
    <x v="81"/>
    <n v="98"/>
    <s v="Non Résolu"/>
    <s v="Non Trouvée"/>
    <s v="Aucun"/>
    <x v="1"/>
    <s v="Non Trouvée"/>
    <s v="Pas d'information"/>
    <s v="B2C"/>
  </r>
  <r>
    <d v="2023-10-26T00:00:00"/>
    <d v="1899-12-30T22:07:00"/>
    <x v="81"/>
    <n v="45"/>
    <s v="Résolu"/>
    <s v="Non Trouvée"/>
    <s v="Aucun"/>
    <x v="1"/>
    <s v="Non Trouvée"/>
    <s v="Pas d'information"/>
    <s v="B2C"/>
  </r>
  <r>
    <d v="2023-10-04T00:00:00"/>
    <d v="1899-12-30T21:51:00"/>
    <x v="82"/>
    <n v="62"/>
    <s v="Résolu"/>
    <s v="Maniema"/>
    <s v="CLI-00039"/>
    <x v="0"/>
    <s v="Nokia"/>
    <s v="Pro Monde"/>
    <s v="B2B"/>
  </r>
  <r>
    <d v="2023-10-13T00:00:00"/>
    <d v="1899-12-30T10:01:00"/>
    <x v="82"/>
    <n v="55"/>
    <s v="Non Résolu"/>
    <s v="Maniema"/>
    <s v="CLI-00039"/>
    <x v="0"/>
    <s v="Nokia"/>
    <s v="Pro Monde"/>
    <s v="B2B"/>
  </r>
  <r>
    <d v="2023-10-17T00:00:00"/>
    <d v="1899-12-30T10:27:00"/>
    <x v="82"/>
    <n v="88"/>
    <s v="Résolu"/>
    <s v="Maniema"/>
    <s v="CLI-00039"/>
    <x v="0"/>
    <s v="Nokia"/>
    <s v="Pro Monde"/>
    <s v="B2B"/>
  </r>
  <r>
    <d v="2023-10-01T00:00:00"/>
    <d v="1899-12-30T20:04:00"/>
    <x v="83"/>
    <n v="6"/>
    <s v="Résolu"/>
    <s v="Non Trouvée"/>
    <s v="Aucun"/>
    <x v="1"/>
    <s v="Non Trouvée"/>
    <s v="Pas d'information"/>
    <s v="B2C"/>
  </r>
  <r>
    <d v="2023-10-10T00:00:00"/>
    <d v="1899-12-30T11:06:00"/>
    <x v="83"/>
    <n v="102"/>
    <s v="En Cours"/>
    <s v="Non Trouvée"/>
    <s v="Aucun"/>
    <x v="1"/>
    <s v="Non Trouvée"/>
    <s v="Pas d'information"/>
    <s v="B2C"/>
  </r>
  <r>
    <d v="2023-10-11T00:00:00"/>
    <d v="1899-12-30T00:11:00"/>
    <x v="83"/>
    <n v="59"/>
    <s v="Non Résolu"/>
    <s v="Non Trouvée"/>
    <s v="Aucun"/>
    <x v="1"/>
    <s v="Non Trouvée"/>
    <s v="Pas d'information"/>
    <s v="B2C"/>
  </r>
  <r>
    <d v="2023-10-26T00:00:00"/>
    <d v="1899-12-30T10:23:00"/>
    <x v="84"/>
    <n v="50"/>
    <s v="Non Résolu"/>
    <s v="Non Trouvée"/>
    <s v="Aucun"/>
    <x v="1"/>
    <s v="Non Trouvée"/>
    <s v="Pas d'information"/>
    <s v="B2C"/>
  </r>
  <r>
    <d v="2023-10-31T00:00:00"/>
    <d v="1899-12-30T15:07:00"/>
    <x v="84"/>
    <n v="91"/>
    <s v="Résolu"/>
    <s v="Non Trouvée"/>
    <s v="Aucun"/>
    <x v="1"/>
    <s v="Non Trouvée"/>
    <s v="Pas d'information"/>
    <s v="B2C"/>
  </r>
  <r>
    <d v="2023-10-31T00:00:00"/>
    <d v="1899-12-30T09:29:00"/>
    <x v="85"/>
    <n v="89"/>
    <s v="En Cours"/>
    <s v="Bas-Uele"/>
    <s v="CLI-00029"/>
    <x v="0"/>
    <s v="Huawei"/>
    <s v="Pro Monde"/>
    <s v="B2B"/>
  </r>
  <r>
    <d v="2023-10-08T00:00:00"/>
    <d v="1899-12-30T00:16:00"/>
    <x v="86"/>
    <n v="32"/>
    <s v="Résolu"/>
    <s v="Kasai-Central"/>
    <s v="CLI-00060"/>
    <x v="3"/>
    <s v="Nokia"/>
    <s v="Pro Monde"/>
    <s v="B2B"/>
  </r>
  <r>
    <d v="2023-10-05T00:00:00"/>
    <d v="1899-12-30T15:00:00"/>
    <x v="87"/>
    <n v="94"/>
    <s v="En Cours"/>
    <s v="Bas-Uele"/>
    <s v="CLI-00029"/>
    <x v="0"/>
    <s v="Huawei"/>
    <s v="Pro Monde"/>
    <s v="B2B"/>
  </r>
  <r>
    <d v="2023-10-15T00:00:00"/>
    <d v="1899-12-30T22:19:00"/>
    <x v="88"/>
    <n v="89"/>
    <s v="En Cours"/>
    <s v="Non Trouvée"/>
    <s v="Aucun"/>
    <x v="1"/>
    <s v="Non Trouvée"/>
    <s v="Pas d'information"/>
    <s v="B2C"/>
  </r>
  <r>
    <d v="2023-10-03T00:00:00"/>
    <d v="1899-12-30T21:54:00"/>
    <x v="89"/>
    <n v="68"/>
    <s v="En Cours"/>
    <s v="Non Trouvée"/>
    <s v="Aucun"/>
    <x v="1"/>
    <s v="Non Trouvée"/>
    <s v="Pas d'information"/>
    <s v="B2C"/>
  </r>
  <r>
    <d v="2023-10-19T00:00:00"/>
    <d v="1899-12-30T19:04:00"/>
    <x v="90"/>
    <n v="108"/>
    <s v="Résolu"/>
    <s v="Non Trouvée"/>
    <s v="Aucun"/>
    <x v="1"/>
    <s v="Non Trouvée"/>
    <s v="Pas d'information"/>
    <s v="B2C"/>
  </r>
  <r>
    <d v="2023-10-08T00:00:00"/>
    <d v="1899-12-30T04:09:00"/>
    <x v="91"/>
    <n v="73"/>
    <s v="En Cours"/>
    <s v="Non Trouvée"/>
    <s v="Aucun"/>
    <x v="1"/>
    <s v="Non Trouvée"/>
    <s v="Pas d'information"/>
    <s v="B2C"/>
  </r>
  <r>
    <d v="2023-10-09T00:00:00"/>
    <d v="1899-12-30T01:48:00"/>
    <x v="92"/>
    <n v="82"/>
    <s v="En Cours"/>
    <s v="Non Trouvée"/>
    <s v="Aucun"/>
    <x v="1"/>
    <s v="Non Trouvée"/>
    <s v="Pas d'information"/>
    <s v="B2C"/>
  </r>
  <r>
    <d v="2023-10-29T00:00:00"/>
    <d v="1899-12-30T20:22:00"/>
    <x v="92"/>
    <n v="18"/>
    <s v="En Cours"/>
    <s v="Non Trouvée"/>
    <s v="Aucun"/>
    <x v="1"/>
    <s v="Non Trouvée"/>
    <s v="Pas d'information"/>
    <s v="B2C"/>
  </r>
  <r>
    <d v="2023-10-15T00:00:00"/>
    <d v="1899-12-30T10:59:00"/>
    <x v="93"/>
    <n v="48"/>
    <s v="En Cours"/>
    <s v="Sud-Ubangi"/>
    <s v="CLI-00070"/>
    <x v="2"/>
    <s v="Nokia"/>
    <s v="Illimité 50Go"/>
    <s v="B2C"/>
  </r>
  <r>
    <d v="2023-10-21T00:00:00"/>
    <d v="1899-12-30T11:44:00"/>
    <x v="93"/>
    <n v="49"/>
    <s v="En Cours"/>
    <s v="Sud-Ubangi"/>
    <s v="CLI-00070"/>
    <x v="2"/>
    <s v="Nokia"/>
    <s v="Illimité 50Go"/>
    <s v="B2C"/>
  </r>
  <r>
    <d v="2023-10-13T00:00:00"/>
    <d v="1899-12-30T21:01:00"/>
    <x v="94"/>
    <n v="23"/>
    <s v="Résolu"/>
    <s v="Kwilu"/>
    <s v="CLI-00009"/>
    <x v="3"/>
    <s v="Nokia"/>
    <s v="Pro Monde"/>
    <s v="B2B"/>
  </r>
  <r>
    <d v="2023-10-07T00:00:00"/>
    <d v="1899-12-30T12:57:00"/>
    <x v="95"/>
    <n v="43"/>
    <s v="Résolu"/>
    <s v="Kwango"/>
    <s v="CLI-00094"/>
    <x v="0"/>
    <s v="Huawei"/>
    <s v="Pro Monde"/>
    <s v="B2B"/>
  </r>
  <r>
    <d v="2023-10-13T00:00:00"/>
    <d v="1899-12-30T21:38:00"/>
    <x v="95"/>
    <n v="58"/>
    <s v="Résolu"/>
    <s v="Kwango"/>
    <s v="CLI-00094"/>
    <x v="0"/>
    <s v="Huawei"/>
    <s v="Pro Monde"/>
    <s v="B2B"/>
  </r>
  <r>
    <d v="2023-10-29T00:00:00"/>
    <d v="1899-12-30T14:55:00"/>
    <x v="95"/>
    <n v="98"/>
    <s v="En Cours"/>
    <s v="Kwango"/>
    <s v="CLI-00094"/>
    <x v="0"/>
    <s v="Huawei"/>
    <s v="Pro Monde"/>
    <s v="B2B"/>
  </r>
  <r>
    <d v="2023-10-04T00:00:00"/>
    <d v="1899-12-30T17:14:00"/>
    <x v="96"/>
    <n v="114"/>
    <s v="Non Résolu"/>
    <s v="Non Trouvée"/>
    <s v="Aucun"/>
    <x v="1"/>
    <s v="Non Trouvée"/>
    <s v="Pas d'information"/>
    <s v="B2C"/>
  </r>
  <r>
    <d v="2023-10-31T00:00:00"/>
    <d v="1899-12-30T10:40:00"/>
    <x v="96"/>
    <n v="40"/>
    <s v="Résolu"/>
    <s v="Non Trouvée"/>
    <s v="Aucun"/>
    <x v="1"/>
    <s v="Non Trouvée"/>
    <s v="Pas d'information"/>
    <s v="B2C"/>
  </r>
  <r>
    <d v="2023-10-11T00:00:00"/>
    <d v="1899-12-30T11:56:00"/>
    <x v="97"/>
    <n v="75"/>
    <s v="En Cours"/>
    <s v="Sud-Kivu"/>
    <s v="CLI-00054"/>
    <x v="3"/>
    <s v="Nokia"/>
    <s v="Bloqué 5Go"/>
    <s v="B2C"/>
  </r>
  <r>
    <d v="2023-10-29T00:00:00"/>
    <d v="1899-12-30T00:02:00"/>
    <x v="97"/>
    <n v="100"/>
    <s v="Non Résolu"/>
    <s v="Sud-Kivu"/>
    <s v="CLI-00054"/>
    <x v="3"/>
    <s v="Nokia"/>
    <s v="Bloqué 5Go"/>
    <s v="B2C"/>
  </r>
  <r>
    <d v="2023-10-13T00:00:00"/>
    <d v="1899-12-30T04:11:00"/>
    <x v="98"/>
    <n v="112"/>
    <s v="En Cours"/>
    <s v="Non Trouvée"/>
    <s v="Aucun"/>
    <x v="1"/>
    <s v="Non Trouvée"/>
    <s v="Pas d'information"/>
    <s v="B2C"/>
  </r>
  <r>
    <d v="2023-10-11T00:00:00"/>
    <d v="1899-12-30T16:12:00"/>
    <x v="99"/>
    <n v="86"/>
    <s v="En Cours"/>
    <s v="Non Trouvée"/>
    <s v="Aucun"/>
    <x v="1"/>
    <s v="Non Trouvée"/>
    <s v="Pas d'information"/>
    <s v="B2C"/>
  </r>
  <r>
    <d v="2023-10-20T00:00:00"/>
    <d v="1899-12-30T15:16:00"/>
    <x v="99"/>
    <n v="49"/>
    <s v="Résolu"/>
    <s v="Non Trouvée"/>
    <s v="Aucun"/>
    <x v="1"/>
    <s v="Non Trouvée"/>
    <s v="Pas d'information"/>
    <s v="B2C"/>
  </r>
  <r>
    <d v="2023-10-23T00:00:00"/>
    <d v="1899-12-30T12:24:00"/>
    <x v="99"/>
    <n v="66"/>
    <s v="Résolu"/>
    <s v="Non Trouvée"/>
    <s v="Aucun"/>
    <x v="1"/>
    <s v="Non Trouvée"/>
    <s v="Pas d'information"/>
    <s v="B2C"/>
  </r>
  <r>
    <d v="2023-10-03T00:00:00"/>
    <d v="1899-12-30T18:42:00"/>
    <x v="100"/>
    <n v="61"/>
    <s v="En Cours"/>
    <s v="Tanganyika"/>
    <s v="CLI-00007"/>
    <x v="0"/>
    <s v="Nokia"/>
    <s v="Bloqué 5Go"/>
    <s v="B2C"/>
  </r>
  <r>
    <d v="2023-10-14T00:00:00"/>
    <d v="1899-12-30T08:26:00"/>
    <x v="101"/>
    <n v="86"/>
    <s v="En Cours"/>
    <s v="Maniema"/>
    <s v="CLI-00039"/>
    <x v="0"/>
    <s v="Huawei"/>
    <s v="Pro Monde"/>
    <s v="B2B"/>
  </r>
  <r>
    <d v="2023-10-10T00:00:00"/>
    <d v="1899-12-30T05:45:00"/>
    <x v="102"/>
    <n v="42"/>
    <s v="En Cours"/>
    <s v="Non Trouvée"/>
    <s v="Aucun"/>
    <x v="1"/>
    <s v="Non Trouvée"/>
    <s v="Pas d'information"/>
    <s v="B2C"/>
  </r>
  <r>
    <d v="2023-10-05T00:00:00"/>
    <d v="1899-12-30T22:00:00"/>
    <x v="103"/>
    <n v="64"/>
    <s v="En Cours"/>
    <s v="Non Trouvée"/>
    <s v="Aucun"/>
    <x v="1"/>
    <s v="Non Trouvée"/>
    <s v="Pas d'information"/>
    <s v="B2C"/>
  </r>
  <r>
    <d v="2023-10-28T00:00:00"/>
    <d v="1899-12-30T10:07:00"/>
    <x v="103"/>
    <n v="25"/>
    <s v="Non Résolu"/>
    <s v="Non Trouvée"/>
    <s v="Aucun"/>
    <x v="1"/>
    <s v="Non Trouvée"/>
    <s v="Pas d'information"/>
    <s v="B2C"/>
  </r>
  <r>
    <d v="2023-10-06T00:00:00"/>
    <d v="1899-12-30T04:04:00"/>
    <x v="104"/>
    <n v="18"/>
    <s v="Non Résolu"/>
    <s v="Kasai"/>
    <s v="CLI-00057"/>
    <x v="3"/>
    <s v="Huawei"/>
    <s v="Bloqué 5Go"/>
    <s v="B2C"/>
  </r>
  <r>
    <d v="2023-10-09T00:00:00"/>
    <d v="1899-12-30T12:08:00"/>
    <x v="105"/>
    <n v="31"/>
    <s v="En Cours"/>
    <s v="Non Trouvée"/>
    <s v="Aucun"/>
    <x v="1"/>
    <s v="Non Trouvée"/>
    <s v="Pas d'information"/>
    <s v="B2C"/>
  </r>
  <r>
    <d v="2023-10-28T00:00:00"/>
    <d v="1899-12-30T11:06:00"/>
    <x v="105"/>
    <n v="70"/>
    <s v="En Cours"/>
    <s v="Non Trouvée"/>
    <s v="Aucun"/>
    <x v="1"/>
    <s v="Non Trouvée"/>
    <s v="Pas d'information"/>
    <s v="B2C"/>
  </r>
  <r>
    <d v="2023-10-04T00:00:00"/>
    <d v="1899-12-30T18:15:00"/>
    <x v="106"/>
    <n v="18"/>
    <s v="En Cours"/>
    <s v="Nord-Ubangi"/>
    <s v="CLI-00112"/>
    <x v="2"/>
    <s v="Nokia"/>
    <s v="Bloqué 5Go"/>
    <s v="B2C"/>
  </r>
  <r>
    <d v="2023-10-31T00:00:00"/>
    <d v="1899-12-30T00:13:00"/>
    <x v="106"/>
    <n v="11"/>
    <s v="Non Résolu"/>
    <s v="Nord-Ubangi"/>
    <s v="CLI-00112"/>
    <x v="2"/>
    <s v="Nokia"/>
    <s v="Bloqué 5Go"/>
    <s v="B2C"/>
  </r>
  <r>
    <d v="2023-10-06T00:00:00"/>
    <d v="1899-12-30T15:37:00"/>
    <x v="107"/>
    <n v="63"/>
    <s v="Résolu"/>
    <s v="Kongo-Central"/>
    <s v="CLI-00012"/>
    <x v="2"/>
    <s v="ZTE"/>
    <s v="Illimité 50Go"/>
    <s v="B2C"/>
  </r>
  <r>
    <d v="2023-10-24T00:00:00"/>
    <d v="1899-12-30T00:44:00"/>
    <x v="108"/>
    <n v="59"/>
    <s v="Résolu"/>
    <s v="Non Trouvée"/>
    <s v="Aucun"/>
    <x v="1"/>
    <s v="Non Trouvée"/>
    <s v="Pas d'information"/>
    <s v="B2C"/>
  </r>
  <r>
    <d v="2023-10-07T00:00:00"/>
    <d v="1899-12-30T10:26:00"/>
    <x v="109"/>
    <n v="98"/>
    <s v="Résolu"/>
    <s v="Non Trouvée"/>
    <s v="Aucun"/>
    <x v="1"/>
    <s v="Non Trouvée"/>
    <s v="Pas d'information"/>
    <s v="B2C"/>
  </r>
  <r>
    <d v="2023-10-18T00:00:00"/>
    <d v="1899-12-30T09:53:00"/>
    <x v="109"/>
    <n v="92"/>
    <s v="En Cours"/>
    <s v="Non Trouvée"/>
    <s v="Aucun"/>
    <x v="1"/>
    <s v="Non Trouvée"/>
    <s v="Pas d'information"/>
    <s v="B2C"/>
  </r>
  <r>
    <d v="2023-10-07T00:00:00"/>
    <d v="1899-12-30T06:13:00"/>
    <x v="110"/>
    <n v="104"/>
    <s v="Résolu"/>
    <s v="Non Trouvée"/>
    <s v="Aucun"/>
    <x v="1"/>
    <s v="Non Trouvée"/>
    <s v="Pas d'information"/>
    <s v="B2C"/>
  </r>
  <r>
    <d v="2023-10-17T00:00:00"/>
    <d v="1899-12-30T06:36:00"/>
    <x v="111"/>
    <n v="119"/>
    <s v="En Cours"/>
    <s v="Sud-Kivu"/>
    <s v="CLI-00054"/>
    <x v="2"/>
    <s v="Nokia"/>
    <s v="Bloqué 5Go"/>
    <s v="B2C"/>
  </r>
  <r>
    <d v="2023-10-28T00:00:00"/>
    <d v="1899-12-30T10:45:00"/>
    <x v="111"/>
    <n v="84"/>
    <s v="Non Résolu"/>
    <s v="Sud-Kivu"/>
    <s v="CLI-00054"/>
    <x v="2"/>
    <s v="Nokia"/>
    <s v="Bloqué 5Go"/>
    <s v="B2C"/>
  </r>
  <r>
    <d v="2023-10-17T00:00:00"/>
    <d v="1899-12-30T20:46:00"/>
    <x v="112"/>
    <n v="10"/>
    <s v="Non Résolu"/>
    <s v="Kasai-Oriental"/>
    <s v="CLI-00107"/>
    <x v="0"/>
    <s v="Huawei"/>
    <s v="Premium 5G 150Go"/>
    <s v="B2C"/>
  </r>
  <r>
    <d v="2023-10-22T00:00:00"/>
    <d v="1899-12-30T13:20:00"/>
    <x v="113"/>
    <n v="103"/>
    <s v="Non Résolu"/>
    <s v="Non Trouvée"/>
    <s v="Aucun"/>
    <x v="1"/>
    <s v="Non Trouvée"/>
    <s v="Pas d'information"/>
    <s v="B2C"/>
  </r>
  <r>
    <d v="2023-10-28T00:00:00"/>
    <d v="1899-12-30T18:37:00"/>
    <x v="113"/>
    <n v="45"/>
    <s v="En Cours"/>
    <s v="Non Trouvée"/>
    <s v="Aucun"/>
    <x v="1"/>
    <s v="Non Trouvée"/>
    <s v="Pas d'information"/>
    <s v="B2C"/>
  </r>
  <r>
    <d v="2023-10-10T00:00:00"/>
    <d v="1899-12-30T05:10:00"/>
    <x v="114"/>
    <n v="23"/>
    <s v="En Cours"/>
    <s v="Kinshasa"/>
    <s v="CLI-00184"/>
    <x v="2"/>
    <s v="ZTE"/>
    <s v="Premium 5G 150Go"/>
    <s v="B2C"/>
  </r>
  <r>
    <d v="2023-10-19T00:00:00"/>
    <d v="1899-12-30T02:08:00"/>
    <x v="114"/>
    <n v="12"/>
    <s v="En Cours"/>
    <s v="Kinshasa"/>
    <s v="CLI-00184"/>
    <x v="2"/>
    <s v="ZTE"/>
    <s v="Premium 5G 150Go"/>
    <s v="B2C"/>
  </r>
  <r>
    <d v="2023-10-27T00:00:00"/>
    <d v="1899-12-30T20:11:00"/>
    <x v="114"/>
    <n v="74"/>
    <s v="Non Résolu"/>
    <s v="Kinshasa"/>
    <s v="CLI-00184"/>
    <x v="2"/>
    <s v="ZTE"/>
    <s v="Premium 5G 150Go"/>
    <s v="B2C"/>
  </r>
  <r>
    <d v="2023-10-20T00:00:00"/>
    <d v="1899-12-30T10:32:00"/>
    <x v="115"/>
    <n v="105"/>
    <s v="Non Résolu"/>
    <s v="Sud-Ubangi"/>
    <s v="CLI-00070"/>
    <x v="2"/>
    <s v="ZTE"/>
    <s v="Illimité 50Go"/>
    <s v="B2C"/>
  </r>
  <r>
    <d v="2023-10-03T00:00:00"/>
    <d v="1899-12-30T10:06:00"/>
    <x v="116"/>
    <n v="84"/>
    <s v="Résolu"/>
    <s v="Sud-Ubangi"/>
    <s v="CLI-00070"/>
    <x v="2"/>
    <s v="Ericsson"/>
    <s v="Illimité 50Go"/>
    <s v="B2C"/>
  </r>
  <r>
    <d v="2023-10-07T00:00:00"/>
    <d v="1899-12-30T22:04:00"/>
    <x v="116"/>
    <n v="13"/>
    <s v="Non Résolu"/>
    <s v="Sud-Ubangi"/>
    <s v="CLI-00070"/>
    <x v="2"/>
    <s v="Ericsson"/>
    <s v="Illimité 50Go"/>
    <s v="B2C"/>
  </r>
  <r>
    <d v="2023-10-30T00:00:00"/>
    <d v="1899-12-30T14:18:00"/>
    <x v="116"/>
    <n v="88"/>
    <s v="En Cours"/>
    <s v="Sud-Ubangi"/>
    <s v="CLI-00070"/>
    <x v="2"/>
    <s v="Ericsson"/>
    <s v="Illimité 50Go"/>
    <s v="B2C"/>
  </r>
  <r>
    <d v="2023-10-09T00:00:00"/>
    <d v="1899-12-30T14:16:00"/>
    <x v="117"/>
    <n v="50"/>
    <s v="Résolu"/>
    <s v="Non Trouvée"/>
    <s v="Aucun"/>
    <x v="1"/>
    <s v="Non Trouvée"/>
    <s v="Pas d'information"/>
    <s v="B2C"/>
  </r>
  <r>
    <d v="2023-10-01T00:00:00"/>
    <d v="1899-12-30T15:06:00"/>
    <x v="118"/>
    <n v="73"/>
    <s v="Non Résolu"/>
    <s v="Non Trouvée"/>
    <s v="Aucun"/>
    <x v="1"/>
    <s v="Non Trouvée"/>
    <s v="Pas d'information"/>
    <s v="B2C"/>
  </r>
  <r>
    <d v="2023-10-19T00:00:00"/>
    <d v="1899-12-30T15:33:00"/>
    <x v="118"/>
    <n v="78"/>
    <s v="Résolu"/>
    <s v="Non Trouvée"/>
    <s v="Aucun"/>
    <x v="1"/>
    <s v="Non Trouvée"/>
    <s v="Pas d'information"/>
    <s v="B2C"/>
  </r>
  <r>
    <d v="2023-10-04T00:00:00"/>
    <d v="1899-12-30T08:36:00"/>
    <x v="119"/>
    <n v="5"/>
    <s v="Résolu"/>
    <s v="Non Trouvée"/>
    <s v="Aucun"/>
    <x v="1"/>
    <s v="Non Trouvée"/>
    <s v="Pas d'information"/>
    <s v="B2C"/>
  </r>
  <r>
    <d v="2023-10-16T00:00:00"/>
    <d v="1899-12-30T13:56:00"/>
    <x v="120"/>
    <n v="102"/>
    <s v="En Cours"/>
    <s v="Tshopo"/>
    <s v="CLI-00100"/>
    <x v="2"/>
    <s v="Ericsson"/>
    <s v="Bloqué 5Go"/>
    <s v="B2C"/>
  </r>
  <r>
    <d v="2023-10-28T00:00:00"/>
    <d v="1899-12-30T03:28:00"/>
    <x v="120"/>
    <n v="11"/>
    <s v="Non Résolu"/>
    <s v="Tshopo"/>
    <s v="CLI-00100"/>
    <x v="2"/>
    <s v="Ericsson"/>
    <s v="Bloqué 5Go"/>
    <s v="B2C"/>
  </r>
  <r>
    <d v="2023-10-13T00:00:00"/>
    <d v="1899-12-30T07:28:00"/>
    <x v="121"/>
    <n v="79"/>
    <s v="Résolu"/>
    <s v="Kwango"/>
    <s v="CLI-00094"/>
    <x v="2"/>
    <s v="Ericsson"/>
    <s v="Pro Monde"/>
    <s v="B2B"/>
  </r>
  <r>
    <d v="2023-10-14T00:00:00"/>
    <d v="1899-12-30T07:28:00"/>
    <x v="121"/>
    <n v="22"/>
    <s v="Non Résolu"/>
    <s v="Kwango"/>
    <s v="CLI-00094"/>
    <x v="2"/>
    <s v="Ericsson"/>
    <s v="Pro Monde"/>
    <s v="B2B"/>
  </r>
  <r>
    <d v="2023-10-28T00:00:00"/>
    <d v="1899-12-30T02:12:00"/>
    <x v="122"/>
    <n v="112"/>
    <s v="Résolu"/>
    <s v="Kwilu"/>
    <s v="CLI-00009"/>
    <x v="3"/>
    <s v="Nokia"/>
    <s v="Pro Monde"/>
    <s v="B2B"/>
  </r>
  <r>
    <d v="2023-10-03T00:00:00"/>
    <d v="1899-12-30T19:18:00"/>
    <x v="123"/>
    <n v="115"/>
    <s v="Non Résolu"/>
    <s v="Haut-Uele"/>
    <s v="CLI-00055"/>
    <x v="2"/>
    <s v="ZTE"/>
    <s v="Pro Monde"/>
    <s v="B2B"/>
  </r>
  <r>
    <d v="2023-10-07T00:00:00"/>
    <d v="1899-12-30T21:40:00"/>
    <x v="124"/>
    <n v="75"/>
    <s v="En Cours"/>
    <s v="Non Trouvée"/>
    <s v="Aucun"/>
    <x v="1"/>
    <s v="Non Trouvée"/>
    <s v="Pas d'information"/>
    <s v="B2C"/>
  </r>
  <r>
    <d v="2023-10-18T00:00:00"/>
    <d v="1899-12-30T07:47:00"/>
    <x v="125"/>
    <n v="14"/>
    <s v="Non Résolu"/>
    <s v="Non Trouvée"/>
    <s v="Aucun"/>
    <x v="1"/>
    <s v="Non Trouvée"/>
    <s v="Pas d'information"/>
    <s v="B2C"/>
  </r>
  <r>
    <d v="2023-10-04T00:00:00"/>
    <d v="1899-12-30T06:40:00"/>
    <x v="126"/>
    <n v="79"/>
    <s v="Non Résolu"/>
    <s v="Non Trouvée"/>
    <s v="Aucun"/>
    <x v="1"/>
    <s v="Non Trouvée"/>
    <s v="Pas d'information"/>
    <s v="B2C"/>
  </r>
  <r>
    <d v="2023-10-16T00:00:00"/>
    <d v="1899-12-30T19:28:00"/>
    <x v="126"/>
    <n v="49"/>
    <s v="Non Résolu"/>
    <s v="Non Trouvée"/>
    <s v="Aucun"/>
    <x v="1"/>
    <s v="Non Trouvée"/>
    <s v="Pas d'information"/>
    <s v="B2C"/>
  </r>
  <r>
    <d v="2023-10-27T00:00:00"/>
    <d v="1899-12-30T23:25:00"/>
    <x v="126"/>
    <n v="89"/>
    <s v="En Cours"/>
    <s v="Non Trouvée"/>
    <s v="Aucun"/>
    <x v="1"/>
    <s v="Non Trouvée"/>
    <s v="Pas d'information"/>
    <s v="B2C"/>
  </r>
  <r>
    <d v="2023-10-11T00:00:00"/>
    <d v="1899-12-30T21:48:00"/>
    <x v="127"/>
    <n v="57"/>
    <s v="En Cours"/>
    <s v="Nord-Ubangi"/>
    <s v="CLI-00112"/>
    <x v="3"/>
    <s v="ZTE"/>
    <s v="Bloqué 5Go"/>
    <s v="B2C"/>
  </r>
  <r>
    <d v="2023-10-11T00:00:00"/>
    <d v="1899-12-30T16:28:00"/>
    <x v="127"/>
    <n v="62"/>
    <s v="Non Résolu"/>
    <s v="Nord-Ubangi"/>
    <s v="CLI-00112"/>
    <x v="3"/>
    <s v="ZTE"/>
    <s v="Bloqué 5Go"/>
    <s v="B2C"/>
  </r>
  <r>
    <d v="2023-10-17T00:00:00"/>
    <d v="1899-12-30T01:53:00"/>
    <x v="128"/>
    <n v="48"/>
    <s v="Non Résolu"/>
    <s v="Sud-Ubangi"/>
    <s v="CLI-00070"/>
    <x v="3"/>
    <s v="Ericsson"/>
    <s v="Illimité 50Go"/>
    <s v="B2C"/>
  </r>
  <r>
    <d v="2023-10-11T00:00:00"/>
    <d v="1899-12-30T06:29:00"/>
    <x v="129"/>
    <n v="104"/>
    <s v="En Cours"/>
    <s v="Non Trouvée"/>
    <s v="Aucun"/>
    <x v="1"/>
    <s v="Non Trouvée"/>
    <s v="Pas d'information"/>
    <s v="B2C"/>
  </r>
  <r>
    <d v="2023-10-04T00:00:00"/>
    <d v="1899-12-30T23:48:00"/>
    <x v="130"/>
    <n v="5"/>
    <s v="En Cours"/>
    <s v="Non Trouvée"/>
    <s v="Aucun"/>
    <x v="1"/>
    <s v="Non Trouvée"/>
    <s v="Pas d'information"/>
    <s v="B2C"/>
  </r>
  <r>
    <d v="2023-10-02T00:00:00"/>
    <d v="1899-12-30T14:58:00"/>
    <x v="131"/>
    <n v="9"/>
    <s v="Résolu"/>
    <s v="Non Trouvée"/>
    <s v="Aucun"/>
    <x v="1"/>
    <s v="Non Trouvée"/>
    <s v="Pas d'information"/>
    <s v="B2C"/>
  </r>
  <r>
    <d v="2023-10-31T00:00:00"/>
    <d v="1899-12-30T17:34:00"/>
    <x v="131"/>
    <n v="52"/>
    <s v="Résolu"/>
    <s v="Non Trouvée"/>
    <s v="Aucun"/>
    <x v="1"/>
    <s v="Non Trouvée"/>
    <s v="Pas d'information"/>
    <s v="B2C"/>
  </r>
  <r>
    <d v="2023-10-25T00:00:00"/>
    <d v="1899-12-30T23:37:00"/>
    <x v="132"/>
    <n v="49"/>
    <s v="Résolu"/>
    <s v="Non Trouvée"/>
    <s v="Aucun"/>
    <x v="1"/>
    <s v="Non Trouvée"/>
    <s v="Pas d'information"/>
    <s v="B2C"/>
  </r>
  <r>
    <d v="2023-10-30T00:00:00"/>
    <d v="1899-12-30T12:05:00"/>
    <x v="133"/>
    <n v="106"/>
    <s v="Non Résolu"/>
    <s v="Non Trouvée"/>
    <s v="Aucun"/>
    <x v="1"/>
    <s v="Non Trouvée"/>
    <s v="Pas d'information"/>
    <s v="B2C"/>
  </r>
  <r>
    <d v="2023-10-10T00:00:00"/>
    <d v="1899-12-30T08:46:00"/>
    <x v="134"/>
    <n v="120"/>
    <s v="Résolu"/>
    <s v="Sankuru"/>
    <s v="CLI-00197"/>
    <x v="0"/>
    <s v="ZTE"/>
    <s v="Illimité 50Go"/>
    <s v="B2C"/>
  </r>
  <r>
    <d v="2023-10-12T00:00:00"/>
    <d v="1899-12-30T17:24:00"/>
    <x v="134"/>
    <n v="84"/>
    <s v="En Cours"/>
    <s v="Sankuru"/>
    <s v="CLI-00197"/>
    <x v="0"/>
    <s v="ZTE"/>
    <s v="Illimité 50Go"/>
    <s v="B2C"/>
  </r>
  <r>
    <d v="2023-10-16T00:00:00"/>
    <d v="1899-12-30T23:46:00"/>
    <x v="134"/>
    <n v="66"/>
    <s v="En Cours"/>
    <s v="Sankuru"/>
    <s v="CLI-00197"/>
    <x v="0"/>
    <s v="ZTE"/>
    <s v="Illimité 50Go"/>
    <s v="B2C"/>
  </r>
  <r>
    <d v="2023-10-06T00:00:00"/>
    <d v="1899-12-30T22:19:00"/>
    <x v="135"/>
    <n v="82"/>
    <s v="En Cours"/>
    <s v="Lualaba"/>
    <s v="CLI-00334"/>
    <x v="2"/>
    <s v="Nokia"/>
    <s v="Pro Monde"/>
    <s v="B2B"/>
  </r>
  <r>
    <d v="2023-10-08T00:00:00"/>
    <d v="1899-12-30T08:50:00"/>
    <x v="136"/>
    <n v="46"/>
    <s v="Résolu"/>
    <s v="Tanganyika"/>
    <s v="CLI-00007"/>
    <x v="2"/>
    <s v="Huawei"/>
    <s v="Bloqué 5Go"/>
    <s v="B2C"/>
  </r>
  <r>
    <d v="2023-10-07T00:00:00"/>
    <d v="1899-12-30T15:17:00"/>
    <x v="137"/>
    <n v="32"/>
    <s v="En Cours"/>
    <s v="Sud-Kivu"/>
    <s v="CLI-00054"/>
    <x v="3"/>
    <s v="Nokia"/>
    <s v="Bloqué 5Go"/>
    <s v="B2C"/>
  </r>
  <r>
    <d v="2023-10-19T00:00:00"/>
    <d v="1899-12-30T14:09:00"/>
    <x v="137"/>
    <n v="21"/>
    <s v="Résolu"/>
    <s v="Sud-Kivu"/>
    <s v="CLI-00054"/>
    <x v="3"/>
    <s v="Nokia"/>
    <s v="Bloqué 5Go"/>
    <s v="B2C"/>
  </r>
  <r>
    <d v="2023-10-01T00:00:00"/>
    <d v="1899-12-30T21:56:00"/>
    <x v="138"/>
    <n v="87"/>
    <s v="Résolu"/>
    <s v="Sankuru"/>
    <s v="CLI-00197"/>
    <x v="2"/>
    <s v="Ericsson"/>
    <s v="Illimité 50Go"/>
    <s v="B2C"/>
  </r>
  <r>
    <d v="2023-10-14T00:00:00"/>
    <d v="1899-12-30T14:35:00"/>
    <x v="139"/>
    <n v="22"/>
    <s v="Résolu"/>
    <s v="Non Trouvée"/>
    <s v="Aucun"/>
    <x v="1"/>
    <s v="Non Trouvée"/>
    <s v="Pas d'information"/>
    <s v="B2C"/>
  </r>
  <r>
    <d v="2023-10-07T00:00:00"/>
    <d v="1899-12-30T18:26:00"/>
    <x v="140"/>
    <n v="35"/>
    <s v="En Cours"/>
    <s v="Non Trouvée"/>
    <s v="Aucun"/>
    <x v="1"/>
    <s v="Non Trouvée"/>
    <s v="Pas d'information"/>
    <s v="B2C"/>
  </r>
  <r>
    <d v="2023-10-04T00:00:00"/>
    <d v="1899-12-30T17:11:00"/>
    <x v="141"/>
    <n v="68"/>
    <s v="Non Résolu"/>
    <s v="Nord-Kivu"/>
    <s v="CLI-00043"/>
    <x v="2"/>
    <s v="Huawei"/>
    <s v="Pro Monde"/>
    <s v="B2B"/>
  </r>
  <r>
    <d v="2023-10-23T00:00:00"/>
    <d v="1899-12-30T11:30:00"/>
    <x v="142"/>
    <n v="112"/>
    <s v="Non Résolu"/>
    <s v="Haut-Uele"/>
    <s v="CLI-00055"/>
    <x v="2"/>
    <s v="Nokia"/>
    <s v="Pro Monde"/>
    <s v="B2B"/>
  </r>
  <r>
    <d v="2023-10-12T00:00:00"/>
    <d v="1899-12-30T14:06:00"/>
    <x v="143"/>
    <n v="27"/>
    <s v="En Cours"/>
    <s v="Equateur"/>
    <s v="CLI-00091"/>
    <x v="3"/>
    <s v="Ericsson"/>
    <s v="Bloqué 5Go"/>
    <s v="B2C"/>
  </r>
  <r>
    <d v="2023-10-25T00:00:00"/>
    <d v="1899-12-30T16:07:00"/>
    <x v="144"/>
    <n v="14"/>
    <s v="En Cours"/>
    <s v="Non Trouvée"/>
    <s v="Aucun"/>
    <x v="1"/>
    <s v="Non Trouvée"/>
    <s v="Pas d'information"/>
    <s v="B2C"/>
  </r>
  <r>
    <d v="2023-10-30T00:00:00"/>
    <d v="1899-12-30T09:36:00"/>
    <x v="144"/>
    <n v="77"/>
    <s v="Résolu"/>
    <s v="Non Trouvée"/>
    <s v="Aucun"/>
    <x v="1"/>
    <s v="Non Trouvée"/>
    <s v="Pas d'information"/>
    <s v="B2C"/>
  </r>
  <r>
    <d v="2023-10-04T00:00:00"/>
    <d v="1899-12-30T14:19:00"/>
    <x v="145"/>
    <n v="13"/>
    <s v="Non Résolu"/>
    <s v="Tshuapa"/>
    <s v="CLI-00033"/>
    <x v="0"/>
    <s v="Huawei"/>
    <s v="Premium 5G 150Go"/>
    <s v="B2C"/>
  </r>
  <r>
    <d v="2023-10-31T00:00:00"/>
    <d v="1899-12-30T21:55:00"/>
    <x v="145"/>
    <n v="62"/>
    <s v="Résolu"/>
    <s v="Tshuapa"/>
    <s v="CLI-00033"/>
    <x v="0"/>
    <s v="Huawei"/>
    <s v="Premium 5G 150Go"/>
    <s v="B2C"/>
  </r>
  <r>
    <d v="2023-10-13T00:00:00"/>
    <d v="1899-12-30T14:49:00"/>
    <x v="146"/>
    <n v="28"/>
    <s v="Résolu"/>
    <s v="Non Trouvée"/>
    <s v="Aucun"/>
    <x v="1"/>
    <s v="Non Trouvée"/>
    <s v="Pas d'information"/>
    <s v="B2C"/>
  </r>
  <r>
    <d v="2023-10-05T00:00:00"/>
    <d v="1899-12-30T06:21:00"/>
    <x v="147"/>
    <n v="90"/>
    <s v="En Cours"/>
    <s v="Lualaba"/>
    <s v="CLI-00334"/>
    <x v="0"/>
    <s v="Nokia"/>
    <s v="Pro Monde"/>
    <s v="B2B"/>
  </r>
  <r>
    <d v="2023-10-29T00:00:00"/>
    <d v="1899-12-30T16:08:00"/>
    <x v="147"/>
    <n v="106"/>
    <s v="Résolu"/>
    <s v="Lualaba"/>
    <s v="CLI-00334"/>
    <x v="0"/>
    <s v="Nokia"/>
    <s v="Pro Monde"/>
    <s v="B2B"/>
  </r>
  <r>
    <d v="2023-10-08T00:00:00"/>
    <d v="1899-12-30T22:04:00"/>
    <x v="148"/>
    <n v="42"/>
    <s v="Résolu"/>
    <s v="Non Trouvée"/>
    <s v="Aucun"/>
    <x v="1"/>
    <s v="Non Trouvée"/>
    <s v="Pas d'information"/>
    <s v="B2C"/>
  </r>
  <r>
    <d v="2023-10-15T00:00:00"/>
    <d v="1899-12-30T16:45:00"/>
    <x v="149"/>
    <n v="98"/>
    <s v="En Cours"/>
    <s v="Mai-Ndombe"/>
    <s v="CLI-00090"/>
    <x v="3"/>
    <s v="ZTE"/>
    <s v="Bloqué 5Go"/>
    <s v="B2C"/>
  </r>
  <r>
    <d v="2023-10-29T00:00:00"/>
    <d v="1899-12-30T03:49:00"/>
    <x v="150"/>
    <n v="30"/>
    <s v="Résolu"/>
    <s v="Kwilu"/>
    <s v="CLI-00009"/>
    <x v="2"/>
    <s v="Nokia"/>
    <s v="Pro Monde"/>
    <s v="B2B"/>
  </r>
  <r>
    <d v="2023-10-31T00:00:00"/>
    <d v="1899-12-30T09:49:00"/>
    <x v="150"/>
    <n v="80"/>
    <s v="Non Résolu"/>
    <s v="Kwilu"/>
    <s v="CLI-00009"/>
    <x v="2"/>
    <s v="Nokia"/>
    <s v="Pro Monde"/>
    <s v="B2B"/>
  </r>
  <r>
    <d v="2023-10-06T00:00:00"/>
    <d v="1899-12-30T12:39:00"/>
    <x v="151"/>
    <n v="40"/>
    <s v="En Cours"/>
    <s v="Nord-Kivu"/>
    <s v="CLI-00043"/>
    <x v="2"/>
    <s v="Ericsson"/>
    <s v="Pro Monde"/>
    <s v="B2B"/>
  </r>
  <r>
    <d v="2023-10-21T00:00:00"/>
    <d v="1899-12-30T17:50:00"/>
    <x v="151"/>
    <n v="54"/>
    <s v="Non Résolu"/>
    <s v="Nord-Kivu"/>
    <s v="CLI-00043"/>
    <x v="2"/>
    <s v="Ericsson"/>
    <s v="Pro Monde"/>
    <s v="B2B"/>
  </r>
  <r>
    <d v="2023-10-13T00:00:00"/>
    <d v="1899-12-30T17:18:00"/>
    <x v="152"/>
    <n v="33"/>
    <s v="En Cours"/>
    <s v="Tshuapa"/>
    <s v="CLI-00033"/>
    <x v="2"/>
    <s v="Ericsson"/>
    <s v="Premium 5G 150Go"/>
    <s v="B2C"/>
  </r>
  <r>
    <d v="2023-10-12T00:00:00"/>
    <d v="1899-12-30T01:55:00"/>
    <x v="153"/>
    <n v="59"/>
    <s v="Non Résolu"/>
    <s v="Non Trouvée"/>
    <s v="Aucun"/>
    <x v="1"/>
    <s v="Non Trouvée"/>
    <s v="Pas d'information"/>
    <s v="B2C"/>
  </r>
  <r>
    <d v="2023-10-13T00:00:00"/>
    <d v="1899-12-30T05:46:00"/>
    <x v="153"/>
    <n v="54"/>
    <s v="Non Résolu"/>
    <s v="Non Trouvée"/>
    <s v="Aucun"/>
    <x v="1"/>
    <s v="Non Trouvée"/>
    <s v="Pas d'information"/>
    <s v="B2C"/>
  </r>
  <r>
    <d v="2023-10-10T00:00:00"/>
    <d v="1899-12-30T09:20:00"/>
    <x v="154"/>
    <n v="44"/>
    <s v="Résolu"/>
    <s v="Non Trouvée"/>
    <s v="Aucun"/>
    <x v="1"/>
    <s v="Non Trouvée"/>
    <s v="Pas d'information"/>
    <s v="B2C"/>
  </r>
  <r>
    <d v="2023-10-08T00:00:00"/>
    <d v="1899-12-30T02:59:00"/>
    <x v="155"/>
    <n v="77"/>
    <s v="En Cours"/>
    <s v="Non Trouvée"/>
    <s v="Aucun"/>
    <x v="1"/>
    <s v="Non Trouvée"/>
    <s v="Pas d'information"/>
    <s v="B2C"/>
  </r>
  <r>
    <d v="2023-10-20T00:00:00"/>
    <d v="1899-12-30T10:05:00"/>
    <x v="156"/>
    <n v="63"/>
    <s v="En Cours"/>
    <s v="Lomami"/>
    <s v="CLI-00044"/>
    <x v="3"/>
    <s v="ZTE"/>
    <s v="Illimité 50Go"/>
    <s v="B2C"/>
  </r>
  <r>
    <d v="2023-10-01T00:00:00"/>
    <d v="1899-12-30T02:14:00"/>
    <x v="157"/>
    <n v="63"/>
    <s v="Non Résolu"/>
    <s v="Non Trouvée"/>
    <s v="Aucun"/>
    <x v="1"/>
    <s v="Non Trouvée"/>
    <s v="Pas d'information"/>
    <s v="B2C"/>
  </r>
  <r>
    <d v="2023-10-29T00:00:00"/>
    <d v="1899-12-30T20:10:00"/>
    <x v="157"/>
    <n v="101"/>
    <s v="Résolu"/>
    <s v="Non Trouvée"/>
    <s v="Aucun"/>
    <x v="1"/>
    <s v="Non Trouvée"/>
    <s v="Pas d'information"/>
    <s v="B2C"/>
  </r>
  <r>
    <d v="2023-10-31T00:00:00"/>
    <d v="1899-12-30T18:56:00"/>
    <x v="157"/>
    <n v="87"/>
    <s v="Non Résolu"/>
    <s v="Non Trouvée"/>
    <s v="Aucun"/>
    <x v="1"/>
    <s v="Non Trouvée"/>
    <s v="Pas d'information"/>
    <s v="B2C"/>
  </r>
  <r>
    <d v="2023-10-19T00:00:00"/>
    <d v="1899-12-30T08:41:00"/>
    <x v="158"/>
    <n v="45"/>
    <s v="En Cours"/>
    <s v="Non Trouvée"/>
    <s v="Aucun"/>
    <x v="1"/>
    <s v="Non Trouvée"/>
    <s v="Pas d'information"/>
    <s v="B2C"/>
  </r>
  <r>
    <d v="2023-10-21T00:00:00"/>
    <d v="1899-12-30T15:25:00"/>
    <x v="158"/>
    <n v="19"/>
    <s v="Résolu"/>
    <s v="Non Trouvée"/>
    <s v="Aucun"/>
    <x v="1"/>
    <s v="Non Trouvée"/>
    <s v="Pas d'information"/>
    <s v="B2C"/>
  </r>
  <r>
    <d v="2023-10-21T00:00:00"/>
    <d v="1899-12-30T02:45:00"/>
    <x v="158"/>
    <n v="54"/>
    <s v="Non Résolu"/>
    <s v="Non Trouvée"/>
    <s v="Aucun"/>
    <x v="1"/>
    <s v="Non Trouvée"/>
    <s v="Pas d'information"/>
    <s v="B2C"/>
  </r>
  <r>
    <d v="2023-10-27T00:00:00"/>
    <d v="1899-12-30T22:05:00"/>
    <x v="158"/>
    <n v="64"/>
    <s v="En Cours"/>
    <s v="Non Trouvée"/>
    <s v="Aucun"/>
    <x v="1"/>
    <s v="Non Trouvée"/>
    <s v="Pas d'information"/>
    <s v="B2C"/>
  </r>
  <r>
    <d v="2023-10-30T00:00:00"/>
    <d v="1899-12-30T06:47:00"/>
    <x v="158"/>
    <n v="102"/>
    <s v="Non Résolu"/>
    <s v="Non Trouvée"/>
    <s v="Aucun"/>
    <x v="1"/>
    <s v="Non Trouvée"/>
    <s v="Pas d'information"/>
    <s v="B2C"/>
  </r>
  <r>
    <d v="2023-10-31T00:00:00"/>
    <d v="1899-12-30T20:02:00"/>
    <x v="158"/>
    <n v="46"/>
    <s v="Non Résolu"/>
    <s v="Non Trouvée"/>
    <s v="Aucun"/>
    <x v="1"/>
    <s v="Non Trouvée"/>
    <s v="Pas d'information"/>
    <s v="B2C"/>
  </r>
  <r>
    <d v="2023-10-29T00:00:00"/>
    <d v="1899-12-30T12:17:00"/>
    <x v="159"/>
    <n v="64"/>
    <s v="Non Résolu"/>
    <s v="Haut-Uele"/>
    <s v="CLI-00055"/>
    <x v="0"/>
    <s v="Huawei"/>
    <s v="Pro Monde"/>
    <s v="B2B"/>
  </r>
  <r>
    <d v="2023-10-31T00:00:00"/>
    <d v="1899-12-30T07:46:00"/>
    <x v="159"/>
    <n v="105"/>
    <s v="Résolu"/>
    <s v="Haut-Uele"/>
    <s v="CLI-00055"/>
    <x v="0"/>
    <s v="Huawei"/>
    <s v="Pro Monde"/>
    <s v="B2B"/>
  </r>
  <r>
    <d v="2023-10-03T00:00:00"/>
    <d v="1899-12-30T18:44:00"/>
    <x v="160"/>
    <n v="53"/>
    <s v="En Cours"/>
    <s v="Maniema"/>
    <s v="CLI-00039"/>
    <x v="2"/>
    <s v="Ericsson"/>
    <s v="Pro Monde"/>
    <s v="B2B"/>
  </r>
  <r>
    <d v="2023-10-17T00:00:00"/>
    <d v="1899-12-30T06:24:00"/>
    <x v="160"/>
    <n v="90"/>
    <s v="En Cours"/>
    <s v="Maniema"/>
    <s v="CLI-00039"/>
    <x v="2"/>
    <s v="Ericsson"/>
    <s v="Pro Monde"/>
    <s v="B2B"/>
  </r>
  <r>
    <d v="2023-10-18T00:00:00"/>
    <d v="1899-12-30T18:37:00"/>
    <x v="160"/>
    <n v="84"/>
    <s v="Résolu"/>
    <s v="Maniema"/>
    <s v="CLI-00039"/>
    <x v="2"/>
    <s v="Ericsson"/>
    <s v="Pro Monde"/>
    <s v="B2B"/>
  </r>
  <r>
    <d v="2023-10-12T00:00:00"/>
    <d v="1899-12-30T02:58:00"/>
    <x v="161"/>
    <n v="87"/>
    <s v="Résolu"/>
    <s v="Non Trouvée"/>
    <s v="Aucun"/>
    <x v="1"/>
    <s v="Non Trouvée"/>
    <s v="Pas d'information"/>
    <s v="B2C"/>
  </r>
  <r>
    <d v="2023-10-12T00:00:00"/>
    <d v="1899-12-30T11:54:00"/>
    <x v="161"/>
    <n v="61"/>
    <s v="Non Résolu"/>
    <s v="Non Trouvée"/>
    <s v="Aucun"/>
    <x v="1"/>
    <s v="Non Trouvée"/>
    <s v="Pas d'information"/>
    <s v="B2C"/>
  </r>
  <r>
    <d v="2023-10-18T00:00:00"/>
    <d v="1899-12-30T09:57:00"/>
    <x v="161"/>
    <n v="74"/>
    <s v="En Cours"/>
    <s v="Non Trouvée"/>
    <s v="Aucun"/>
    <x v="1"/>
    <s v="Non Trouvée"/>
    <s v="Pas d'information"/>
    <s v="B2C"/>
  </r>
  <r>
    <d v="2023-10-27T00:00:00"/>
    <d v="1899-12-30T00:19:00"/>
    <x v="161"/>
    <n v="107"/>
    <s v="Non Résolu"/>
    <s v="Non Trouvée"/>
    <s v="Aucun"/>
    <x v="1"/>
    <s v="Non Trouvée"/>
    <s v="Pas d'information"/>
    <s v="B2C"/>
  </r>
  <r>
    <d v="2023-10-29T00:00:00"/>
    <d v="1899-12-30T02:04:00"/>
    <x v="162"/>
    <n v="43"/>
    <s v="En Cours"/>
    <s v="Sankuru"/>
    <s v="CLI-00197"/>
    <x v="2"/>
    <s v="ZTE"/>
    <s v="Illimité 50Go"/>
    <s v="B2C"/>
  </r>
  <r>
    <d v="2023-10-18T00:00:00"/>
    <d v="1899-12-30T00:41:00"/>
    <x v="163"/>
    <n v="120"/>
    <s v="En Cours"/>
    <s v="Sud-Kivu"/>
    <s v="CLI-00054"/>
    <x v="3"/>
    <s v="Nokia"/>
    <s v="Bloqué 5Go"/>
    <s v="B2C"/>
  </r>
  <r>
    <d v="2023-10-31T00:00:00"/>
    <d v="1899-12-30T20:44:00"/>
    <x v="163"/>
    <n v="57"/>
    <s v="Résolu"/>
    <s v="Sud-Kivu"/>
    <s v="CLI-00054"/>
    <x v="3"/>
    <s v="Nokia"/>
    <s v="Bloqué 5Go"/>
    <s v="B2C"/>
  </r>
  <r>
    <d v="2023-10-15T00:00:00"/>
    <d v="1899-12-30T23:03:00"/>
    <x v="164"/>
    <n v="38"/>
    <s v="Résolu"/>
    <s v="Lualaba"/>
    <s v="CLI-00334"/>
    <x v="3"/>
    <s v="Huawei"/>
    <s v="Pro Monde"/>
    <s v="B2B"/>
  </r>
  <r>
    <d v="2023-10-04T00:00:00"/>
    <d v="1899-12-30T21:24:00"/>
    <x v="165"/>
    <n v="7"/>
    <s v="Non Résolu"/>
    <s v="Non Trouvée"/>
    <s v="Aucun"/>
    <x v="1"/>
    <s v="Non Trouvée"/>
    <s v="Pas d'information"/>
    <s v="B2C"/>
  </r>
  <r>
    <d v="2023-10-13T00:00:00"/>
    <d v="1899-12-30T07:35:00"/>
    <x v="165"/>
    <n v="112"/>
    <s v="Résolu"/>
    <s v="Non Trouvée"/>
    <s v="Aucun"/>
    <x v="1"/>
    <s v="Non Trouvée"/>
    <s v="Pas d'information"/>
    <s v="B2C"/>
  </r>
  <r>
    <d v="2023-10-16T00:00:00"/>
    <d v="1899-12-30T14:21:00"/>
    <x v="165"/>
    <n v="7"/>
    <s v="En Cours"/>
    <s v="Non Trouvée"/>
    <s v="Aucun"/>
    <x v="1"/>
    <s v="Non Trouvée"/>
    <s v="Pas d'information"/>
    <s v="B2C"/>
  </r>
  <r>
    <d v="2023-10-21T00:00:00"/>
    <d v="1899-12-30T15:38:00"/>
    <x v="165"/>
    <n v="36"/>
    <s v="Résolu"/>
    <s v="Non Trouvée"/>
    <s v="Aucun"/>
    <x v="1"/>
    <s v="Non Trouvée"/>
    <s v="Pas d'information"/>
    <s v="B2C"/>
  </r>
  <r>
    <d v="2023-10-08T00:00:00"/>
    <d v="1899-12-30T08:25:00"/>
    <x v="166"/>
    <n v="75"/>
    <s v="En Cours"/>
    <s v="Non Trouvée"/>
    <s v="Aucun"/>
    <x v="1"/>
    <s v="Non Trouvée"/>
    <s v="Pas d'information"/>
    <s v="B2C"/>
  </r>
  <r>
    <d v="2023-10-22T00:00:00"/>
    <d v="1899-12-30T00:57:00"/>
    <x v="167"/>
    <n v="33"/>
    <s v="Non Résolu"/>
    <s v="Kinshasa"/>
    <s v="CLI-00184"/>
    <x v="0"/>
    <s v="Huawei"/>
    <s v="Premium 5G 150Go"/>
    <s v="B2C"/>
  </r>
  <r>
    <d v="2023-10-06T00:00:00"/>
    <d v="1899-12-30T19:36:00"/>
    <x v="168"/>
    <n v="33"/>
    <s v="En Cours"/>
    <s v="Non Trouvée"/>
    <s v="Aucun"/>
    <x v="1"/>
    <s v="Non Trouvée"/>
    <s v="Pas d'information"/>
    <s v="B2C"/>
  </r>
  <r>
    <d v="2023-10-01T00:00:00"/>
    <d v="1899-12-30T11:12:00"/>
    <x v="169"/>
    <n v="31"/>
    <s v="Non Résolu"/>
    <s v="Lomami"/>
    <s v="CLI-00044"/>
    <x v="0"/>
    <s v="Nokia"/>
    <s v="Illimité 50Go"/>
    <s v="B2C"/>
  </r>
  <r>
    <d v="2023-10-02T00:00:00"/>
    <d v="1899-12-30T07:02:00"/>
    <x v="169"/>
    <n v="95"/>
    <s v="En Cours"/>
    <s v="Lomami"/>
    <s v="CLI-00044"/>
    <x v="0"/>
    <s v="Nokia"/>
    <s v="Illimité 50Go"/>
    <s v="B2C"/>
  </r>
  <r>
    <d v="2023-10-01T00:00:00"/>
    <d v="1899-12-30T12:16:00"/>
    <x v="170"/>
    <n v="108"/>
    <s v="En Cours"/>
    <s v="Non Trouvée"/>
    <s v="Aucun"/>
    <x v="1"/>
    <s v="Non Trouvée"/>
    <s v="Pas d'information"/>
    <s v="B2C"/>
  </r>
  <r>
    <d v="2023-10-03T00:00:00"/>
    <d v="1899-12-30T06:14:00"/>
    <x v="171"/>
    <n v="79"/>
    <s v="Résolu"/>
    <s v="Kasai-Central"/>
    <s v="CLI-00060"/>
    <x v="2"/>
    <s v="Ericsson"/>
    <s v="Pro Monde"/>
    <s v="B2B"/>
  </r>
  <r>
    <d v="2023-10-22T00:00:00"/>
    <d v="1899-12-30T04:20:00"/>
    <x v="171"/>
    <n v="8"/>
    <s v="Résolu"/>
    <s v="Kasai-Central"/>
    <s v="CLI-00060"/>
    <x v="2"/>
    <s v="Ericsson"/>
    <s v="Pro Monde"/>
    <s v="B2B"/>
  </r>
  <r>
    <d v="2023-10-14T00:00:00"/>
    <d v="1899-12-30T06:06:00"/>
    <x v="172"/>
    <n v="73"/>
    <s v="En Cours"/>
    <s v="Tshuapa"/>
    <s v="CLI-00033"/>
    <x v="2"/>
    <s v="ZTE"/>
    <s v="Premium 5G 150Go"/>
    <s v="B2C"/>
  </r>
  <r>
    <d v="2023-10-27T00:00:00"/>
    <d v="1899-12-30T04:06:00"/>
    <x v="172"/>
    <n v="54"/>
    <s v="Résolu"/>
    <s v="Tshuapa"/>
    <s v="CLI-00033"/>
    <x v="2"/>
    <s v="ZTE"/>
    <s v="Premium 5G 150Go"/>
    <s v="B2C"/>
  </r>
  <r>
    <d v="2023-10-11T00:00:00"/>
    <d v="1899-12-30T21:22:00"/>
    <x v="173"/>
    <n v="118"/>
    <s v="Résolu"/>
    <s v="Non Trouvée"/>
    <s v="Aucun"/>
    <x v="1"/>
    <s v="Non Trouvée"/>
    <s v="Pas d'information"/>
    <s v="B2C"/>
  </r>
  <r>
    <d v="2023-10-12T00:00:00"/>
    <d v="1899-12-30T09:16:00"/>
    <x v="173"/>
    <n v="13"/>
    <s v="Non Résolu"/>
    <s v="Non Trouvée"/>
    <s v="Aucun"/>
    <x v="1"/>
    <s v="Non Trouvée"/>
    <s v="Pas d'information"/>
    <s v="B2C"/>
  </r>
  <r>
    <d v="2023-10-26T00:00:00"/>
    <d v="1899-12-30T20:37:00"/>
    <x v="173"/>
    <n v="90"/>
    <s v="Non Résolu"/>
    <s v="Non Trouvée"/>
    <s v="Aucun"/>
    <x v="1"/>
    <s v="Non Trouvée"/>
    <s v="Pas d'information"/>
    <s v="B2C"/>
  </r>
  <r>
    <d v="2023-10-06T00:00:00"/>
    <d v="1899-12-30T23:15:00"/>
    <x v="174"/>
    <n v="84"/>
    <s v="Non Résolu"/>
    <s v="Non Trouvée"/>
    <s v="Aucun"/>
    <x v="1"/>
    <s v="Non Trouvée"/>
    <s v="Pas d'information"/>
    <s v="B2C"/>
  </r>
  <r>
    <d v="2023-10-27T00:00:00"/>
    <d v="1899-12-30T05:24:00"/>
    <x v="175"/>
    <n v="11"/>
    <s v="Non Résolu"/>
    <s v="Sankuru"/>
    <s v="CLI-00197"/>
    <x v="0"/>
    <s v="Ericsson"/>
    <s v="Illimité 50Go"/>
    <s v="B2C"/>
  </r>
  <r>
    <d v="2023-10-31T00:00:00"/>
    <d v="1899-12-30T15:24:00"/>
    <x v="176"/>
    <n v="106"/>
    <s v="Résolu"/>
    <s v="Nord-Ubangi"/>
    <s v="CLI-00112"/>
    <x v="2"/>
    <s v="Huawei"/>
    <s v="Bloqué 5Go"/>
    <s v="B2C"/>
  </r>
  <r>
    <d v="2023-10-30T00:00:00"/>
    <d v="1899-12-30T18:09:00"/>
    <x v="177"/>
    <n v="82"/>
    <s v="En Cours"/>
    <s v="Non Trouvée"/>
    <s v="Aucun"/>
    <x v="1"/>
    <s v="Non Trouvée"/>
    <s v="Pas d'information"/>
    <s v="B2C"/>
  </r>
  <r>
    <d v="2023-10-02T00:00:00"/>
    <d v="1899-12-30T12:17:00"/>
    <x v="178"/>
    <n v="62"/>
    <s v="Non Résolu"/>
    <s v="Nord-Kivu"/>
    <s v="CLI-00043"/>
    <x v="0"/>
    <s v="Huawei"/>
    <s v="Pro Monde"/>
    <s v="B2B"/>
  </r>
  <r>
    <d v="2023-10-08T00:00:00"/>
    <d v="1899-12-30T14:23:00"/>
    <x v="178"/>
    <n v="59"/>
    <s v="Résolu"/>
    <s v="Nord-Kivu"/>
    <s v="CLI-00043"/>
    <x v="0"/>
    <s v="Huawei"/>
    <s v="Pro Monde"/>
    <s v="B2B"/>
  </r>
  <r>
    <d v="2023-10-14T00:00:00"/>
    <d v="1899-12-30T05:42:00"/>
    <x v="178"/>
    <n v="68"/>
    <s v="En Cours"/>
    <s v="Nord-Kivu"/>
    <s v="CLI-00043"/>
    <x v="0"/>
    <s v="Huawei"/>
    <s v="Pro Monde"/>
    <s v="B2B"/>
  </r>
  <r>
    <d v="2023-10-27T00:00:00"/>
    <d v="1899-12-30T07:43:00"/>
    <x v="178"/>
    <n v="22"/>
    <s v="En Cours"/>
    <s v="Nord-Kivu"/>
    <s v="CLI-00043"/>
    <x v="0"/>
    <s v="Huawei"/>
    <s v="Pro Monde"/>
    <s v="B2B"/>
  </r>
  <r>
    <d v="2023-10-28T00:00:00"/>
    <d v="1899-12-30T22:09:00"/>
    <x v="178"/>
    <n v="26"/>
    <s v="En Cours"/>
    <s v="Nord-Kivu"/>
    <s v="CLI-00043"/>
    <x v="0"/>
    <s v="Huawei"/>
    <s v="Pro Monde"/>
    <s v="B2B"/>
  </r>
  <r>
    <d v="2023-10-01T00:00:00"/>
    <d v="1899-12-30T12:37:00"/>
    <x v="179"/>
    <n v="88"/>
    <s v="En Cours"/>
    <s v="Kinshasa"/>
    <s v="CLI-00184"/>
    <x v="0"/>
    <s v="Ericsson"/>
    <s v="Premium 5G 150Go"/>
    <s v="B2C"/>
  </r>
  <r>
    <d v="2023-10-18T00:00:00"/>
    <d v="1899-12-30T04:10:00"/>
    <x v="179"/>
    <n v="53"/>
    <s v="Non Résolu"/>
    <s v="Kinshasa"/>
    <s v="CLI-00184"/>
    <x v="0"/>
    <s v="Ericsson"/>
    <s v="Premium 5G 150Go"/>
    <s v="B2C"/>
  </r>
  <r>
    <d v="2023-10-07T00:00:00"/>
    <d v="1899-12-30T06:53:00"/>
    <x v="180"/>
    <n v="96"/>
    <s v="Non Résolu"/>
    <s v="Haut-Katanga"/>
    <s v="CLI-00059"/>
    <x v="0"/>
    <s v="Ericsson"/>
    <s v="Pro Monde"/>
    <s v="B2B"/>
  </r>
  <r>
    <d v="2023-10-10T00:00:00"/>
    <d v="1899-12-30T22:32:00"/>
    <x v="180"/>
    <n v="37"/>
    <s v="Non Résolu"/>
    <s v="Haut-Katanga"/>
    <s v="CLI-00059"/>
    <x v="0"/>
    <s v="Ericsson"/>
    <s v="Pro Monde"/>
    <s v="B2B"/>
  </r>
  <r>
    <d v="2023-10-21T00:00:00"/>
    <d v="1899-12-30T10:29:00"/>
    <x v="180"/>
    <n v="64"/>
    <s v="Non Résolu"/>
    <s v="Haut-Katanga"/>
    <s v="CLI-00059"/>
    <x v="0"/>
    <s v="Ericsson"/>
    <s v="Pro Monde"/>
    <s v="B2B"/>
  </r>
  <r>
    <d v="2023-10-26T00:00:00"/>
    <d v="1899-12-30T17:06:00"/>
    <x v="180"/>
    <n v="25"/>
    <s v="Résolu"/>
    <s v="Haut-Katanga"/>
    <s v="CLI-00059"/>
    <x v="0"/>
    <s v="Ericsson"/>
    <s v="Pro Monde"/>
    <s v="B2B"/>
  </r>
  <r>
    <d v="2023-10-17T00:00:00"/>
    <d v="1899-12-30T05:44:00"/>
    <x v="181"/>
    <n v="11"/>
    <s v="Résolu"/>
    <s v="Non Trouvée"/>
    <s v="Aucun"/>
    <x v="1"/>
    <s v="Non Trouvée"/>
    <s v="Pas d'information"/>
    <s v="B2C"/>
  </r>
  <r>
    <d v="2023-10-01T00:00:00"/>
    <d v="1899-12-30T12:21:00"/>
    <x v="182"/>
    <n v="24"/>
    <s v="En Cours"/>
    <s v="Tshuapa"/>
    <s v="CLI-00033"/>
    <x v="2"/>
    <s v="ZTE"/>
    <s v="Premium 5G 150Go"/>
    <s v="B2C"/>
  </r>
  <r>
    <d v="2023-10-17T00:00:00"/>
    <d v="1899-12-30T16:50:00"/>
    <x v="182"/>
    <n v="80"/>
    <s v="Résolu"/>
    <s v="Tshuapa"/>
    <s v="CLI-00033"/>
    <x v="2"/>
    <s v="ZTE"/>
    <s v="Premium 5G 150Go"/>
    <s v="B2C"/>
  </r>
  <r>
    <d v="2023-10-03T00:00:00"/>
    <d v="1899-12-30T16:47:00"/>
    <x v="183"/>
    <n v="63"/>
    <s v="Non Résolu"/>
    <s v="Tshopo"/>
    <s v="CLI-00100"/>
    <x v="2"/>
    <s v="ZTE"/>
    <s v="Bloqué 5Go"/>
    <s v="B2C"/>
  </r>
  <r>
    <d v="2023-10-23T00:00:00"/>
    <d v="1899-12-30T14:28:00"/>
    <x v="184"/>
    <n v="53"/>
    <s v="Non Résolu"/>
    <s v="Non Trouvée"/>
    <s v="Aucun"/>
    <x v="1"/>
    <s v="Non Trouvée"/>
    <s v="Pas d'information"/>
    <s v="B2C"/>
  </r>
  <r>
    <d v="2023-10-24T00:00:00"/>
    <d v="1899-12-30T16:38:00"/>
    <x v="185"/>
    <n v="18"/>
    <s v="Non Résolu"/>
    <s v="Non Trouvée"/>
    <s v="Aucun"/>
    <x v="1"/>
    <s v="Non Trouvée"/>
    <s v="Pas d'information"/>
    <s v="B2C"/>
  </r>
  <r>
    <d v="2023-10-24T00:00:00"/>
    <d v="1899-12-30T13:38:00"/>
    <x v="185"/>
    <n v="21"/>
    <s v="Résolu"/>
    <s v="Non Trouvée"/>
    <s v="Aucun"/>
    <x v="1"/>
    <s v="Non Trouvée"/>
    <s v="Pas d'information"/>
    <s v="B2C"/>
  </r>
  <r>
    <d v="2023-10-03T00:00:00"/>
    <d v="1899-12-30T09:54:00"/>
    <x v="186"/>
    <n v="35"/>
    <s v="Résolu"/>
    <s v="Bas-Uele"/>
    <s v="CLI-00029"/>
    <x v="3"/>
    <s v="Ericsson"/>
    <s v="Pro Monde"/>
    <s v="B2B"/>
  </r>
  <r>
    <d v="2023-10-10T00:00:00"/>
    <d v="1899-12-30T21:56:00"/>
    <x v="186"/>
    <n v="111"/>
    <s v="En Cours"/>
    <s v="Bas-Uele"/>
    <s v="CLI-00029"/>
    <x v="3"/>
    <s v="Ericsson"/>
    <s v="Pro Monde"/>
    <s v="B2B"/>
  </r>
  <r>
    <d v="2023-10-17T00:00:00"/>
    <d v="1899-12-30T23:17:00"/>
    <x v="186"/>
    <n v="13"/>
    <s v="En Cours"/>
    <s v="Bas-Uele"/>
    <s v="CLI-00029"/>
    <x v="3"/>
    <s v="Ericsson"/>
    <s v="Pro Monde"/>
    <s v="B2B"/>
  </r>
  <r>
    <d v="2023-10-20T00:00:00"/>
    <d v="1899-12-30T02:29:00"/>
    <x v="187"/>
    <n v="72"/>
    <s v="Non Résolu"/>
    <s v="Lomami"/>
    <s v="CLI-00044"/>
    <x v="2"/>
    <s v="Nokia"/>
    <s v="Illimité 50Go"/>
    <s v="B2C"/>
  </r>
  <r>
    <d v="2023-10-31T00:00:00"/>
    <d v="1899-12-30T05:29:00"/>
    <x v="187"/>
    <n v="39"/>
    <s v="En Cours"/>
    <s v="Lomami"/>
    <s v="CLI-00044"/>
    <x v="2"/>
    <s v="Nokia"/>
    <s v="Illimité 50Go"/>
    <s v="B2C"/>
  </r>
  <r>
    <d v="2023-10-02T00:00:00"/>
    <d v="1899-12-30T17:26:00"/>
    <x v="188"/>
    <n v="97"/>
    <s v="Non Résolu"/>
    <s v="Kasai-Oriental"/>
    <s v="CLI-00107"/>
    <x v="2"/>
    <s v="Huawei"/>
    <s v="Premium 5G 150Go"/>
    <s v="B2C"/>
  </r>
  <r>
    <d v="2023-10-09T00:00:00"/>
    <d v="1899-12-30T04:04:00"/>
    <x v="189"/>
    <n v="47"/>
    <s v="Résolu"/>
    <s v="Kasai"/>
    <s v="CLI-00057"/>
    <x v="2"/>
    <s v="Nokia"/>
    <s v="Bloqué 5Go"/>
    <s v="B2C"/>
  </r>
  <r>
    <d v="2023-10-11T00:00:00"/>
    <d v="1899-12-30T21:30:00"/>
    <x v="189"/>
    <n v="110"/>
    <s v="En Cours"/>
    <s v="Kasai"/>
    <s v="CLI-00057"/>
    <x v="2"/>
    <s v="Nokia"/>
    <s v="Bloqué 5Go"/>
    <s v="B2C"/>
  </r>
  <r>
    <d v="2023-10-17T00:00:00"/>
    <d v="1899-12-30T04:22:00"/>
    <x v="190"/>
    <n v="86"/>
    <s v="Non Résolu"/>
    <s v="Non Trouvée"/>
    <s v="Aucun"/>
    <x v="1"/>
    <s v="Non Trouvée"/>
    <s v="Pas d'information"/>
    <s v="B2C"/>
  </r>
  <r>
    <d v="2023-10-08T00:00:00"/>
    <d v="1899-12-30T03:12:00"/>
    <x v="191"/>
    <n v="66"/>
    <s v="Non Résolu"/>
    <s v="Kasai-Oriental"/>
    <s v="CLI-00107"/>
    <x v="3"/>
    <s v="Ericsson"/>
    <s v="Premium 5G 150Go"/>
    <s v="B2C"/>
  </r>
  <r>
    <d v="2023-10-15T00:00:00"/>
    <d v="1899-12-30T20:25:00"/>
    <x v="191"/>
    <n v="31"/>
    <s v="En Cours"/>
    <s v="Kasai-Oriental"/>
    <s v="CLI-00107"/>
    <x v="3"/>
    <s v="Ericsson"/>
    <s v="Premium 5G 150Go"/>
    <s v="B2C"/>
  </r>
  <r>
    <d v="2023-10-03T00:00:00"/>
    <d v="1899-12-30T17:29:00"/>
    <x v="192"/>
    <n v="18"/>
    <s v="Résolu"/>
    <s v="Non Trouvée"/>
    <s v="Aucun"/>
    <x v="1"/>
    <s v="Non Trouvée"/>
    <s v="Pas d'information"/>
    <s v="B2C"/>
  </r>
  <r>
    <d v="2023-10-12T00:00:00"/>
    <d v="1899-12-30T17:05:00"/>
    <x v="192"/>
    <n v="82"/>
    <s v="Non Résolu"/>
    <s v="Non Trouvée"/>
    <s v="Aucun"/>
    <x v="1"/>
    <s v="Non Trouvée"/>
    <s v="Pas d'information"/>
    <s v="B2C"/>
  </r>
  <r>
    <d v="2023-10-04T00:00:00"/>
    <d v="1899-12-30T18:01:00"/>
    <x v="193"/>
    <n v="64"/>
    <s v="En Cours"/>
    <s v="Maniema"/>
    <s v="CLI-00039"/>
    <x v="0"/>
    <s v="Ericsson"/>
    <s v="Pro Monde"/>
    <s v="B2B"/>
  </r>
  <r>
    <d v="2023-10-25T00:00:00"/>
    <d v="1899-12-30T04:50:00"/>
    <x v="193"/>
    <n v="43"/>
    <s v="En Cours"/>
    <s v="Maniema"/>
    <s v="CLI-00039"/>
    <x v="0"/>
    <s v="Ericsson"/>
    <s v="Pro Monde"/>
    <s v="B2B"/>
  </r>
  <r>
    <d v="2023-10-03T00:00:00"/>
    <d v="1899-12-30T07:40:00"/>
    <x v="194"/>
    <n v="115"/>
    <s v="Non Résolu"/>
    <s v="Non Trouvée"/>
    <s v="Aucun"/>
    <x v="1"/>
    <s v="Non Trouvée"/>
    <s v="Pas d'information"/>
    <s v="B2C"/>
  </r>
  <r>
    <d v="2023-10-04T00:00:00"/>
    <d v="1899-12-30T05:28:00"/>
    <x v="194"/>
    <n v="61"/>
    <s v="Non Résolu"/>
    <s v="Non Trouvée"/>
    <s v="Aucun"/>
    <x v="1"/>
    <s v="Non Trouvée"/>
    <s v="Pas d'information"/>
    <s v="B2C"/>
  </r>
  <r>
    <d v="2023-10-15T00:00:00"/>
    <d v="1899-12-30T19:11:00"/>
    <x v="195"/>
    <n v="67"/>
    <s v="Résolu"/>
    <s v="Non Trouvée"/>
    <s v="Aucun"/>
    <x v="1"/>
    <s v="Non Trouvée"/>
    <s v="Pas d'information"/>
    <s v="B2C"/>
  </r>
  <r>
    <d v="2023-10-01T00:00:00"/>
    <d v="1899-12-30T07:23:00"/>
    <x v="196"/>
    <n v="114"/>
    <s v="Non Résolu"/>
    <s v="Non Trouvée"/>
    <s v="Aucun"/>
    <x v="1"/>
    <s v="Non Trouvée"/>
    <s v="Pas d'information"/>
    <s v="B2C"/>
  </r>
  <r>
    <d v="2023-10-11T00:00:00"/>
    <d v="1899-12-30T03:05:00"/>
    <x v="196"/>
    <n v="115"/>
    <s v="Résolu"/>
    <s v="Non Trouvée"/>
    <s v="Aucun"/>
    <x v="1"/>
    <s v="Non Trouvée"/>
    <s v="Pas d'information"/>
    <s v="B2C"/>
  </r>
  <r>
    <d v="2023-10-20T00:00:00"/>
    <d v="1899-12-30T07:14:00"/>
    <x v="196"/>
    <n v="65"/>
    <s v="Résolu"/>
    <s v="Non Trouvée"/>
    <s v="Aucun"/>
    <x v="1"/>
    <s v="Non Trouvée"/>
    <s v="Pas d'information"/>
    <s v="B2C"/>
  </r>
  <r>
    <d v="2023-10-21T00:00:00"/>
    <d v="1899-12-30T02:12:00"/>
    <x v="196"/>
    <n v="87"/>
    <s v="Non Résolu"/>
    <s v="Non Trouvée"/>
    <s v="Aucun"/>
    <x v="1"/>
    <s v="Non Trouvée"/>
    <s v="Pas d'information"/>
    <s v="B2C"/>
  </r>
  <r>
    <d v="2023-10-03T00:00:00"/>
    <d v="1899-12-30T10:38:00"/>
    <x v="197"/>
    <n v="52"/>
    <s v="Non Résolu"/>
    <s v="Non Trouvée"/>
    <s v="Aucun"/>
    <x v="1"/>
    <s v="Non Trouvée"/>
    <s v="Pas d'information"/>
    <s v="B2C"/>
  </r>
  <r>
    <d v="2023-10-08T00:00:00"/>
    <d v="1899-12-30T12:36:00"/>
    <x v="198"/>
    <n v="83"/>
    <s v="Résolu"/>
    <s v="Non Trouvée"/>
    <s v="Aucun"/>
    <x v="1"/>
    <s v="Non Trouvée"/>
    <s v="Pas d'information"/>
    <s v="B2C"/>
  </r>
  <r>
    <d v="2023-10-01T00:00:00"/>
    <d v="1899-12-30T14:17:00"/>
    <x v="199"/>
    <n v="69"/>
    <s v="En Cours"/>
    <s v="Non Trouvée"/>
    <s v="Aucun"/>
    <x v="1"/>
    <s v="Non Trouvée"/>
    <s v="Pas d'information"/>
    <s v="B2C"/>
  </r>
  <r>
    <d v="2023-10-29T00:00:00"/>
    <d v="1899-12-30T17:18:00"/>
    <x v="199"/>
    <n v="101"/>
    <s v="Non Résolu"/>
    <s v="Non Trouvée"/>
    <s v="Aucun"/>
    <x v="1"/>
    <s v="Non Trouvée"/>
    <s v="Pas d'information"/>
    <s v="B2C"/>
  </r>
  <r>
    <d v="2023-10-31T00:00:00"/>
    <d v="1899-12-30T13:52:00"/>
    <x v="199"/>
    <n v="97"/>
    <s v="Résolu"/>
    <s v="Non Trouvée"/>
    <s v="Aucun"/>
    <x v="1"/>
    <s v="Non Trouvée"/>
    <s v="Pas d'information"/>
    <s v="B2C"/>
  </r>
  <r>
    <d v="2023-10-03T00:00:00"/>
    <d v="1899-12-30T11:16:00"/>
    <x v="200"/>
    <n v="78"/>
    <s v="Résolu"/>
    <s v="Non Trouvée"/>
    <s v="Aucun"/>
    <x v="1"/>
    <s v="Non Trouvée"/>
    <s v="Pas d'information"/>
    <s v="B2C"/>
  </r>
  <r>
    <d v="2023-10-14T00:00:00"/>
    <d v="1899-12-30T18:30:00"/>
    <x v="201"/>
    <n v="11"/>
    <s v="En Cours"/>
    <s v="Non Trouvée"/>
    <s v="Aucun"/>
    <x v="1"/>
    <s v="Non Trouvée"/>
    <s v="Pas d'information"/>
    <s v="B2C"/>
  </r>
  <r>
    <d v="2023-10-27T00:00:00"/>
    <d v="1899-12-30T20:15:00"/>
    <x v="202"/>
    <n v="48"/>
    <s v="Résolu"/>
    <s v="Non Trouvée"/>
    <s v="Aucun"/>
    <x v="1"/>
    <s v="Non Trouvée"/>
    <s v="Pas d'information"/>
    <s v="B2C"/>
  </r>
  <r>
    <d v="2023-10-03T00:00:00"/>
    <d v="1899-12-30T06:58:00"/>
    <x v="203"/>
    <n v="103"/>
    <s v="Non Résolu"/>
    <s v="Equateur"/>
    <s v="CLI-00091"/>
    <x v="0"/>
    <s v="Huawei"/>
    <s v="Bloqué 5Go"/>
    <s v="B2C"/>
  </r>
  <r>
    <d v="2023-10-10T00:00:00"/>
    <d v="1899-12-30T19:34:00"/>
    <x v="204"/>
    <n v="115"/>
    <s v="En Cours"/>
    <s v="Non Trouvée"/>
    <s v="Aucun"/>
    <x v="1"/>
    <s v="Non Trouvée"/>
    <s v="Pas d'information"/>
    <s v="B2C"/>
  </r>
  <r>
    <d v="2023-10-15T00:00:00"/>
    <d v="1899-12-30T19:36:00"/>
    <x v="204"/>
    <n v="92"/>
    <s v="En Cours"/>
    <s v="Non Trouvée"/>
    <s v="Aucun"/>
    <x v="1"/>
    <s v="Non Trouvée"/>
    <s v="Pas d'information"/>
    <s v="B2C"/>
  </r>
  <r>
    <d v="2023-10-08T00:00:00"/>
    <d v="1899-12-30T20:18:00"/>
    <x v="205"/>
    <n v="12"/>
    <s v="En Cours"/>
    <s v="Non Trouvée"/>
    <s v="Aucun"/>
    <x v="1"/>
    <s v="Non Trouvée"/>
    <s v="Pas d'information"/>
    <s v="B2C"/>
  </r>
  <r>
    <d v="2023-10-24T00:00:00"/>
    <d v="1899-12-30T04:26:00"/>
    <x v="205"/>
    <n v="42"/>
    <s v="Non Résolu"/>
    <s v="Non Trouvée"/>
    <s v="Aucun"/>
    <x v="1"/>
    <s v="Non Trouvée"/>
    <s v="Pas d'information"/>
    <s v="B2C"/>
  </r>
  <r>
    <d v="2023-10-15T00:00:00"/>
    <d v="1899-12-30T21:27:00"/>
    <x v="206"/>
    <n v="60"/>
    <s v="Non Résolu"/>
    <s v="Non Trouvée"/>
    <s v="Aucun"/>
    <x v="1"/>
    <s v="Non Trouvée"/>
    <s v="Pas d'information"/>
    <s v="B2C"/>
  </r>
  <r>
    <d v="2023-10-31T00:00:00"/>
    <d v="1899-12-30T04:27:00"/>
    <x v="207"/>
    <n v="31"/>
    <s v="Non Résolu"/>
    <s v="Non Trouvée"/>
    <s v="Aucun"/>
    <x v="1"/>
    <s v="Non Trouvée"/>
    <s v="Pas d'information"/>
    <s v="B2C"/>
  </r>
  <r>
    <d v="2023-10-19T00:00:00"/>
    <d v="1899-12-30T08:02:00"/>
    <x v="208"/>
    <n v="85"/>
    <s v="En Cours"/>
    <s v="Non Trouvée"/>
    <s v="Aucun"/>
    <x v="1"/>
    <s v="Non Trouvée"/>
    <s v="Pas d'information"/>
    <s v="B2C"/>
  </r>
  <r>
    <d v="2023-10-26T00:00:00"/>
    <d v="1899-12-30T03:06:00"/>
    <x v="208"/>
    <n v="36"/>
    <s v="En Cours"/>
    <s v="Non Trouvée"/>
    <s v="Aucun"/>
    <x v="1"/>
    <s v="Non Trouvée"/>
    <s v="Pas d'information"/>
    <s v="B2C"/>
  </r>
  <r>
    <d v="2023-10-26T00:00:00"/>
    <d v="1899-12-30T09:13:00"/>
    <x v="209"/>
    <n v="42"/>
    <s v="Résolu"/>
    <s v="Non Trouvée"/>
    <s v="Aucun"/>
    <x v="1"/>
    <s v="Non Trouvée"/>
    <s v="Pas d'information"/>
    <s v="B2C"/>
  </r>
  <r>
    <d v="2023-10-31T00:00:00"/>
    <d v="1899-12-30T12:54:00"/>
    <x v="209"/>
    <n v="33"/>
    <s v="Non Résolu"/>
    <s v="Non Trouvée"/>
    <s v="Aucun"/>
    <x v="1"/>
    <s v="Non Trouvée"/>
    <s v="Pas d'information"/>
    <s v="B2C"/>
  </r>
  <r>
    <d v="2023-10-17T00:00:00"/>
    <d v="1899-12-30T12:20:00"/>
    <x v="210"/>
    <n v="73"/>
    <s v="Non Résolu"/>
    <s v="Non Trouvée"/>
    <s v="Aucun"/>
    <x v="1"/>
    <s v="Non Trouvée"/>
    <s v="Pas d'information"/>
    <s v="B2C"/>
  </r>
  <r>
    <d v="2023-10-23T00:00:00"/>
    <d v="1899-12-30T11:13:00"/>
    <x v="211"/>
    <n v="104"/>
    <s v="En Cours"/>
    <s v="Non Trouvée"/>
    <s v="Aucun"/>
    <x v="1"/>
    <s v="Non Trouvée"/>
    <s v="Pas d'information"/>
    <s v="B2C"/>
  </r>
  <r>
    <d v="2023-10-22T00:00:00"/>
    <d v="1899-12-30T11:58:00"/>
    <x v="212"/>
    <n v="116"/>
    <s v="Non Résolu"/>
    <s v="Non Trouvée"/>
    <s v="Aucun"/>
    <x v="1"/>
    <s v="Non Trouvée"/>
    <s v="Pas d'information"/>
    <s v="B2C"/>
  </r>
  <r>
    <d v="2023-10-06T00:00:00"/>
    <d v="1899-12-30T01:16:00"/>
    <x v="213"/>
    <n v="102"/>
    <s v="Non Résolu"/>
    <s v="Kasai"/>
    <s v="CLI-00057"/>
    <x v="0"/>
    <s v="Huawei"/>
    <s v="Bloqué 5Go"/>
    <s v="B2C"/>
  </r>
  <r>
    <d v="2023-10-22T00:00:00"/>
    <d v="1899-12-30T20:04:00"/>
    <x v="213"/>
    <n v="6"/>
    <s v="En Cours"/>
    <s v="Kasai"/>
    <s v="CLI-00057"/>
    <x v="0"/>
    <s v="Huawei"/>
    <s v="Bloqué 5Go"/>
    <s v="B2C"/>
  </r>
  <r>
    <d v="2023-10-05T00:00:00"/>
    <d v="1899-12-30T18:13:00"/>
    <x v="214"/>
    <n v="105"/>
    <s v="En Cours"/>
    <s v="Non Trouvée"/>
    <s v="Aucun"/>
    <x v="1"/>
    <s v="Non Trouvée"/>
    <s v="Pas d'information"/>
    <s v="B2C"/>
  </r>
  <r>
    <d v="2023-10-28T00:00:00"/>
    <d v="1899-12-30T16:56:00"/>
    <x v="214"/>
    <n v="108"/>
    <s v="Non Résolu"/>
    <s v="Non Trouvée"/>
    <s v="Aucun"/>
    <x v="1"/>
    <s v="Non Trouvée"/>
    <s v="Pas d'information"/>
    <s v="B2C"/>
  </r>
  <r>
    <d v="2023-10-28T00:00:00"/>
    <d v="1899-12-30T17:23:00"/>
    <x v="214"/>
    <n v="20"/>
    <s v="Résolu"/>
    <s v="Non Trouvée"/>
    <s v="Aucun"/>
    <x v="1"/>
    <s v="Non Trouvée"/>
    <s v="Pas d'information"/>
    <s v="B2C"/>
  </r>
  <r>
    <d v="2023-10-25T00:00:00"/>
    <d v="1899-12-30T23:08:00"/>
    <x v="215"/>
    <n v="83"/>
    <s v="Non Résolu"/>
    <s v="Non Trouvée"/>
    <s v="Aucun"/>
    <x v="1"/>
    <s v="Non Trouvée"/>
    <s v="Pas d'information"/>
    <s v="B2C"/>
  </r>
  <r>
    <d v="2023-10-22T00:00:00"/>
    <d v="1899-12-30T09:14:00"/>
    <x v="216"/>
    <n v="92"/>
    <s v="Non Résolu"/>
    <s v="Non Trouvée"/>
    <s v="Aucun"/>
    <x v="1"/>
    <s v="Non Trouvée"/>
    <s v="Pas d'information"/>
    <s v="B2C"/>
  </r>
  <r>
    <d v="2023-10-15T00:00:00"/>
    <d v="1899-12-30T14:43:00"/>
    <x v="217"/>
    <n v="61"/>
    <s v="En Cours"/>
    <s v="Non Trouvée"/>
    <s v="Aucun"/>
    <x v="1"/>
    <s v="Non Trouvée"/>
    <s v="Pas d'information"/>
    <s v="B2C"/>
  </r>
  <r>
    <d v="2023-10-15T00:00:00"/>
    <d v="1899-12-30T04:08:00"/>
    <x v="218"/>
    <n v="6"/>
    <s v="Résolu"/>
    <s v="Bas-Uele"/>
    <s v="CLI-00029"/>
    <x v="2"/>
    <s v="ZTE"/>
    <s v="Pro Monde"/>
    <s v="B2B"/>
  </r>
  <r>
    <d v="2023-10-20T00:00:00"/>
    <d v="1899-12-30T02:18:00"/>
    <x v="218"/>
    <n v="113"/>
    <s v="En Cours"/>
    <s v="Bas-Uele"/>
    <s v="CLI-00029"/>
    <x v="2"/>
    <s v="ZTE"/>
    <s v="Pro Monde"/>
    <s v="B2B"/>
  </r>
  <r>
    <d v="2023-10-23T00:00:00"/>
    <d v="1899-12-30T18:19:00"/>
    <x v="218"/>
    <n v="91"/>
    <s v="En Cours"/>
    <s v="Bas-Uele"/>
    <s v="CLI-00029"/>
    <x v="2"/>
    <s v="ZTE"/>
    <s v="Pro Monde"/>
    <s v="B2B"/>
  </r>
  <r>
    <d v="2023-10-29T00:00:00"/>
    <d v="1899-12-30T14:45:00"/>
    <x v="218"/>
    <n v="48"/>
    <s v="Non Résolu"/>
    <s v="Bas-Uele"/>
    <s v="CLI-00029"/>
    <x v="2"/>
    <s v="ZTE"/>
    <s v="Pro Monde"/>
    <s v="B2B"/>
  </r>
  <r>
    <d v="2023-10-04T00:00:00"/>
    <d v="1899-12-30T13:42:00"/>
    <x v="219"/>
    <n v="68"/>
    <s v="En Cours"/>
    <s v="Non Trouvée"/>
    <s v="Aucun"/>
    <x v="1"/>
    <s v="Non Trouvée"/>
    <s v="Pas d'information"/>
    <s v="B2C"/>
  </r>
  <r>
    <d v="2023-10-12T00:00:00"/>
    <d v="1899-12-30T13:07:00"/>
    <x v="220"/>
    <n v="115"/>
    <s v="Résolu"/>
    <s v="Non Trouvée"/>
    <s v="Aucun"/>
    <x v="1"/>
    <s v="Non Trouvée"/>
    <s v="Pas d'information"/>
    <s v="B2C"/>
  </r>
  <r>
    <d v="2023-10-30T00:00:00"/>
    <d v="1899-12-30T07:10:00"/>
    <x v="220"/>
    <n v="74"/>
    <s v="En Cours"/>
    <s v="Non Trouvée"/>
    <s v="Aucun"/>
    <x v="1"/>
    <s v="Non Trouvée"/>
    <s v="Pas d'information"/>
    <s v="B2C"/>
  </r>
  <r>
    <d v="2023-10-26T00:00:00"/>
    <d v="1899-12-30T05:04:00"/>
    <x v="221"/>
    <n v="33"/>
    <s v="Non Résolu"/>
    <s v="Non Trouvée"/>
    <s v="Aucun"/>
    <x v="1"/>
    <s v="Non Trouvée"/>
    <s v="Pas d'information"/>
    <s v="B2C"/>
  </r>
  <r>
    <d v="2023-10-14T00:00:00"/>
    <d v="1899-12-30T08:13:00"/>
    <x v="222"/>
    <n v="63"/>
    <s v="Non Résolu"/>
    <s v="Sud-Kivu"/>
    <s v="CLI-00054"/>
    <x v="2"/>
    <s v="Nokia"/>
    <s v="Bloqué 5Go"/>
    <s v="B2C"/>
  </r>
  <r>
    <d v="2023-10-03T00:00:00"/>
    <d v="1899-12-30T08:41:00"/>
    <x v="223"/>
    <n v="15"/>
    <s v="Non Résolu"/>
    <s v="Non Trouvée"/>
    <s v="Aucun"/>
    <x v="1"/>
    <s v="Non Trouvée"/>
    <s v="Pas d'information"/>
    <s v="B2C"/>
  </r>
  <r>
    <d v="2023-10-11T00:00:00"/>
    <d v="1899-12-30T23:04:00"/>
    <x v="224"/>
    <n v="66"/>
    <s v="Résolu"/>
    <s v="Kinshasa"/>
    <s v="CLI-00184"/>
    <x v="2"/>
    <s v="ZTE"/>
    <s v="Premium 5G 150Go"/>
    <s v="B2C"/>
  </r>
  <r>
    <d v="2023-10-21T00:00:00"/>
    <d v="1899-12-30T10:00:00"/>
    <x v="224"/>
    <n v="32"/>
    <s v="Non Résolu"/>
    <s v="Kinshasa"/>
    <s v="CLI-00184"/>
    <x v="2"/>
    <s v="ZTE"/>
    <s v="Premium 5G 150Go"/>
    <s v="B2C"/>
  </r>
  <r>
    <d v="2023-10-27T00:00:00"/>
    <d v="1899-12-30T17:57:00"/>
    <x v="225"/>
    <n v="52"/>
    <s v="Non Résolu"/>
    <s v="Non Trouvée"/>
    <s v="Aucun"/>
    <x v="1"/>
    <s v="Non Trouvée"/>
    <s v="Pas d'information"/>
    <s v="B2C"/>
  </r>
  <r>
    <d v="2023-10-04T00:00:00"/>
    <d v="1899-12-30T07:19:00"/>
    <x v="226"/>
    <n v="106"/>
    <s v="Non Résolu"/>
    <s v="Tanganyika"/>
    <s v="CLI-00007"/>
    <x v="2"/>
    <s v="Nokia"/>
    <s v="Bloqué 5Go"/>
    <s v="B2C"/>
  </r>
  <r>
    <d v="2023-10-16T00:00:00"/>
    <d v="1899-12-30T10:59:00"/>
    <x v="226"/>
    <n v="100"/>
    <s v="Résolu"/>
    <s v="Tanganyika"/>
    <s v="CLI-00007"/>
    <x v="2"/>
    <s v="Nokia"/>
    <s v="Bloqué 5Go"/>
    <s v="B2C"/>
  </r>
  <r>
    <d v="2023-10-02T00:00:00"/>
    <d v="1899-12-30T07:26:00"/>
    <x v="227"/>
    <n v="56"/>
    <s v="En Cours"/>
    <s v="Non Trouvée"/>
    <s v="Aucun"/>
    <x v="1"/>
    <s v="Non Trouvée"/>
    <s v="Pas d'information"/>
    <s v="B2C"/>
  </r>
  <r>
    <d v="2023-10-09T00:00:00"/>
    <d v="1899-12-30T02:01:00"/>
    <x v="228"/>
    <n v="50"/>
    <s v="Non Résolu"/>
    <s v="Non Trouvée"/>
    <s v="Aucun"/>
    <x v="1"/>
    <s v="Non Trouvée"/>
    <s v="Pas d'information"/>
    <s v="B2C"/>
  </r>
  <r>
    <d v="2023-10-23T00:00:00"/>
    <d v="1899-12-30T04:18:00"/>
    <x v="229"/>
    <n v="28"/>
    <s v="Non Résolu"/>
    <s v="Kinshasa"/>
    <s v="CLI-00184"/>
    <x v="3"/>
    <s v="Huawei"/>
    <s v="Premium 5G 150Go"/>
    <s v="B2C"/>
  </r>
  <r>
    <d v="2023-10-15T00:00:00"/>
    <d v="1899-12-30T17:41:00"/>
    <x v="230"/>
    <n v="34"/>
    <s v="En Cours"/>
    <s v="Kwilu"/>
    <s v="CLI-00009"/>
    <x v="3"/>
    <s v="ZTE"/>
    <s v="Pro Monde"/>
    <s v="B2B"/>
  </r>
  <r>
    <d v="2023-10-25T00:00:00"/>
    <d v="1899-12-30T14:24:00"/>
    <x v="231"/>
    <n v="70"/>
    <s v="En Cours"/>
    <s v="Non Trouvée"/>
    <s v="Aucun"/>
    <x v="1"/>
    <s v="Non Trouvée"/>
    <s v="Pas d'information"/>
    <s v="B2C"/>
  </r>
  <r>
    <d v="2023-10-07T00:00:00"/>
    <d v="1899-12-30T08:48:00"/>
    <x v="232"/>
    <n v="30"/>
    <s v="En Cours"/>
    <s v="Non Trouvée"/>
    <s v="Aucun"/>
    <x v="1"/>
    <s v="Non Trouvée"/>
    <s v="Pas d'information"/>
    <s v="B2C"/>
  </r>
  <r>
    <d v="2023-10-26T00:00:00"/>
    <d v="1899-12-30T04:07:00"/>
    <x v="233"/>
    <n v="104"/>
    <s v="Non Résolu"/>
    <s v="Kongo-Central"/>
    <s v="CLI-00012"/>
    <x v="2"/>
    <s v="Huawei"/>
    <s v="Illimité 50Go"/>
    <s v="B2C"/>
  </r>
  <r>
    <d v="2023-10-16T00:00:00"/>
    <d v="1899-12-30T02:14:00"/>
    <x v="234"/>
    <n v="87"/>
    <s v="Résolu"/>
    <s v="Mongala"/>
    <s v="CLI-00011"/>
    <x v="0"/>
    <s v="Ericsson"/>
    <s v="Illimité 50Go"/>
    <s v="B2C"/>
  </r>
  <r>
    <d v="2023-10-03T00:00:00"/>
    <d v="1899-12-30T05:15:00"/>
    <x v="235"/>
    <n v="86"/>
    <s v="En Cours"/>
    <s v="Haut-Lomami"/>
    <s v="CLI-00022"/>
    <x v="0"/>
    <s v="Huawei"/>
    <s v="Premium 5G 150Go"/>
    <s v="B2C"/>
  </r>
  <r>
    <d v="2023-10-11T00:00:00"/>
    <d v="1899-12-30T11:00:00"/>
    <x v="235"/>
    <n v="95"/>
    <s v="Non Résolu"/>
    <s v="Haut-Lomami"/>
    <s v="CLI-00022"/>
    <x v="0"/>
    <s v="Huawei"/>
    <s v="Premium 5G 150Go"/>
    <s v="B2C"/>
  </r>
  <r>
    <d v="2023-10-18T00:00:00"/>
    <d v="1899-12-30T07:43:00"/>
    <x v="236"/>
    <n v="118"/>
    <s v="Non Résolu"/>
    <s v="Non Trouvée"/>
    <s v="Aucun"/>
    <x v="1"/>
    <s v="Non Trouvée"/>
    <s v="Pas d'information"/>
    <s v="B2C"/>
  </r>
  <r>
    <d v="2023-10-08T00:00:00"/>
    <d v="1899-12-30T23:42:00"/>
    <x v="237"/>
    <n v="15"/>
    <s v="Non Résolu"/>
    <s v="Kwango"/>
    <s v="CLI-00094"/>
    <x v="2"/>
    <s v="Ericsson"/>
    <s v="Pro Monde"/>
    <s v="B2B"/>
  </r>
  <r>
    <d v="2023-10-11T00:00:00"/>
    <d v="1899-12-30T00:45:00"/>
    <x v="237"/>
    <n v="63"/>
    <s v="En Cours"/>
    <s v="Kwango"/>
    <s v="CLI-00094"/>
    <x v="2"/>
    <s v="Ericsson"/>
    <s v="Pro Monde"/>
    <s v="B2B"/>
  </r>
  <r>
    <d v="2023-10-03T00:00:00"/>
    <d v="1899-12-30T10:54:00"/>
    <x v="238"/>
    <n v="89"/>
    <s v="En Cours"/>
    <s v="Non Trouvée"/>
    <s v="Aucun"/>
    <x v="1"/>
    <s v="Non Trouvée"/>
    <s v="Pas d'information"/>
    <s v="B2C"/>
  </r>
  <r>
    <d v="2023-10-25T00:00:00"/>
    <d v="1899-12-30T19:38:00"/>
    <x v="238"/>
    <n v="5"/>
    <s v="En Cours"/>
    <s v="Non Trouvée"/>
    <s v="Aucun"/>
    <x v="1"/>
    <s v="Non Trouvée"/>
    <s v="Pas d'information"/>
    <s v="B2C"/>
  </r>
  <r>
    <d v="2023-10-26T00:00:00"/>
    <d v="1899-12-30T05:10:00"/>
    <x v="239"/>
    <n v="41"/>
    <s v="En Cours"/>
    <s v="Mai-Ndombe"/>
    <s v="CLI-00090"/>
    <x v="0"/>
    <s v="Huawei"/>
    <s v="Bloqué 5Go"/>
    <s v="B2C"/>
  </r>
  <r>
    <d v="2023-10-26T00:00:00"/>
    <d v="1899-12-30T12:40:00"/>
    <x v="240"/>
    <n v="6"/>
    <s v="Non Résolu"/>
    <s v="Non Trouvée"/>
    <s v="Aucun"/>
    <x v="1"/>
    <s v="Non Trouvée"/>
    <s v="Pas d'information"/>
    <s v="B2C"/>
  </r>
  <r>
    <d v="2023-10-26T00:00:00"/>
    <d v="1899-12-30T18:41:00"/>
    <x v="241"/>
    <n v="89"/>
    <s v="Résolu"/>
    <s v="Non Trouvée"/>
    <s v="Aucun"/>
    <x v="1"/>
    <s v="Non Trouvée"/>
    <s v="Pas d'information"/>
    <s v="B2C"/>
  </r>
  <r>
    <d v="2023-10-26T00:00:00"/>
    <d v="1899-12-30T03:50:00"/>
    <x v="242"/>
    <n v="113"/>
    <s v="Résolu"/>
    <s v="Non Trouvée"/>
    <s v="Aucun"/>
    <x v="1"/>
    <s v="Non Trouvée"/>
    <s v="Pas d'information"/>
    <s v="B2C"/>
  </r>
  <r>
    <d v="2023-10-17T00:00:00"/>
    <d v="1899-12-30T10:59:00"/>
    <x v="243"/>
    <n v="39"/>
    <s v="Résolu"/>
    <s v="Kasai-Central"/>
    <s v="CLI-00060"/>
    <x v="0"/>
    <s v="Ericsson"/>
    <s v="Pro Monde"/>
    <s v="B2B"/>
  </r>
  <r>
    <d v="2023-10-05T00:00:00"/>
    <d v="1899-12-30T21:44:00"/>
    <x v="244"/>
    <n v="61"/>
    <s v="Résolu"/>
    <s v="Bas-Uele"/>
    <s v="CLI-00029"/>
    <x v="2"/>
    <s v="Ericsson"/>
    <s v="Pro Monde"/>
    <s v="B2B"/>
  </r>
  <r>
    <d v="2023-10-16T00:00:00"/>
    <d v="1899-12-30T18:10:00"/>
    <x v="245"/>
    <n v="24"/>
    <s v="En Cours"/>
    <s v="Non Trouvée"/>
    <s v="Aucun"/>
    <x v="1"/>
    <s v="Non Trouvée"/>
    <s v="Pas d'information"/>
    <s v="B2C"/>
  </r>
  <r>
    <d v="2023-10-21T00:00:00"/>
    <d v="1899-12-30T19:56:00"/>
    <x v="246"/>
    <n v="59"/>
    <s v="En Cours"/>
    <s v="Non Trouvée"/>
    <s v="Aucun"/>
    <x v="1"/>
    <s v="Non Trouvée"/>
    <s v="Pas d'information"/>
    <s v="B2C"/>
  </r>
  <r>
    <d v="2023-10-25T00:00:00"/>
    <d v="1899-12-30T10:58:00"/>
    <x v="246"/>
    <n v="32"/>
    <s v="Résolu"/>
    <s v="Non Trouvée"/>
    <s v="Aucun"/>
    <x v="1"/>
    <s v="Non Trouvée"/>
    <s v="Pas d'information"/>
    <s v="B2C"/>
  </r>
  <r>
    <d v="2023-10-09T00:00:00"/>
    <d v="1899-12-30T15:54:00"/>
    <x v="247"/>
    <n v="104"/>
    <s v="En Cours"/>
    <s v="Non Trouvée"/>
    <s v="Aucun"/>
    <x v="1"/>
    <s v="Non Trouvée"/>
    <s v="Pas d'information"/>
    <s v="B2C"/>
  </r>
  <r>
    <d v="2023-10-26T00:00:00"/>
    <d v="1899-12-30T22:46:00"/>
    <x v="248"/>
    <n v="30"/>
    <s v="Résolu"/>
    <s v="Kwango"/>
    <s v="CLI-00094"/>
    <x v="0"/>
    <s v="Ericsson"/>
    <s v="Pro Monde"/>
    <s v="B2B"/>
  </r>
  <r>
    <d v="2023-10-17T00:00:00"/>
    <d v="1899-12-30T23:03:00"/>
    <x v="249"/>
    <n v="41"/>
    <s v="Non Résolu"/>
    <s v="Mai-Ndombe"/>
    <s v="CLI-00090"/>
    <x v="3"/>
    <s v="Huawei"/>
    <s v="Bloqué 5Go"/>
    <s v="B2C"/>
  </r>
  <r>
    <d v="2023-10-08T00:00:00"/>
    <d v="1899-12-30T21:48:00"/>
    <x v="250"/>
    <n v="103"/>
    <s v="Résolu"/>
    <s v="Non Trouvée"/>
    <s v="Aucun"/>
    <x v="1"/>
    <s v="Non Trouvée"/>
    <s v="Pas d'information"/>
    <s v="B2C"/>
  </r>
  <r>
    <d v="2023-10-02T00:00:00"/>
    <d v="1899-12-30T20:37:00"/>
    <x v="251"/>
    <n v="26"/>
    <s v="Non Résolu"/>
    <s v="Non Trouvée"/>
    <s v="Aucun"/>
    <x v="1"/>
    <s v="Non Trouvée"/>
    <s v="Pas d'information"/>
    <s v="B2C"/>
  </r>
  <r>
    <d v="2023-10-03T00:00:00"/>
    <d v="1899-12-30T17:13:00"/>
    <x v="252"/>
    <n v="115"/>
    <s v="En Cours"/>
    <s v="Tanganyika"/>
    <s v="CLI-00007"/>
    <x v="2"/>
    <s v="Ericsson"/>
    <s v="Bloqué 5Go"/>
    <s v="B2C"/>
  </r>
  <r>
    <d v="2023-10-06T00:00:00"/>
    <d v="1899-12-30T11:23:00"/>
    <x v="253"/>
    <n v="25"/>
    <s v="Résolu"/>
    <s v="Haut-Uele"/>
    <s v="CLI-00055"/>
    <x v="2"/>
    <s v="Huawei"/>
    <s v="Pro Monde"/>
    <s v="B2B"/>
  </r>
  <r>
    <d v="2023-10-26T00:00:00"/>
    <d v="1899-12-30T15:01:00"/>
    <x v="254"/>
    <n v="108"/>
    <s v="En Cours"/>
    <s v="Sud-Ubangi"/>
    <s v="CLI-00070"/>
    <x v="2"/>
    <s v="ZTE"/>
    <s v="Illimité 50Go"/>
    <s v="B2C"/>
  </r>
  <r>
    <d v="2023-10-10T00:00:00"/>
    <d v="1899-12-30T23:44:00"/>
    <x v="255"/>
    <n v="80"/>
    <s v="Non Résolu"/>
    <s v="Non Trouvée"/>
    <s v="Aucun"/>
    <x v="1"/>
    <s v="Non Trouvée"/>
    <s v="Pas d'information"/>
    <s v="B2C"/>
  </r>
  <r>
    <d v="2023-10-10T00:00:00"/>
    <d v="1899-12-30T04:24:00"/>
    <x v="256"/>
    <n v="81"/>
    <s v="Non Résolu"/>
    <s v="Non Trouvée"/>
    <s v="Aucun"/>
    <x v="1"/>
    <s v="Non Trouvée"/>
    <s v="Pas d'information"/>
    <s v="B2C"/>
  </r>
  <r>
    <d v="2023-10-24T00:00:00"/>
    <d v="1899-12-30T13:10:00"/>
    <x v="256"/>
    <n v="19"/>
    <s v="Non Résolu"/>
    <s v="Non Trouvée"/>
    <s v="Aucun"/>
    <x v="1"/>
    <s v="Non Trouvée"/>
    <s v="Pas d'information"/>
    <s v="B2C"/>
  </r>
  <r>
    <d v="2023-10-21T00:00:00"/>
    <d v="1899-12-30T14:01:00"/>
    <x v="257"/>
    <n v="92"/>
    <s v="En Cours"/>
    <s v="Nord-Ubangi"/>
    <s v="CLI-00112"/>
    <x v="0"/>
    <s v="Nokia"/>
    <s v="Bloqué 5Go"/>
    <s v="B2C"/>
  </r>
  <r>
    <d v="2023-10-03T00:00:00"/>
    <d v="1899-12-30T10:38:00"/>
    <x v="258"/>
    <n v="43"/>
    <s v="Résolu"/>
    <s v="Non Trouvée"/>
    <s v="Aucun"/>
    <x v="1"/>
    <s v="Non Trouvée"/>
    <s v="Pas d'information"/>
    <s v="B2C"/>
  </r>
  <r>
    <d v="2023-10-10T00:00:00"/>
    <d v="1899-12-30T18:46:00"/>
    <x v="258"/>
    <n v="10"/>
    <s v="Non Résolu"/>
    <s v="Non Trouvée"/>
    <s v="Aucun"/>
    <x v="1"/>
    <s v="Non Trouvée"/>
    <s v="Pas d'information"/>
    <s v="B2C"/>
  </r>
  <r>
    <d v="2023-10-20T00:00:00"/>
    <d v="1899-12-30T10:53:00"/>
    <x v="258"/>
    <n v="52"/>
    <s v="Non Résolu"/>
    <s v="Non Trouvée"/>
    <s v="Aucun"/>
    <x v="1"/>
    <s v="Non Trouvée"/>
    <s v="Pas d'information"/>
    <s v="B2C"/>
  </r>
  <r>
    <d v="2023-10-21T00:00:00"/>
    <d v="1899-12-30T13:14:00"/>
    <x v="259"/>
    <n v="6"/>
    <s v="Résolu"/>
    <s v="Non Trouvée"/>
    <s v="Aucun"/>
    <x v="1"/>
    <s v="Non Trouvée"/>
    <s v="Pas d'information"/>
    <s v="B2C"/>
  </r>
  <r>
    <d v="2023-10-01T00:00:00"/>
    <d v="1899-12-30T13:41:00"/>
    <x v="260"/>
    <n v="53"/>
    <s v="En Cours"/>
    <s v="Kongo-Central"/>
    <s v="CLI-00012"/>
    <x v="0"/>
    <s v="ZTE"/>
    <s v="Illimité 50Go"/>
    <s v="B2C"/>
  </r>
  <r>
    <d v="2023-10-06T00:00:00"/>
    <d v="1899-12-30T19:03:00"/>
    <x v="261"/>
    <n v="99"/>
    <s v="Non Résolu"/>
    <s v="Non Trouvée"/>
    <s v="Aucun"/>
    <x v="1"/>
    <s v="Non Trouvée"/>
    <s v="Pas d'information"/>
    <s v="B2C"/>
  </r>
  <r>
    <d v="2023-10-16T00:00:00"/>
    <d v="1899-12-30T14:06:00"/>
    <x v="262"/>
    <n v="24"/>
    <s v="Non Résolu"/>
    <s v="Maniema"/>
    <s v="CLI-00039"/>
    <x v="2"/>
    <s v="ZTE"/>
    <s v="Pro Monde"/>
    <s v="B2B"/>
  </r>
  <r>
    <d v="2023-10-16T00:00:00"/>
    <d v="1899-12-30T01:11:00"/>
    <x v="262"/>
    <n v="33"/>
    <s v="Non Résolu"/>
    <s v="Maniema"/>
    <s v="CLI-00039"/>
    <x v="2"/>
    <s v="ZTE"/>
    <s v="Pro Monde"/>
    <s v="B2B"/>
  </r>
  <r>
    <d v="2023-10-24T00:00:00"/>
    <d v="1899-12-30T10:49:00"/>
    <x v="263"/>
    <n v="14"/>
    <s v="En Cours"/>
    <s v="Tshuapa"/>
    <s v="CLI-00033"/>
    <x v="3"/>
    <s v="Huawei"/>
    <s v="Premium 5G 150Go"/>
    <s v="B2C"/>
  </r>
  <r>
    <d v="2023-10-21T00:00:00"/>
    <d v="1899-12-30T21:03:00"/>
    <x v="264"/>
    <n v="78"/>
    <s v="Résolu"/>
    <s v="Kinshasa"/>
    <s v="CLI-00184"/>
    <x v="3"/>
    <s v="Nokia"/>
    <s v="Premium 5G 150Go"/>
    <s v="B2C"/>
  </r>
  <r>
    <d v="2023-10-28T00:00:00"/>
    <d v="1899-12-30T04:42:00"/>
    <x v="264"/>
    <n v="113"/>
    <s v="Non Résolu"/>
    <s v="Kinshasa"/>
    <s v="CLI-00184"/>
    <x v="3"/>
    <s v="Nokia"/>
    <s v="Premium 5G 150Go"/>
    <s v="B2C"/>
  </r>
  <r>
    <d v="2023-10-19T00:00:00"/>
    <d v="1899-12-30T16:13:00"/>
    <x v="265"/>
    <n v="37"/>
    <s v="En Cours"/>
    <s v="Sud-Kivu"/>
    <s v="CLI-00054"/>
    <x v="0"/>
    <s v="Ericsson"/>
    <s v="Bloqué 5Go"/>
    <s v="B2C"/>
  </r>
  <r>
    <d v="2023-10-22T00:00:00"/>
    <d v="1899-12-30T12:25:00"/>
    <x v="265"/>
    <n v="83"/>
    <s v="En Cours"/>
    <s v="Sud-Kivu"/>
    <s v="CLI-00054"/>
    <x v="0"/>
    <s v="Ericsson"/>
    <s v="Bloqué 5Go"/>
    <s v="B2C"/>
  </r>
  <r>
    <d v="2023-10-12T00:00:00"/>
    <d v="1899-12-30T02:22:00"/>
    <x v="266"/>
    <n v="59"/>
    <s v="En Cours"/>
    <s v="Sud-Ubangi"/>
    <s v="CLI-00070"/>
    <x v="3"/>
    <s v="Huawei"/>
    <s v="Illimité 50Go"/>
    <s v="B2C"/>
  </r>
  <r>
    <d v="2023-10-14T00:00:00"/>
    <d v="1899-12-30T01:36:00"/>
    <x v="266"/>
    <n v="63"/>
    <s v="Résolu"/>
    <s v="Sud-Ubangi"/>
    <s v="CLI-00070"/>
    <x v="3"/>
    <s v="Huawei"/>
    <s v="Illimité 50Go"/>
    <s v="B2C"/>
  </r>
  <r>
    <d v="2023-10-20T00:00:00"/>
    <d v="1899-12-30T12:09:00"/>
    <x v="267"/>
    <n v="41"/>
    <s v="Non Résolu"/>
    <s v="Tshuapa"/>
    <s v="CLI-00033"/>
    <x v="2"/>
    <s v="Huawei"/>
    <s v="Premium 5G 150Go"/>
    <s v="B2C"/>
  </r>
  <r>
    <d v="2023-10-27T00:00:00"/>
    <d v="1899-12-30T02:30:00"/>
    <x v="267"/>
    <n v="110"/>
    <s v="Non Résolu"/>
    <s v="Tshuapa"/>
    <s v="CLI-00033"/>
    <x v="2"/>
    <s v="Huawei"/>
    <s v="Premium 5G 150Go"/>
    <s v="B2C"/>
  </r>
  <r>
    <d v="2023-10-06T00:00:00"/>
    <d v="1899-12-30T04:17:00"/>
    <x v="268"/>
    <n v="42"/>
    <s v="Non Résolu"/>
    <s v="Sud-Ubangi"/>
    <s v="CLI-00070"/>
    <x v="3"/>
    <s v="ZTE"/>
    <s v="Illimité 50Go"/>
    <s v="B2C"/>
  </r>
  <r>
    <d v="2023-10-13T00:00:00"/>
    <d v="1899-12-30T16:20:00"/>
    <x v="269"/>
    <n v="63"/>
    <s v="Résolu"/>
    <s v="Non Trouvée"/>
    <s v="Aucun"/>
    <x v="1"/>
    <s v="Non Trouvée"/>
    <s v="Pas d'information"/>
    <s v="B2C"/>
  </r>
  <r>
    <d v="2023-10-21T00:00:00"/>
    <d v="1899-12-30T05:21:00"/>
    <x v="270"/>
    <n v="65"/>
    <s v="En Cours"/>
    <s v="Haut-Lomami"/>
    <s v="CLI-00022"/>
    <x v="0"/>
    <s v="Huawei"/>
    <s v="Premium 5G 150Go"/>
    <s v="B2C"/>
  </r>
  <r>
    <d v="2023-10-23T00:00:00"/>
    <d v="1899-12-30T18:40:00"/>
    <x v="270"/>
    <n v="102"/>
    <s v="En Cours"/>
    <s v="Haut-Lomami"/>
    <s v="CLI-00022"/>
    <x v="0"/>
    <s v="Huawei"/>
    <s v="Premium 5G 150Go"/>
    <s v="B2C"/>
  </r>
  <r>
    <d v="2023-10-10T00:00:00"/>
    <d v="1899-12-30T18:39:00"/>
    <x v="271"/>
    <n v="40"/>
    <s v="En Cours"/>
    <s v="Lualaba"/>
    <s v="CLI-00334"/>
    <x v="3"/>
    <s v="Ericsson"/>
    <s v="Pro Monde"/>
    <s v="B2B"/>
  </r>
  <r>
    <d v="2023-10-17T00:00:00"/>
    <d v="1899-12-30T17:31:00"/>
    <x v="271"/>
    <n v="78"/>
    <s v="Non Résolu"/>
    <s v="Lualaba"/>
    <s v="CLI-00334"/>
    <x v="3"/>
    <s v="Ericsson"/>
    <s v="Pro Monde"/>
    <s v="B2B"/>
  </r>
  <r>
    <d v="2023-10-31T00:00:00"/>
    <d v="1899-12-30T02:52:00"/>
    <x v="271"/>
    <n v="8"/>
    <s v="Non Résolu"/>
    <s v="Lualaba"/>
    <s v="CLI-00334"/>
    <x v="3"/>
    <s v="Ericsson"/>
    <s v="Pro Monde"/>
    <s v="B2B"/>
  </r>
  <r>
    <d v="2023-10-04T00:00:00"/>
    <d v="1899-12-30T20:45:00"/>
    <x v="272"/>
    <n v="100"/>
    <s v="En Cours"/>
    <s v="Non Trouvée"/>
    <s v="Aucun"/>
    <x v="1"/>
    <s v="Non Trouvée"/>
    <s v="Pas d'information"/>
    <s v="B2C"/>
  </r>
  <r>
    <d v="2023-10-09T00:00:00"/>
    <d v="1899-12-30T18:18:00"/>
    <x v="273"/>
    <n v="101"/>
    <s v="Résolu"/>
    <s v="Non Trouvée"/>
    <s v="Aucun"/>
    <x v="1"/>
    <s v="Non Trouvée"/>
    <s v="Pas d'information"/>
    <s v="B2C"/>
  </r>
  <r>
    <d v="2023-10-14T00:00:00"/>
    <d v="1899-12-30T23:03:00"/>
    <x v="274"/>
    <n v="103"/>
    <s v="Non Résolu"/>
    <s v="Non Trouvée"/>
    <s v="Aucun"/>
    <x v="1"/>
    <s v="Non Trouvée"/>
    <s v="Pas d'information"/>
    <s v="B2C"/>
  </r>
  <r>
    <d v="2023-10-18T00:00:00"/>
    <d v="1899-12-30T04:39:00"/>
    <x v="275"/>
    <n v="56"/>
    <s v="Résolu"/>
    <s v="Non Trouvée"/>
    <s v="Aucun"/>
    <x v="1"/>
    <s v="Non Trouvée"/>
    <s v="Pas d'information"/>
    <s v="B2C"/>
  </r>
  <r>
    <d v="2023-10-18T00:00:00"/>
    <d v="1899-12-30T12:06:00"/>
    <x v="275"/>
    <n v="55"/>
    <s v="En Cours"/>
    <s v="Non Trouvée"/>
    <s v="Aucun"/>
    <x v="1"/>
    <s v="Non Trouvée"/>
    <s v="Pas d'information"/>
    <s v="B2C"/>
  </r>
  <r>
    <d v="2023-10-20T00:00:00"/>
    <d v="1899-12-30T01:50:00"/>
    <x v="275"/>
    <n v="93"/>
    <s v="En Cours"/>
    <s v="Non Trouvée"/>
    <s v="Aucun"/>
    <x v="1"/>
    <s v="Non Trouvée"/>
    <s v="Pas d'information"/>
    <s v="B2C"/>
  </r>
  <r>
    <d v="2023-10-01T00:00:00"/>
    <d v="1899-12-30T12:16:00"/>
    <x v="276"/>
    <n v="22"/>
    <s v="En Cours"/>
    <s v="Kwilu"/>
    <s v="CLI-00009"/>
    <x v="0"/>
    <s v="ZTE"/>
    <s v="Pro Monde"/>
    <s v="B2B"/>
  </r>
  <r>
    <d v="2023-10-14T00:00:00"/>
    <d v="1899-12-30T03:29:00"/>
    <x v="276"/>
    <n v="105"/>
    <s v="Non Résolu"/>
    <s v="Kwilu"/>
    <s v="CLI-00009"/>
    <x v="0"/>
    <s v="ZTE"/>
    <s v="Pro Monde"/>
    <s v="B2B"/>
  </r>
  <r>
    <d v="2023-10-07T00:00:00"/>
    <d v="1899-12-30T05:36:00"/>
    <x v="277"/>
    <n v="26"/>
    <s v="En Cours"/>
    <s v="Mai-Ndombe"/>
    <s v="CLI-00090"/>
    <x v="0"/>
    <s v="Huawei"/>
    <s v="Bloqué 5Go"/>
    <s v="B2C"/>
  </r>
  <r>
    <d v="2023-10-06T00:00:00"/>
    <d v="1899-12-30T08:29:00"/>
    <x v="278"/>
    <n v="52"/>
    <s v="Non Résolu"/>
    <s v="Tanganyika"/>
    <s v="CLI-00007"/>
    <x v="3"/>
    <s v="Nokia"/>
    <s v="Bloqué 5Go"/>
    <s v="B2C"/>
  </r>
  <r>
    <d v="2023-10-16T00:00:00"/>
    <d v="1899-12-30T17:51:00"/>
    <x v="279"/>
    <n v="103"/>
    <s v="Résolu"/>
    <s v="Non Trouvée"/>
    <s v="Aucun"/>
    <x v="1"/>
    <s v="Non Trouvée"/>
    <s v="Pas d'information"/>
    <s v="B2C"/>
  </r>
  <r>
    <d v="2023-10-12T00:00:00"/>
    <d v="1899-12-30T10:12:00"/>
    <x v="280"/>
    <n v="57"/>
    <s v="Non Résolu"/>
    <s v="Tshopo"/>
    <s v="CLI-00100"/>
    <x v="2"/>
    <s v="ZTE"/>
    <s v="Bloqué 5Go"/>
    <s v="B2C"/>
  </r>
  <r>
    <d v="2023-10-28T00:00:00"/>
    <d v="1899-12-30T13:52:00"/>
    <x v="280"/>
    <n v="50"/>
    <s v="En Cours"/>
    <s v="Tshopo"/>
    <s v="CLI-00100"/>
    <x v="2"/>
    <s v="ZTE"/>
    <s v="Bloqué 5Go"/>
    <s v="B2C"/>
  </r>
  <r>
    <d v="2023-10-22T00:00:00"/>
    <d v="1899-12-30T06:23:00"/>
    <x v="281"/>
    <n v="88"/>
    <s v="Non Résolu"/>
    <s v="Kinshasa"/>
    <s v="CLI-00184"/>
    <x v="3"/>
    <s v="Nokia"/>
    <s v="Premium 5G 150Go"/>
    <s v="B2C"/>
  </r>
  <r>
    <d v="2023-10-31T00:00:00"/>
    <d v="1899-12-30T01:37:00"/>
    <x v="282"/>
    <n v="75"/>
    <s v="Résolu"/>
    <s v="Non Trouvée"/>
    <s v="Aucun"/>
    <x v="1"/>
    <s v="Non Trouvée"/>
    <s v="Pas d'information"/>
    <s v="B2C"/>
  </r>
  <r>
    <d v="2023-10-19T00:00:00"/>
    <d v="1899-12-30T15:59:00"/>
    <x v="283"/>
    <n v="90"/>
    <s v="En Cours"/>
    <s v="Non Trouvée"/>
    <s v="Aucun"/>
    <x v="1"/>
    <s v="Non Trouvée"/>
    <s v="Pas d'information"/>
    <s v="B2C"/>
  </r>
  <r>
    <d v="2023-10-06T00:00:00"/>
    <d v="1899-12-30T03:42:00"/>
    <x v="284"/>
    <n v="12"/>
    <s v="Résolu"/>
    <s v="Sud-Kivu"/>
    <s v="CLI-00054"/>
    <x v="3"/>
    <s v="Nokia"/>
    <s v="Bloqué 5Go"/>
    <s v="B2C"/>
  </r>
  <r>
    <d v="2023-10-12T00:00:00"/>
    <d v="1899-12-30T02:34:00"/>
    <x v="284"/>
    <n v="87"/>
    <s v="En Cours"/>
    <s v="Sud-Kivu"/>
    <s v="CLI-00054"/>
    <x v="3"/>
    <s v="Nokia"/>
    <s v="Bloqué 5Go"/>
    <s v="B2C"/>
  </r>
  <r>
    <d v="2023-10-22T00:00:00"/>
    <d v="1899-12-30T20:19:00"/>
    <x v="284"/>
    <n v="96"/>
    <s v="En Cours"/>
    <s v="Sud-Kivu"/>
    <s v="CLI-00054"/>
    <x v="3"/>
    <s v="Nokia"/>
    <s v="Bloqué 5Go"/>
    <s v="B2C"/>
  </r>
  <r>
    <d v="2023-10-12T00:00:00"/>
    <d v="1899-12-30T07:36:00"/>
    <x v="285"/>
    <n v="93"/>
    <s v="En Cours"/>
    <s v="Lualaba"/>
    <s v="CLI-00334"/>
    <x v="0"/>
    <s v="ZTE"/>
    <s v="Pro Monde"/>
    <s v="B2B"/>
  </r>
  <r>
    <d v="2023-10-22T00:00:00"/>
    <d v="1899-12-30T01:11:00"/>
    <x v="285"/>
    <n v="53"/>
    <s v="Non Résolu"/>
    <s v="Lualaba"/>
    <s v="CLI-00334"/>
    <x v="0"/>
    <s v="ZTE"/>
    <s v="Pro Monde"/>
    <s v="B2B"/>
  </r>
  <r>
    <d v="2023-10-14T00:00:00"/>
    <d v="1899-12-30T14:21:00"/>
    <x v="286"/>
    <n v="108"/>
    <s v="Non Résolu"/>
    <s v="Non Trouvée"/>
    <s v="Aucun"/>
    <x v="1"/>
    <s v="Non Trouvée"/>
    <s v="Pas d'information"/>
    <s v="B2C"/>
  </r>
  <r>
    <d v="2023-10-22T00:00:00"/>
    <d v="1899-12-30T12:04:00"/>
    <x v="287"/>
    <n v="69"/>
    <s v="Résolu"/>
    <s v="Non Trouvée"/>
    <s v="Aucun"/>
    <x v="1"/>
    <s v="Non Trouvée"/>
    <s v="Pas d'information"/>
    <s v="B2C"/>
  </r>
  <r>
    <d v="2023-10-02T00:00:00"/>
    <d v="1899-12-30T05:50:00"/>
    <x v="288"/>
    <n v="57"/>
    <s v="En Cours"/>
    <s v="Non Trouvée"/>
    <s v="Aucun"/>
    <x v="1"/>
    <s v="Non Trouvée"/>
    <s v="Pas d'information"/>
    <s v="B2C"/>
  </r>
  <r>
    <d v="2023-10-10T00:00:00"/>
    <d v="1899-12-30T16:25:00"/>
    <x v="288"/>
    <n v="44"/>
    <s v="En Cours"/>
    <s v="Non Trouvée"/>
    <s v="Aucun"/>
    <x v="1"/>
    <s v="Non Trouvée"/>
    <s v="Pas d'information"/>
    <s v="B2C"/>
  </r>
  <r>
    <d v="2023-10-18T00:00:00"/>
    <d v="1899-12-30T16:26:00"/>
    <x v="288"/>
    <n v="43"/>
    <s v="Résolu"/>
    <s v="Non Trouvée"/>
    <s v="Aucun"/>
    <x v="1"/>
    <s v="Non Trouvée"/>
    <s v="Pas d'information"/>
    <s v="B2C"/>
  </r>
  <r>
    <d v="2023-10-05T00:00:00"/>
    <d v="1899-12-30T18:24:00"/>
    <x v="289"/>
    <n v="9"/>
    <s v="En Cours"/>
    <s v="Kasai-Central"/>
    <s v="CLI-00060"/>
    <x v="0"/>
    <s v="Ericsson"/>
    <s v="Pro Monde"/>
    <s v="B2B"/>
  </r>
  <r>
    <d v="2023-10-10T00:00:00"/>
    <d v="1899-12-30T07:51:00"/>
    <x v="290"/>
    <n v="107"/>
    <s v="Non Résolu"/>
    <s v="Equateur"/>
    <s v="CLI-00091"/>
    <x v="3"/>
    <s v="ZTE"/>
    <s v="Bloqué 5Go"/>
    <s v="B2C"/>
  </r>
  <r>
    <d v="2023-10-03T00:00:00"/>
    <d v="1899-12-30T15:50:00"/>
    <x v="291"/>
    <n v="42"/>
    <s v="Résolu"/>
    <s v="Non Trouvée"/>
    <s v="Aucun"/>
    <x v="1"/>
    <s v="Non Trouvée"/>
    <s v="Pas d'information"/>
    <s v="B2C"/>
  </r>
  <r>
    <d v="2023-10-04T00:00:00"/>
    <d v="1899-12-30T10:45:00"/>
    <x v="291"/>
    <n v="84"/>
    <s v="En Cours"/>
    <s v="Non Trouvée"/>
    <s v="Aucun"/>
    <x v="1"/>
    <s v="Non Trouvée"/>
    <s v="Pas d'information"/>
    <s v="B2C"/>
  </r>
  <r>
    <d v="2023-10-07T00:00:00"/>
    <d v="1899-12-30T08:48:00"/>
    <x v="291"/>
    <n v="69"/>
    <s v="Non Résolu"/>
    <s v="Non Trouvée"/>
    <s v="Aucun"/>
    <x v="1"/>
    <s v="Non Trouvée"/>
    <s v="Pas d'information"/>
    <s v="B2C"/>
  </r>
  <r>
    <d v="2023-10-08T00:00:00"/>
    <d v="1899-12-30T09:45:00"/>
    <x v="292"/>
    <n v="49"/>
    <s v="Non Résolu"/>
    <s v="Non Trouvée"/>
    <s v="Aucun"/>
    <x v="1"/>
    <s v="Non Trouvée"/>
    <s v="Pas d'information"/>
    <s v="B2C"/>
  </r>
  <r>
    <d v="2023-10-26T00:00:00"/>
    <d v="1899-12-30T17:42:00"/>
    <x v="292"/>
    <n v="6"/>
    <s v="Non Résolu"/>
    <s v="Non Trouvée"/>
    <s v="Aucun"/>
    <x v="1"/>
    <s v="Non Trouvée"/>
    <s v="Pas d'information"/>
    <s v="B2C"/>
  </r>
  <r>
    <d v="2023-10-17T00:00:00"/>
    <d v="1899-12-30T03:24:00"/>
    <x v="293"/>
    <n v="94"/>
    <s v="Résolu"/>
    <s v="Nord-Kivu"/>
    <s v="CLI-00043"/>
    <x v="3"/>
    <s v="Huawei"/>
    <s v="Pro Monde"/>
    <s v="B2B"/>
  </r>
  <r>
    <d v="2023-10-08T00:00:00"/>
    <d v="1899-12-30T09:07:00"/>
    <x v="294"/>
    <n v="118"/>
    <s v="En Cours"/>
    <s v="Non Trouvée"/>
    <s v="Aucun"/>
    <x v="1"/>
    <s v="Non Trouvée"/>
    <s v="Pas d'information"/>
    <s v="B2C"/>
  </r>
  <r>
    <d v="2023-10-15T00:00:00"/>
    <d v="1899-12-30T03:30:00"/>
    <x v="294"/>
    <n v="29"/>
    <s v="En Cours"/>
    <s v="Non Trouvée"/>
    <s v="Aucun"/>
    <x v="1"/>
    <s v="Non Trouvée"/>
    <s v="Pas d'information"/>
    <s v="B2C"/>
  </r>
  <r>
    <d v="2023-10-19T00:00:00"/>
    <d v="1899-12-30T23:46:00"/>
    <x v="294"/>
    <n v="100"/>
    <s v="Résolu"/>
    <s v="Non Trouvée"/>
    <s v="Aucun"/>
    <x v="1"/>
    <s v="Non Trouvée"/>
    <s v="Pas d'information"/>
    <s v="B2C"/>
  </r>
  <r>
    <d v="2023-10-04T00:00:00"/>
    <d v="1899-12-30T23:57:00"/>
    <x v="295"/>
    <n v="101"/>
    <s v="En Cours"/>
    <s v="Nord-Kivu"/>
    <s v="CLI-00043"/>
    <x v="3"/>
    <s v="ZTE"/>
    <s v="Pro Monde"/>
    <s v="B2B"/>
  </r>
  <r>
    <d v="2023-10-21T00:00:00"/>
    <d v="1899-12-30T19:29:00"/>
    <x v="296"/>
    <n v="100"/>
    <s v="En Cours"/>
    <s v="Kwilu"/>
    <s v="CLI-00009"/>
    <x v="3"/>
    <s v="Huawei"/>
    <s v="Pro Monde"/>
    <s v="B2B"/>
  </r>
  <r>
    <d v="2023-10-23T00:00:00"/>
    <d v="1899-12-30T08:49:00"/>
    <x v="297"/>
    <n v="117"/>
    <s v="Non Résolu"/>
    <s v="Non Trouvée"/>
    <s v="Aucun"/>
    <x v="1"/>
    <s v="Non Trouvée"/>
    <s v="Pas d'information"/>
    <s v="B2C"/>
  </r>
  <r>
    <d v="2023-10-20T00:00:00"/>
    <d v="1899-12-30T18:05:00"/>
    <x v="298"/>
    <n v="77"/>
    <s v="Résolu"/>
    <s v="Non Trouvée"/>
    <s v="Aucun"/>
    <x v="1"/>
    <s v="Non Trouvée"/>
    <s v="Pas d'information"/>
    <s v="B2C"/>
  </r>
  <r>
    <d v="2023-10-22T00:00:00"/>
    <d v="1899-12-30T23:57:00"/>
    <x v="298"/>
    <n v="59"/>
    <s v="Résolu"/>
    <s v="Non Trouvée"/>
    <s v="Aucun"/>
    <x v="1"/>
    <s v="Non Trouvée"/>
    <s v="Pas d'information"/>
    <s v="B2C"/>
  </r>
  <r>
    <d v="2023-10-23T00:00:00"/>
    <d v="1899-12-30T02:35:00"/>
    <x v="298"/>
    <n v="85"/>
    <s v="Résolu"/>
    <s v="Non Trouvée"/>
    <s v="Aucun"/>
    <x v="1"/>
    <s v="Non Trouvée"/>
    <s v="Pas d'information"/>
    <s v="B2C"/>
  </r>
  <r>
    <d v="2023-10-04T00:00:00"/>
    <d v="1899-12-30T00:47:00"/>
    <x v="299"/>
    <n v="73"/>
    <s v="Résolu"/>
    <s v="Tanganyika"/>
    <s v="CLI-00007"/>
    <x v="0"/>
    <s v="Nokia"/>
    <s v="Bloqué 5Go"/>
    <s v="B2C"/>
  </r>
  <r>
    <d v="2023-10-29T00:00:00"/>
    <d v="1899-12-30T19:00:00"/>
    <x v="299"/>
    <n v="63"/>
    <s v="Résolu"/>
    <s v="Tanganyika"/>
    <s v="CLI-00007"/>
    <x v="0"/>
    <s v="Nokia"/>
    <s v="Bloqué 5Go"/>
    <s v="B2C"/>
  </r>
  <r>
    <d v="2023-10-23T00:00:00"/>
    <d v="1899-12-30T22:39:00"/>
    <x v="300"/>
    <n v="114"/>
    <s v="Résolu"/>
    <s v="Haut-Lomami"/>
    <s v="CLI-00022"/>
    <x v="0"/>
    <s v="ZTE"/>
    <s v="Premium 5G 150Go"/>
    <s v="B2C"/>
  </r>
  <r>
    <d v="2023-10-16T00:00:00"/>
    <d v="1899-12-30T03:56:00"/>
    <x v="301"/>
    <n v="109"/>
    <s v="Non Résolu"/>
    <s v="Non Trouvée"/>
    <s v="Aucun"/>
    <x v="1"/>
    <s v="Non Trouvée"/>
    <s v="Pas d'information"/>
    <s v="B2C"/>
  </r>
  <r>
    <d v="2023-10-27T00:00:00"/>
    <d v="1899-12-30T00:05:00"/>
    <x v="302"/>
    <n v="76"/>
    <s v="Résolu"/>
    <s v="Non Trouvée"/>
    <s v="Aucun"/>
    <x v="1"/>
    <s v="Non Trouvée"/>
    <s v="Pas d'information"/>
    <s v="B2C"/>
  </r>
  <r>
    <d v="2023-10-31T00:00:00"/>
    <d v="1899-12-30T02:07:00"/>
    <x v="302"/>
    <n v="87"/>
    <s v="En Cours"/>
    <s v="Non Trouvée"/>
    <s v="Aucun"/>
    <x v="1"/>
    <s v="Non Trouvée"/>
    <s v="Pas d'information"/>
    <s v="B2C"/>
  </r>
  <r>
    <d v="2023-10-12T00:00:00"/>
    <d v="1899-12-30T05:16:00"/>
    <x v="303"/>
    <n v="5"/>
    <s v="Résolu"/>
    <s v="Nord-Kivu"/>
    <s v="CLI-00043"/>
    <x v="3"/>
    <s v="Nokia"/>
    <s v="Pro Monde"/>
    <s v="B2B"/>
  </r>
  <r>
    <d v="2023-10-28T00:00:00"/>
    <d v="1899-12-30T07:47:00"/>
    <x v="304"/>
    <n v="52"/>
    <s v="Résolu"/>
    <s v="Non Trouvée"/>
    <s v="Aucun"/>
    <x v="1"/>
    <s v="Non Trouvée"/>
    <s v="Pas d'information"/>
    <s v="B2C"/>
  </r>
  <r>
    <d v="2023-10-01T00:00:00"/>
    <d v="1899-12-30T19:59:00"/>
    <x v="305"/>
    <n v="27"/>
    <s v="Résolu"/>
    <s v="Sud-Kivu"/>
    <s v="CLI-00054"/>
    <x v="0"/>
    <s v="Huawei"/>
    <s v="Bloqué 5Go"/>
    <s v="B2C"/>
  </r>
  <r>
    <d v="2023-10-19T00:00:00"/>
    <d v="1899-12-30T03:03:00"/>
    <x v="305"/>
    <n v="58"/>
    <s v="Non Résolu"/>
    <s v="Sud-Kivu"/>
    <s v="CLI-00054"/>
    <x v="0"/>
    <s v="Huawei"/>
    <s v="Bloqué 5Go"/>
    <s v="B2C"/>
  </r>
  <r>
    <d v="2023-10-01T00:00:00"/>
    <d v="1899-12-30T09:28:00"/>
    <x v="306"/>
    <n v="115"/>
    <s v="Non Résolu"/>
    <s v="Non Trouvée"/>
    <s v="Aucun"/>
    <x v="1"/>
    <s v="Non Trouvée"/>
    <s v="Pas d'information"/>
    <s v="B2C"/>
  </r>
  <r>
    <d v="2023-10-02T00:00:00"/>
    <d v="1899-12-30T05:50:00"/>
    <x v="306"/>
    <n v="73"/>
    <s v="Non Résolu"/>
    <s v="Non Trouvée"/>
    <s v="Aucun"/>
    <x v="1"/>
    <s v="Non Trouvée"/>
    <s v="Pas d'information"/>
    <s v="B2C"/>
  </r>
  <r>
    <d v="2023-10-03T00:00:00"/>
    <d v="1899-12-30T16:41:00"/>
    <x v="306"/>
    <n v="21"/>
    <s v="Résolu"/>
    <s v="Non Trouvée"/>
    <s v="Aucun"/>
    <x v="1"/>
    <s v="Non Trouvée"/>
    <s v="Pas d'information"/>
    <s v="B2C"/>
  </r>
  <r>
    <d v="2023-10-28T00:00:00"/>
    <d v="1899-12-30T18:27:00"/>
    <x v="307"/>
    <n v="61"/>
    <s v="Non Résolu"/>
    <s v="Non Trouvée"/>
    <s v="Aucun"/>
    <x v="1"/>
    <s v="Non Trouvée"/>
    <s v="Pas d'information"/>
    <s v="B2C"/>
  </r>
  <r>
    <d v="2023-10-31T00:00:00"/>
    <d v="1899-12-30T04:30:00"/>
    <x v="308"/>
    <n v="9"/>
    <s v="En Cours"/>
    <s v="Non Trouvée"/>
    <s v="Aucun"/>
    <x v="1"/>
    <s v="Non Trouvée"/>
    <s v="Pas d'information"/>
    <s v="B2C"/>
  </r>
  <r>
    <d v="2023-10-14T00:00:00"/>
    <d v="1899-12-30T19:44:00"/>
    <x v="309"/>
    <n v="100"/>
    <s v="Non Résolu"/>
    <s v="Non Trouvée"/>
    <s v="Aucun"/>
    <x v="1"/>
    <s v="Non Trouvée"/>
    <s v="Pas d'information"/>
    <s v="B2C"/>
  </r>
  <r>
    <d v="2023-10-10T00:00:00"/>
    <d v="1899-12-30T02:16:00"/>
    <x v="310"/>
    <n v="96"/>
    <s v="Résolu"/>
    <s v="Non Trouvée"/>
    <s v="Aucun"/>
    <x v="1"/>
    <s v="Non Trouvée"/>
    <s v="Pas d'information"/>
    <s v="B2C"/>
  </r>
  <r>
    <d v="2023-10-20T00:00:00"/>
    <d v="1899-12-30T16:24:00"/>
    <x v="311"/>
    <n v="99"/>
    <s v="Non Résolu"/>
    <s v="Kongo-Central"/>
    <s v="CLI-00012"/>
    <x v="2"/>
    <s v="Nokia"/>
    <s v="Illimité 50Go"/>
    <s v="B2C"/>
  </r>
  <r>
    <d v="2023-10-11T00:00:00"/>
    <d v="1899-12-30T21:07:00"/>
    <x v="312"/>
    <n v="53"/>
    <s v="Résolu"/>
    <s v="Lomami"/>
    <s v="CLI-00044"/>
    <x v="0"/>
    <s v="Ericsson"/>
    <s v="Illimité 50Go"/>
    <s v="B2C"/>
  </r>
  <r>
    <d v="2023-10-19T00:00:00"/>
    <d v="1899-12-30T01:22:00"/>
    <x v="313"/>
    <n v="46"/>
    <s v="En Cours"/>
    <s v="Non Trouvée"/>
    <s v="Aucun"/>
    <x v="1"/>
    <s v="Non Trouvée"/>
    <s v="Pas d'information"/>
    <s v="B2C"/>
  </r>
  <r>
    <d v="2023-10-20T00:00:00"/>
    <d v="1899-12-30T01:00:00"/>
    <x v="313"/>
    <n v="100"/>
    <s v="En Cours"/>
    <s v="Non Trouvée"/>
    <s v="Aucun"/>
    <x v="1"/>
    <s v="Non Trouvée"/>
    <s v="Pas d'information"/>
    <s v="B2C"/>
  </r>
  <r>
    <d v="2023-10-17T00:00:00"/>
    <d v="1899-12-30T09:26:00"/>
    <x v="314"/>
    <n v="34"/>
    <s v="En Cours"/>
    <s v="Non Trouvée"/>
    <s v="Aucun"/>
    <x v="1"/>
    <s v="Non Trouvée"/>
    <s v="Pas d'information"/>
    <s v="B2C"/>
  </r>
  <r>
    <d v="2023-10-01T00:00:00"/>
    <d v="1899-12-30T10:16:00"/>
    <x v="315"/>
    <n v="16"/>
    <s v="Non Résolu"/>
    <s v="Non Trouvée"/>
    <s v="Aucun"/>
    <x v="1"/>
    <s v="Non Trouvée"/>
    <s v="Pas d'information"/>
    <s v="B2C"/>
  </r>
  <r>
    <d v="2023-10-14T00:00:00"/>
    <d v="1899-12-30T21:24:00"/>
    <x v="315"/>
    <n v="104"/>
    <s v="Résolu"/>
    <s v="Non Trouvée"/>
    <s v="Aucun"/>
    <x v="1"/>
    <s v="Non Trouvée"/>
    <s v="Pas d'information"/>
    <s v="B2C"/>
  </r>
  <r>
    <d v="2023-10-03T00:00:00"/>
    <d v="1899-12-30T17:57:00"/>
    <x v="316"/>
    <n v="28"/>
    <s v="Non Résolu"/>
    <s v="Kasai-Central"/>
    <s v="CLI-00060"/>
    <x v="0"/>
    <s v="ZTE"/>
    <s v="Pro Monde"/>
    <s v="B2B"/>
  </r>
  <r>
    <d v="2023-10-05T00:00:00"/>
    <d v="1899-12-30T13:44:00"/>
    <x v="316"/>
    <n v="88"/>
    <s v="En Cours"/>
    <s v="Kasai-Central"/>
    <s v="CLI-00060"/>
    <x v="0"/>
    <s v="ZTE"/>
    <s v="Pro Monde"/>
    <s v="B2B"/>
  </r>
  <r>
    <d v="2023-10-07T00:00:00"/>
    <d v="1899-12-30T00:39:00"/>
    <x v="316"/>
    <n v="36"/>
    <s v="En Cours"/>
    <s v="Kasai-Central"/>
    <s v="CLI-00060"/>
    <x v="0"/>
    <s v="ZTE"/>
    <s v="Pro Monde"/>
    <s v="B2B"/>
  </r>
  <r>
    <d v="2023-10-07T00:00:00"/>
    <d v="1899-12-30T13:32:00"/>
    <x v="317"/>
    <n v="37"/>
    <s v="Résolu"/>
    <s v="Haut-Uele"/>
    <s v="CLI-00055"/>
    <x v="0"/>
    <s v="Nokia"/>
    <s v="Pro Monde"/>
    <s v="B2B"/>
  </r>
  <r>
    <d v="2023-10-11T00:00:00"/>
    <d v="1899-12-30T12:17:00"/>
    <x v="318"/>
    <n v="27"/>
    <s v="Non Résolu"/>
    <s v="Non Trouvée"/>
    <s v="Aucun"/>
    <x v="1"/>
    <s v="Non Trouvée"/>
    <s v="Pas d'information"/>
    <s v="B2C"/>
  </r>
  <r>
    <d v="2023-10-10T00:00:00"/>
    <d v="1899-12-30T17:24:00"/>
    <x v="319"/>
    <n v="97"/>
    <s v="En Cours"/>
    <s v="Non Trouvée"/>
    <s v="Aucun"/>
    <x v="1"/>
    <s v="Non Trouvée"/>
    <s v="Pas d'information"/>
    <s v="B2C"/>
  </r>
  <r>
    <d v="2023-10-16T00:00:00"/>
    <d v="1899-12-30T16:55:00"/>
    <x v="320"/>
    <n v="107"/>
    <s v="Résolu"/>
    <s v="Kongo-Central"/>
    <s v="CLI-00012"/>
    <x v="2"/>
    <s v="ZTE"/>
    <s v="Illimité 50Go"/>
    <s v="B2C"/>
  </r>
  <r>
    <d v="2023-10-31T00:00:00"/>
    <d v="1899-12-30T11:37:00"/>
    <x v="320"/>
    <n v="37"/>
    <s v="Non Résolu"/>
    <s v="Kongo-Central"/>
    <s v="CLI-00012"/>
    <x v="2"/>
    <s v="ZTE"/>
    <s v="Illimité 50Go"/>
    <s v="B2C"/>
  </r>
  <r>
    <d v="2023-10-10T00:00:00"/>
    <d v="1899-12-30T14:07:00"/>
    <x v="321"/>
    <n v="41"/>
    <s v="Non Résolu"/>
    <s v="Non Trouvée"/>
    <s v="Aucun"/>
    <x v="1"/>
    <s v="Non Trouvée"/>
    <s v="Pas d'information"/>
    <s v="B2C"/>
  </r>
  <r>
    <d v="2023-10-22T00:00:00"/>
    <d v="1899-12-30T02:18:00"/>
    <x v="321"/>
    <n v="113"/>
    <s v="En Cours"/>
    <s v="Non Trouvée"/>
    <s v="Aucun"/>
    <x v="1"/>
    <s v="Non Trouvée"/>
    <s v="Pas d'information"/>
    <s v="B2C"/>
  </r>
  <r>
    <d v="2023-10-17T00:00:00"/>
    <d v="1899-12-30T03:18:00"/>
    <x v="322"/>
    <n v="120"/>
    <s v="Non Résolu"/>
    <s v="Mongala"/>
    <s v="CLI-00011"/>
    <x v="2"/>
    <s v="Ericsson"/>
    <s v="Illimité 50Go"/>
    <s v="B2C"/>
  </r>
  <r>
    <d v="2023-10-01T00:00:00"/>
    <d v="1899-12-30T23:34:00"/>
    <x v="323"/>
    <n v="98"/>
    <s v="Résolu"/>
    <s v="Non Trouvée"/>
    <s v="Aucun"/>
    <x v="1"/>
    <s v="Non Trouvée"/>
    <s v="Pas d'information"/>
    <s v="B2C"/>
  </r>
  <r>
    <d v="2023-10-12T00:00:00"/>
    <d v="1899-12-30T13:26:00"/>
    <x v="323"/>
    <n v="69"/>
    <s v="Non Résolu"/>
    <s v="Non Trouvée"/>
    <s v="Aucun"/>
    <x v="1"/>
    <s v="Non Trouvée"/>
    <s v="Pas d'information"/>
    <s v="B2C"/>
  </r>
  <r>
    <d v="2023-10-20T00:00:00"/>
    <d v="1899-12-30T20:10:00"/>
    <x v="323"/>
    <n v="92"/>
    <s v="Résolu"/>
    <s v="Non Trouvée"/>
    <s v="Aucun"/>
    <x v="1"/>
    <s v="Non Trouvée"/>
    <s v="Pas d'information"/>
    <s v="B2C"/>
  </r>
  <r>
    <d v="2023-10-13T00:00:00"/>
    <d v="1899-12-30T14:23:00"/>
    <x v="324"/>
    <n v="58"/>
    <s v="Non Résolu"/>
    <s v="Haut-Uele"/>
    <s v="CLI-00055"/>
    <x v="3"/>
    <s v="Huawei"/>
    <s v="Pro Monde"/>
    <s v="B2B"/>
  </r>
  <r>
    <d v="2023-10-18T00:00:00"/>
    <d v="1899-12-30T15:03:00"/>
    <x v="324"/>
    <n v="33"/>
    <s v="Résolu"/>
    <s v="Haut-Uele"/>
    <s v="CLI-00055"/>
    <x v="3"/>
    <s v="Huawei"/>
    <s v="Pro Monde"/>
    <s v="B2B"/>
  </r>
  <r>
    <d v="2023-10-19T00:00:00"/>
    <d v="1899-12-30T06:29:00"/>
    <x v="324"/>
    <n v="40"/>
    <s v="Non Résolu"/>
    <s v="Haut-Uele"/>
    <s v="CLI-00055"/>
    <x v="3"/>
    <s v="Huawei"/>
    <s v="Pro Monde"/>
    <s v="B2B"/>
  </r>
  <r>
    <d v="2023-10-29T00:00:00"/>
    <d v="1899-12-30T13:51:00"/>
    <x v="324"/>
    <n v="80"/>
    <s v="En Cours"/>
    <s v="Haut-Uele"/>
    <s v="CLI-00055"/>
    <x v="3"/>
    <s v="Huawei"/>
    <s v="Pro Monde"/>
    <s v="B2B"/>
  </r>
  <r>
    <d v="2023-10-20T00:00:00"/>
    <d v="1899-12-30T19:03:00"/>
    <x v="325"/>
    <n v="43"/>
    <s v="Non Résolu"/>
    <s v="Non Trouvée"/>
    <s v="Aucun"/>
    <x v="1"/>
    <s v="Non Trouvée"/>
    <s v="Pas d'information"/>
    <s v="B2C"/>
  </r>
  <r>
    <d v="2023-10-15T00:00:00"/>
    <d v="1899-12-30T04:02:00"/>
    <x v="326"/>
    <n v="106"/>
    <s v="Résolu"/>
    <s v="Sud-Kivu"/>
    <s v="CLI-00054"/>
    <x v="2"/>
    <s v="Ericsson"/>
    <s v="Bloqué 5Go"/>
    <s v="B2C"/>
  </r>
  <r>
    <d v="2023-10-02T00:00:00"/>
    <d v="1899-12-30T12:40:00"/>
    <x v="327"/>
    <n v="20"/>
    <s v="Non Résolu"/>
    <s v="Bas-Uele"/>
    <s v="CLI-00029"/>
    <x v="0"/>
    <s v="Huawei"/>
    <s v="Pro Monde"/>
    <s v="B2B"/>
  </r>
  <r>
    <d v="2023-10-04T00:00:00"/>
    <d v="1899-12-30T14:46:00"/>
    <x v="328"/>
    <n v="41"/>
    <s v="Résolu"/>
    <s v="Non Trouvée"/>
    <s v="Aucun"/>
    <x v="1"/>
    <s v="Non Trouvée"/>
    <s v="Pas d'information"/>
    <s v="B2C"/>
  </r>
  <r>
    <d v="2023-10-03T00:00:00"/>
    <d v="1899-12-30T16:41:00"/>
    <x v="329"/>
    <n v="49"/>
    <s v="Non Résolu"/>
    <s v="Non Trouvée"/>
    <s v="Aucun"/>
    <x v="1"/>
    <s v="Non Trouvée"/>
    <s v="Pas d'information"/>
    <s v="B2C"/>
  </r>
  <r>
    <d v="2023-10-07T00:00:00"/>
    <d v="1899-12-30T20:35:00"/>
    <x v="330"/>
    <n v="45"/>
    <s v="En Cours"/>
    <s v="Haut-Lomami"/>
    <s v="CLI-00022"/>
    <x v="0"/>
    <s v="Ericsson"/>
    <s v="Premium 5G 150Go"/>
    <s v="B2C"/>
  </r>
  <r>
    <d v="2023-10-11T00:00:00"/>
    <d v="1899-12-30T22:14:00"/>
    <x v="330"/>
    <n v="45"/>
    <s v="Non Résolu"/>
    <s v="Haut-Lomami"/>
    <s v="CLI-00022"/>
    <x v="0"/>
    <s v="Ericsson"/>
    <s v="Premium 5G 150Go"/>
    <s v="B2C"/>
  </r>
  <r>
    <d v="2023-10-15T00:00:00"/>
    <d v="1899-12-30T22:38:00"/>
    <x v="330"/>
    <n v="16"/>
    <s v="Résolu"/>
    <s v="Haut-Lomami"/>
    <s v="CLI-00022"/>
    <x v="0"/>
    <s v="Ericsson"/>
    <s v="Premium 5G 150Go"/>
    <s v="B2C"/>
  </r>
  <r>
    <d v="2023-10-04T00:00:00"/>
    <d v="1899-12-30T00:13:00"/>
    <x v="331"/>
    <n v="49"/>
    <s v="Résolu"/>
    <s v="Non Trouvée"/>
    <s v="Aucun"/>
    <x v="1"/>
    <s v="Non Trouvée"/>
    <s v="Pas d'information"/>
    <s v="B2C"/>
  </r>
  <r>
    <d v="2023-10-05T00:00:00"/>
    <d v="1899-12-30T02:10:00"/>
    <x v="331"/>
    <n v="93"/>
    <s v="En Cours"/>
    <s v="Non Trouvée"/>
    <s v="Aucun"/>
    <x v="1"/>
    <s v="Non Trouvée"/>
    <s v="Pas d'information"/>
    <s v="B2C"/>
  </r>
  <r>
    <d v="2023-10-18T00:00:00"/>
    <d v="1899-12-30T06:45:00"/>
    <x v="332"/>
    <n v="51"/>
    <s v="Non Résolu"/>
    <s v="Non Trouvée"/>
    <s v="Aucun"/>
    <x v="1"/>
    <s v="Non Trouvée"/>
    <s v="Pas d'information"/>
    <s v="B2C"/>
  </r>
  <r>
    <d v="2023-10-28T00:00:00"/>
    <d v="1899-12-30T12:39:00"/>
    <x v="333"/>
    <n v="107"/>
    <s v="Non Résolu"/>
    <s v="Tanganyika"/>
    <s v="CLI-00007"/>
    <x v="2"/>
    <s v="ZTE"/>
    <s v="Bloqué 5Go"/>
    <s v="B2C"/>
  </r>
  <r>
    <d v="2023-10-17T00:00:00"/>
    <d v="1899-12-30T04:24:00"/>
    <x v="334"/>
    <n v="67"/>
    <s v="Non Résolu"/>
    <s v="Lualaba"/>
    <s v="CLI-00334"/>
    <x v="0"/>
    <s v="Ericsson"/>
    <s v="Pro Monde"/>
    <s v="B2B"/>
  </r>
  <r>
    <d v="2023-10-18T00:00:00"/>
    <d v="1899-12-30T23:59:00"/>
    <x v="334"/>
    <n v="38"/>
    <s v="Non Résolu"/>
    <s v="Lualaba"/>
    <s v="CLI-00334"/>
    <x v="0"/>
    <s v="Ericsson"/>
    <s v="Pro Monde"/>
    <s v="B2B"/>
  </r>
  <r>
    <d v="2023-10-30T00:00:00"/>
    <d v="1899-12-30T09:24:00"/>
    <x v="334"/>
    <n v="28"/>
    <s v="En Cours"/>
    <s v="Lualaba"/>
    <s v="CLI-00334"/>
    <x v="0"/>
    <s v="Ericsson"/>
    <s v="Pro Monde"/>
    <s v="B2B"/>
  </r>
  <r>
    <d v="2023-10-24T00:00:00"/>
    <d v="1899-12-30T23:47:00"/>
    <x v="335"/>
    <n v="23"/>
    <s v="Résolu"/>
    <s v="Sankuru"/>
    <s v="CLI-00197"/>
    <x v="2"/>
    <s v="Nokia"/>
    <s v="Illimité 50Go"/>
    <s v="B2C"/>
  </r>
  <r>
    <d v="2023-10-02T00:00:00"/>
    <d v="1899-12-30T15:23:00"/>
    <x v="336"/>
    <n v="86"/>
    <s v="En Cours"/>
    <s v="Non Trouvée"/>
    <s v="Aucun"/>
    <x v="1"/>
    <s v="Non Trouvée"/>
    <s v="Pas d'information"/>
    <s v="B2C"/>
  </r>
  <r>
    <d v="2023-10-04T00:00:00"/>
    <d v="1899-12-30T21:27:00"/>
    <x v="336"/>
    <n v="32"/>
    <s v="Résolu"/>
    <s v="Non Trouvée"/>
    <s v="Aucun"/>
    <x v="1"/>
    <s v="Non Trouvée"/>
    <s v="Pas d'information"/>
    <s v="B2C"/>
  </r>
  <r>
    <d v="2023-10-09T00:00:00"/>
    <d v="1899-12-30T04:08:00"/>
    <x v="336"/>
    <n v="87"/>
    <s v="Résolu"/>
    <s v="Non Trouvée"/>
    <s v="Aucun"/>
    <x v="1"/>
    <s v="Non Trouvée"/>
    <s v="Pas d'information"/>
    <s v="B2C"/>
  </r>
  <r>
    <d v="2023-10-30T00:00:00"/>
    <d v="1899-12-30T18:02:00"/>
    <x v="336"/>
    <n v="70"/>
    <s v="Résolu"/>
    <s v="Non Trouvée"/>
    <s v="Aucun"/>
    <x v="1"/>
    <s v="Non Trouvée"/>
    <s v="Pas d'information"/>
    <s v="B2C"/>
  </r>
  <r>
    <d v="2023-10-09T00:00:00"/>
    <d v="1899-12-30T01:46:00"/>
    <x v="337"/>
    <n v="85"/>
    <s v="Non Résolu"/>
    <s v="Lomami"/>
    <s v="CLI-00044"/>
    <x v="0"/>
    <s v="Huawei"/>
    <s v="Illimité 50Go"/>
    <s v="B2C"/>
  </r>
  <r>
    <d v="2023-10-19T00:00:00"/>
    <d v="1899-12-30T08:51:00"/>
    <x v="337"/>
    <n v="70"/>
    <s v="Résolu"/>
    <s v="Lomami"/>
    <s v="CLI-00044"/>
    <x v="0"/>
    <s v="Huawei"/>
    <s v="Illimité 50Go"/>
    <s v="B2C"/>
  </r>
  <r>
    <d v="2023-10-15T00:00:00"/>
    <d v="1899-12-30T05:39:00"/>
    <x v="338"/>
    <n v="33"/>
    <s v="Résolu"/>
    <s v="Maniema"/>
    <s v="CLI-00039"/>
    <x v="0"/>
    <s v="Ericsson"/>
    <s v="Pro Monde"/>
    <s v="B2B"/>
  </r>
  <r>
    <d v="2023-10-19T00:00:00"/>
    <d v="1899-12-30T15:50:00"/>
    <x v="339"/>
    <n v="24"/>
    <s v="Résolu"/>
    <s v="Non Trouvée"/>
    <s v="Aucun"/>
    <x v="1"/>
    <s v="Non Trouvée"/>
    <s v="Pas d'information"/>
    <s v="B2C"/>
  </r>
  <r>
    <d v="2023-10-08T00:00:00"/>
    <d v="1899-12-30T12:38:00"/>
    <x v="340"/>
    <n v="78"/>
    <s v="En Cours"/>
    <s v="Haut-Katanga"/>
    <s v="CLI-00059"/>
    <x v="3"/>
    <s v="Ericsson"/>
    <s v="Pro Monde"/>
    <s v="B2B"/>
  </r>
  <r>
    <d v="2023-10-03T00:00:00"/>
    <d v="1899-12-30T09:02:00"/>
    <x v="341"/>
    <n v="28"/>
    <s v="Résolu"/>
    <s v="Kwilu"/>
    <s v="CLI-00009"/>
    <x v="0"/>
    <s v="Huawei"/>
    <s v="Pro Monde"/>
    <s v="B2B"/>
  </r>
  <r>
    <d v="2023-10-04T00:00:00"/>
    <d v="1899-12-30T12:32:00"/>
    <x v="341"/>
    <n v="11"/>
    <s v="Non Résolu"/>
    <s v="Kwilu"/>
    <s v="CLI-00009"/>
    <x v="0"/>
    <s v="Huawei"/>
    <s v="Pro Monde"/>
    <s v="B2B"/>
  </r>
  <r>
    <d v="2023-10-13T00:00:00"/>
    <d v="1899-12-30T10:44:00"/>
    <x v="341"/>
    <n v="88"/>
    <s v="Non Résolu"/>
    <s v="Kwilu"/>
    <s v="CLI-00009"/>
    <x v="0"/>
    <s v="Huawei"/>
    <s v="Pro Monde"/>
    <s v="B2B"/>
  </r>
  <r>
    <d v="2023-10-21T00:00:00"/>
    <d v="1899-12-30T03:49:00"/>
    <x v="342"/>
    <n v="60"/>
    <s v="En Cours"/>
    <s v="Tshopo"/>
    <s v="CLI-00100"/>
    <x v="0"/>
    <s v="Huawei"/>
    <s v="Bloqué 5Go"/>
    <s v="B2C"/>
  </r>
  <r>
    <d v="2023-10-19T00:00:00"/>
    <d v="1899-12-30T09:05:00"/>
    <x v="343"/>
    <n v="102"/>
    <s v="Résolu"/>
    <s v="Kasai-Central"/>
    <s v="CLI-00060"/>
    <x v="0"/>
    <s v="Ericsson"/>
    <s v="Pro Monde"/>
    <s v="B2B"/>
  </r>
  <r>
    <d v="2023-10-22T00:00:00"/>
    <d v="1899-12-30T18:32:00"/>
    <x v="343"/>
    <n v="107"/>
    <s v="Résolu"/>
    <s v="Kasai-Central"/>
    <s v="CLI-00060"/>
    <x v="0"/>
    <s v="Ericsson"/>
    <s v="Pro Monde"/>
    <s v="B2B"/>
  </r>
  <r>
    <d v="2023-10-12T00:00:00"/>
    <d v="1899-12-30T16:57:00"/>
    <x v="344"/>
    <n v="115"/>
    <s v="En Cours"/>
    <s v="Non Trouvée"/>
    <s v="Aucun"/>
    <x v="1"/>
    <s v="Non Trouvée"/>
    <s v="Pas d'information"/>
    <s v="B2C"/>
  </r>
  <r>
    <d v="2023-10-31T00:00:00"/>
    <d v="1899-12-30T06:21:00"/>
    <x v="345"/>
    <n v="62"/>
    <s v="Résolu"/>
    <s v="Mongala"/>
    <s v="CLI-00011"/>
    <x v="2"/>
    <s v="Ericsson"/>
    <s v="Illimité 50Go"/>
    <s v="B2C"/>
  </r>
  <r>
    <d v="2023-10-05T00:00:00"/>
    <d v="1899-12-30T14:11:00"/>
    <x v="346"/>
    <n v="108"/>
    <s v="Non Résolu"/>
    <s v="Kwilu"/>
    <s v="CLI-00009"/>
    <x v="3"/>
    <s v="Nokia"/>
    <s v="Pro Monde"/>
    <s v="B2B"/>
  </r>
  <r>
    <d v="2023-10-08T00:00:00"/>
    <d v="1899-12-30T03:03:00"/>
    <x v="346"/>
    <n v="38"/>
    <s v="Résolu"/>
    <s v="Kwilu"/>
    <s v="CLI-00009"/>
    <x v="3"/>
    <s v="Nokia"/>
    <s v="Pro Monde"/>
    <s v="B2B"/>
  </r>
  <r>
    <d v="2023-10-18T00:00:00"/>
    <d v="1899-12-30T11:22:00"/>
    <x v="346"/>
    <n v="37"/>
    <s v="En Cours"/>
    <s v="Kwilu"/>
    <s v="CLI-00009"/>
    <x v="3"/>
    <s v="Nokia"/>
    <s v="Pro Monde"/>
    <s v="B2B"/>
  </r>
  <r>
    <d v="2023-10-07T00:00:00"/>
    <d v="1899-12-30T08:42:00"/>
    <x v="347"/>
    <n v="60"/>
    <s v="En Cours"/>
    <s v="Maniema"/>
    <s v="CLI-00039"/>
    <x v="0"/>
    <s v="Huawei"/>
    <s v="Pro Monde"/>
    <s v="B2B"/>
  </r>
  <r>
    <d v="2023-10-11T00:00:00"/>
    <d v="1899-12-30T09:21:00"/>
    <x v="347"/>
    <n v="85"/>
    <s v="Résolu"/>
    <s v="Maniema"/>
    <s v="CLI-00039"/>
    <x v="0"/>
    <s v="Huawei"/>
    <s v="Pro Monde"/>
    <s v="B2B"/>
  </r>
  <r>
    <d v="2023-10-14T00:00:00"/>
    <d v="1899-12-30T12:27:00"/>
    <x v="348"/>
    <n v="88"/>
    <s v="Non Résolu"/>
    <s v="Lomami"/>
    <s v="CLI-00044"/>
    <x v="3"/>
    <s v="Huawei"/>
    <s v="Illimité 50Go"/>
    <s v="B2C"/>
  </r>
  <r>
    <d v="2023-10-17T00:00:00"/>
    <d v="1899-12-30T02:16:00"/>
    <x v="348"/>
    <n v="74"/>
    <s v="Résolu"/>
    <s v="Lomami"/>
    <s v="CLI-00044"/>
    <x v="3"/>
    <s v="Huawei"/>
    <s v="Illimité 50Go"/>
    <s v="B2C"/>
  </r>
  <r>
    <d v="2023-10-21T00:00:00"/>
    <d v="1899-12-30T17:24:00"/>
    <x v="349"/>
    <n v="28"/>
    <s v="En Cours"/>
    <s v="Tanganyika"/>
    <s v="CLI-00007"/>
    <x v="2"/>
    <s v="Huawei"/>
    <s v="Bloqué 5Go"/>
    <s v="B2C"/>
  </r>
  <r>
    <d v="2023-10-26T00:00:00"/>
    <d v="1899-12-30T23:10:00"/>
    <x v="349"/>
    <n v="36"/>
    <s v="Résolu"/>
    <s v="Tanganyika"/>
    <s v="CLI-00007"/>
    <x v="2"/>
    <s v="Huawei"/>
    <s v="Bloqué 5Go"/>
    <s v="B2C"/>
  </r>
  <r>
    <d v="2023-10-29T00:00:00"/>
    <d v="1899-12-30T12:22:00"/>
    <x v="350"/>
    <n v="105"/>
    <s v="Résolu"/>
    <s v="Tshopo"/>
    <s v="CLI-00100"/>
    <x v="2"/>
    <s v="Ericsson"/>
    <s v="Bloqué 5Go"/>
    <s v="B2C"/>
  </r>
  <r>
    <d v="2023-10-30T00:00:00"/>
    <d v="1899-12-30T10:19:00"/>
    <x v="351"/>
    <n v="90"/>
    <s v="Résolu"/>
    <s v="Non Trouvée"/>
    <s v="Aucun"/>
    <x v="1"/>
    <s v="Non Trouvée"/>
    <s v="Pas d'information"/>
    <s v="B2C"/>
  </r>
  <r>
    <d v="2023-10-31T00:00:00"/>
    <d v="1899-12-30T18:38:00"/>
    <x v="351"/>
    <n v="55"/>
    <s v="Non Résolu"/>
    <s v="Non Trouvée"/>
    <s v="Aucun"/>
    <x v="1"/>
    <s v="Non Trouvée"/>
    <s v="Pas d'information"/>
    <s v="B2C"/>
  </r>
  <r>
    <d v="2023-10-25T00:00:00"/>
    <d v="1899-12-30T17:02:00"/>
    <x v="352"/>
    <n v="62"/>
    <s v="Non Résolu"/>
    <s v="Non Trouvée"/>
    <s v="Aucun"/>
    <x v="1"/>
    <s v="Non Trouvée"/>
    <s v="Pas d'information"/>
    <s v="B2C"/>
  </r>
  <r>
    <d v="2023-10-20T00:00:00"/>
    <d v="1899-12-30T22:13:00"/>
    <x v="353"/>
    <n v="22"/>
    <s v="Résolu"/>
    <s v="Non Trouvée"/>
    <s v="Aucun"/>
    <x v="1"/>
    <s v="Non Trouvée"/>
    <s v="Pas d'information"/>
    <s v="B2C"/>
  </r>
  <r>
    <d v="2023-10-30T00:00:00"/>
    <d v="1899-12-30T18:32:00"/>
    <x v="353"/>
    <n v="27"/>
    <s v="Résolu"/>
    <s v="Non Trouvée"/>
    <s v="Aucun"/>
    <x v="1"/>
    <s v="Non Trouvée"/>
    <s v="Pas d'information"/>
    <s v="B2C"/>
  </r>
  <r>
    <d v="2023-10-01T00:00:00"/>
    <d v="1899-12-30T22:21:00"/>
    <x v="354"/>
    <n v="22"/>
    <s v="Résolu"/>
    <s v="Non Trouvée"/>
    <s v="Aucun"/>
    <x v="1"/>
    <s v="Non Trouvée"/>
    <s v="Pas d'information"/>
    <s v="B2C"/>
  </r>
  <r>
    <d v="2023-10-14T00:00:00"/>
    <d v="1899-12-30T10:43:00"/>
    <x v="354"/>
    <n v="111"/>
    <s v="Résolu"/>
    <s v="Non Trouvée"/>
    <s v="Aucun"/>
    <x v="1"/>
    <s v="Non Trouvée"/>
    <s v="Pas d'information"/>
    <s v="B2C"/>
  </r>
  <r>
    <d v="2023-10-19T00:00:00"/>
    <d v="1899-12-30T00:16:00"/>
    <x v="355"/>
    <n v="59"/>
    <s v="Résolu"/>
    <s v="Non Trouvée"/>
    <s v="Aucun"/>
    <x v="1"/>
    <s v="Non Trouvée"/>
    <s v="Pas d'information"/>
    <s v="B2C"/>
  </r>
  <r>
    <d v="2023-10-06T00:00:00"/>
    <d v="1899-12-30T17:30:00"/>
    <x v="356"/>
    <n v="106"/>
    <s v="En Cours"/>
    <s v="Haut-Katanga"/>
    <s v="CLI-00059"/>
    <x v="0"/>
    <s v="Nokia"/>
    <s v="Pro Monde"/>
    <s v="B2B"/>
  </r>
  <r>
    <d v="2023-10-24T00:00:00"/>
    <d v="1899-12-30T07:03:00"/>
    <x v="356"/>
    <n v="42"/>
    <s v="En Cours"/>
    <s v="Haut-Katanga"/>
    <s v="CLI-00059"/>
    <x v="0"/>
    <s v="Nokia"/>
    <s v="Pro Monde"/>
    <s v="B2B"/>
  </r>
  <r>
    <d v="2023-10-06T00:00:00"/>
    <d v="1899-12-30T02:39:00"/>
    <x v="357"/>
    <n v="104"/>
    <s v="Résolu"/>
    <s v="Non Trouvée"/>
    <s v="Aucun"/>
    <x v="1"/>
    <s v="Non Trouvée"/>
    <s v="Pas d'information"/>
    <s v="B2C"/>
  </r>
  <r>
    <d v="2023-10-12T00:00:00"/>
    <d v="1899-12-30T02:32:00"/>
    <x v="357"/>
    <n v="67"/>
    <s v="Résolu"/>
    <s v="Non Trouvée"/>
    <s v="Aucun"/>
    <x v="1"/>
    <s v="Non Trouvée"/>
    <s v="Pas d'information"/>
    <s v="B2C"/>
  </r>
  <r>
    <d v="2023-10-15T00:00:00"/>
    <d v="1899-12-30T04:38:00"/>
    <x v="357"/>
    <n v="76"/>
    <s v="En Cours"/>
    <s v="Non Trouvée"/>
    <s v="Aucun"/>
    <x v="1"/>
    <s v="Non Trouvée"/>
    <s v="Pas d'information"/>
    <s v="B2C"/>
  </r>
  <r>
    <d v="2023-10-15T00:00:00"/>
    <d v="1899-12-30T20:53:00"/>
    <x v="357"/>
    <n v="72"/>
    <s v="Résolu"/>
    <s v="Non Trouvée"/>
    <s v="Aucun"/>
    <x v="1"/>
    <s v="Non Trouvée"/>
    <s v="Pas d'information"/>
    <s v="B2C"/>
  </r>
  <r>
    <d v="2023-10-28T00:00:00"/>
    <d v="1899-12-30T07:21:00"/>
    <x v="357"/>
    <n v="71"/>
    <s v="Non Résolu"/>
    <s v="Non Trouvée"/>
    <s v="Aucun"/>
    <x v="1"/>
    <s v="Non Trouvée"/>
    <s v="Pas d'information"/>
    <s v="B2C"/>
  </r>
  <r>
    <d v="2023-10-16T00:00:00"/>
    <d v="1899-12-30T01:22:00"/>
    <x v="358"/>
    <n v="99"/>
    <s v="Non Résolu"/>
    <s v="Kinshasa"/>
    <s v="CLI-00184"/>
    <x v="3"/>
    <s v="ZTE"/>
    <s v="Premium 5G 150Go"/>
    <s v="B2C"/>
  </r>
  <r>
    <d v="2023-10-22T00:00:00"/>
    <d v="1899-12-30T06:48:00"/>
    <x v="358"/>
    <n v="22"/>
    <s v="Résolu"/>
    <s v="Kinshasa"/>
    <s v="CLI-00184"/>
    <x v="3"/>
    <s v="ZTE"/>
    <s v="Premium 5G 150Go"/>
    <s v="B2C"/>
  </r>
  <r>
    <d v="2023-10-10T00:00:00"/>
    <d v="1899-12-30T22:13:00"/>
    <x v="359"/>
    <n v="35"/>
    <s v="Résolu"/>
    <s v="Non Trouvée"/>
    <s v="Aucun"/>
    <x v="1"/>
    <s v="Non Trouvée"/>
    <s v="Pas d'information"/>
    <s v="B2C"/>
  </r>
  <r>
    <d v="2023-10-26T00:00:00"/>
    <d v="1899-12-30T14:58:00"/>
    <x v="360"/>
    <n v="22"/>
    <s v="Résolu"/>
    <s v="Mai-Ndombe"/>
    <s v="CLI-00090"/>
    <x v="2"/>
    <s v="ZTE"/>
    <s v="Bloqué 5Go"/>
    <s v="B2C"/>
  </r>
  <r>
    <d v="2023-10-28T00:00:00"/>
    <d v="1899-12-30T18:41:00"/>
    <x v="360"/>
    <n v="67"/>
    <s v="En Cours"/>
    <s v="Mai-Ndombe"/>
    <s v="CLI-00090"/>
    <x v="2"/>
    <s v="ZTE"/>
    <s v="Bloqué 5Go"/>
    <s v="B2C"/>
  </r>
  <r>
    <d v="2023-10-22T00:00:00"/>
    <d v="1899-12-30T18:44:00"/>
    <x v="361"/>
    <n v="67"/>
    <s v="Résolu"/>
    <s v="Tshuapa"/>
    <s v="CLI-00033"/>
    <x v="2"/>
    <s v="Nokia"/>
    <s v="Premium 5G 150Go"/>
    <s v="B2C"/>
  </r>
  <r>
    <d v="2023-10-25T00:00:00"/>
    <d v="1899-12-30T08:21:00"/>
    <x v="361"/>
    <n v="14"/>
    <s v="Résolu"/>
    <s v="Tshuapa"/>
    <s v="CLI-00033"/>
    <x v="2"/>
    <s v="Nokia"/>
    <s v="Premium 5G 150Go"/>
    <s v="B2C"/>
  </r>
  <r>
    <d v="2023-10-02T00:00:00"/>
    <d v="1899-12-30T21:14:00"/>
    <x v="362"/>
    <n v="54"/>
    <s v="En Cours"/>
    <s v="Nord-Kivu"/>
    <s v="CLI-00043"/>
    <x v="0"/>
    <s v="Ericsson"/>
    <s v="Pro Monde"/>
    <s v="B2B"/>
  </r>
  <r>
    <d v="2023-10-12T00:00:00"/>
    <d v="1899-12-30T11:27:00"/>
    <x v="362"/>
    <n v="111"/>
    <s v="Résolu"/>
    <s v="Nord-Kivu"/>
    <s v="CLI-00043"/>
    <x v="0"/>
    <s v="Ericsson"/>
    <s v="Pro Monde"/>
    <s v="B2B"/>
  </r>
  <r>
    <d v="2023-10-06T00:00:00"/>
    <d v="1899-12-30T20:56:00"/>
    <x v="363"/>
    <n v="17"/>
    <s v="Résolu"/>
    <s v="Non Trouvée"/>
    <s v="Aucun"/>
    <x v="1"/>
    <s v="Non Trouvée"/>
    <s v="Pas d'information"/>
    <s v="B2C"/>
  </r>
  <r>
    <d v="2023-10-06T00:00:00"/>
    <d v="1899-12-30T05:40:00"/>
    <x v="364"/>
    <n v="67"/>
    <s v="Non Résolu"/>
    <s v="Non Trouvée"/>
    <s v="Aucun"/>
    <x v="1"/>
    <s v="Non Trouvée"/>
    <s v="Pas d'information"/>
    <s v="B2C"/>
  </r>
  <r>
    <d v="2023-10-15T00:00:00"/>
    <d v="1899-12-30T14:19:00"/>
    <x v="364"/>
    <n v="88"/>
    <s v="En Cours"/>
    <s v="Non Trouvée"/>
    <s v="Aucun"/>
    <x v="1"/>
    <s v="Non Trouvée"/>
    <s v="Pas d'information"/>
    <s v="B2C"/>
  </r>
  <r>
    <d v="2023-10-20T00:00:00"/>
    <d v="1899-12-30T19:39:00"/>
    <x v="364"/>
    <n v="99"/>
    <s v="En Cours"/>
    <s v="Non Trouvée"/>
    <s v="Aucun"/>
    <x v="1"/>
    <s v="Non Trouvée"/>
    <s v="Pas d'information"/>
    <s v="B2C"/>
  </r>
  <r>
    <d v="2023-10-06T00:00:00"/>
    <d v="1899-12-30T10:35:00"/>
    <x v="365"/>
    <n v="115"/>
    <s v="Non Résolu"/>
    <s v="Sud-Kivu"/>
    <s v="CLI-00054"/>
    <x v="3"/>
    <s v="Huawei"/>
    <s v="Bloqué 5Go"/>
    <s v="B2C"/>
  </r>
  <r>
    <d v="2023-10-23T00:00:00"/>
    <d v="1899-12-30T17:58:00"/>
    <x v="366"/>
    <n v="28"/>
    <s v="Non Résolu"/>
    <s v="Haut-Katanga"/>
    <s v="CLI-00059"/>
    <x v="0"/>
    <s v="Ericsson"/>
    <s v="Pro Monde"/>
    <s v="B2B"/>
  </r>
  <r>
    <d v="2023-10-19T00:00:00"/>
    <d v="1899-12-30T21:24:00"/>
    <x v="367"/>
    <n v="107"/>
    <s v="Non Résolu"/>
    <s v="Non Trouvée"/>
    <s v="Aucun"/>
    <x v="1"/>
    <s v="Non Trouvée"/>
    <s v="Pas d'information"/>
    <s v="B2C"/>
  </r>
  <r>
    <d v="2023-10-19T00:00:00"/>
    <d v="1899-12-30T19:02:00"/>
    <x v="367"/>
    <n v="100"/>
    <s v="En Cours"/>
    <s v="Non Trouvée"/>
    <s v="Aucun"/>
    <x v="1"/>
    <s v="Non Trouvée"/>
    <s v="Pas d'information"/>
    <s v="B2C"/>
  </r>
  <r>
    <d v="2023-10-23T00:00:00"/>
    <d v="1899-12-30T02:36:00"/>
    <x v="368"/>
    <n v="88"/>
    <s v="En Cours"/>
    <s v="Non Trouvée"/>
    <s v="Aucun"/>
    <x v="1"/>
    <s v="Non Trouvée"/>
    <s v="Pas d'information"/>
    <s v="B2C"/>
  </r>
  <r>
    <d v="2023-10-16T00:00:00"/>
    <d v="1899-12-30T06:32:00"/>
    <x v="369"/>
    <n v="56"/>
    <s v="En Cours"/>
    <s v="Non Trouvée"/>
    <s v="Aucun"/>
    <x v="1"/>
    <s v="Non Trouvée"/>
    <s v="Pas d'information"/>
    <s v="B2C"/>
  </r>
  <r>
    <d v="2023-10-11T00:00:00"/>
    <d v="1899-12-30T21:54:00"/>
    <x v="370"/>
    <n v="119"/>
    <s v="En Cours"/>
    <s v="Non Trouvée"/>
    <s v="Aucun"/>
    <x v="1"/>
    <s v="Non Trouvée"/>
    <s v="Pas d'information"/>
    <s v="B2C"/>
  </r>
  <r>
    <d v="2023-10-21T00:00:00"/>
    <d v="1899-12-30T19:01:00"/>
    <x v="370"/>
    <n v="10"/>
    <s v="En Cours"/>
    <s v="Non Trouvée"/>
    <s v="Aucun"/>
    <x v="1"/>
    <s v="Non Trouvée"/>
    <s v="Pas d'information"/>
    <s v="B2C"/>
  </r>
  <r>
    <d v="2023-10-02T00:00:00"/>
    <d v="1899-12-30T02:04:00"/>
    <x v="371"/>
    <n v="55"/>
    <s v="Résolu"/>
    <s v="Nord-Kivu"/>
    <s v="CLI-00043"/>
    <x v="3"/>
    <s v="ZTE"/>
    <s v="Pro Monde"/>
    <s v="B2B"/>
  </r>
  <r>
    <d v="2023-10-12T00:00:00"/>
    <d v="1899-12-30T10:11:00"/>
    <x v="371"/>
    <n v="116"/>
    <s v="Non Résolu"/>
    <s v="Nord-Kivu"/>
    <s v="CLI-00043"/>
    <x v="3"/>
    <s v="ZTE"/>
    <s v="Pro Monde"/>
    <s v="B2B"/>
  </r>
  <r>
    <d v="2023-10-19T00:00:00"/>
    <d v="1899-12-30T07:58:00"/>
    <x v="371"/>
    <n v="15"/>
    <s v="En Cours"/>
    <s v="Nord-Kivu"/>
    <s v="CLI-00043"/>
    <x v="3"/>
    <s v="ZTE"/>
    <s v="Pro Monde"/>
    <s v="B2B"/>
  </r>
  <r>
    <d v="2023-10-22T00:00:00"/>
    <d v="1899-12-30T06:27:00"/>
    <x v="371"/>
    <n v="18"/>
    <s v="Non Résolu"/>
    <s v="Nord-Kivu"/>
    <s v="CLI-00043"/>
    <x v="3"/>
    <s v="ZTE"/>
    <s v="Pro Monde"/>
    <s v="B2B"/>
  </r>
  <r>
    <d v="2023-10-23T00:00:00"/>
    <d v="1899-12-30T14:20:00"/>
    <x v="371"/>
    <n v="22"/>
    <s v="Non Résolu"/>
    <s v="Nord-Kivu"/>
    <s v="CLI-00043"/>
    <x v="3"/>
    <s v="ZTE"/>
    <s v="Pro Monde"/>
    <s v="B2B"/>
  </r>
  <r>
    <d v="2023-10-02T00:00:00"/>
    <d v="1899-12-30T21:03:00"/>
    <x v="372"/>
    <n v="82"/>
    <s v="En Cours"/>
    <s v="Nord-Kivu"/>
    <s v="CLI-00043"/>
    <x v="2"/>
    <s v="Huawei"/>
    <s v="Pro Monde"/>
    <s v="B2B"/>
  </r>
  <r>
    <d v="2023-10-05T00:00:00"/>
    <d v="1899-12-30T12:45:00"/>
    <x v="372"/>
    <n v="47"/>
    <s v="Résolu"/>
    <s v="Nord-Kivu"/>
    <s v="CLI-00043"/>
    <x v="2"/>
    <s v="Huawei"/>
    <s v="Pro Monde"/>
    <s v="B2B"/>
  </r>
  <r>
    <d v="2023-10-08T00:00:00"/>
    <d v="1899-12-30T23:03:00"/>
    <x v="372"/>
    <n v="23"/>
    <s v="En Cours"/>
    <s v="Nord-Kivu"/>
    <s v="CLI-00043"/>
    <x v="2"/>
    <s v="Huawei"/>
    <s v="Pro Monde"/>
    <s v="B2B"/>
  </r>
  <r>
    <d v="2023-10-31T00:00:00"/>
    <d v="1899-12-30T11:40:00"/>
    <x v="372"/>
    <n v="38"/>
    <s v="Résolu"/>
    <s v="Nord-Kivu"/>
    <s v="CLI-00043"/>
    <x v="2"/>
    <s v="Huawei"/>
    <s v="Pro Monde"/>
    <s v="B2B"/>
  </r>
  <r>
    <d v="2023-10-23T00:00:00"/>
    <d v="1899-12-30T15:09:00"/>
    <x v="373"/>
    <n v="90"/>
    <s v="Résolu"/>
    <s v="Tanganyika"/>
    <s v="CLI-00007"/>
    <x v="3"/>
    <s v="Nokia"/>
    <s v="Bloqué 5Go"/>
    <s v="B2C"/>
  </r>
  <r>
    <d v="2023-10-31T00:00:00"/>
    <d v="1899-12-30T20:42:00"/>
    <x v="373"/>
    <n v="67"/>
    <s v="Résolu"/>
    <s v="Tanganyika"/>
    <s v="CLI-00007"/>
    <x v="3"/>
    <s v="Nokia"/>
    <s v="Bloqué 5Go"/>
    <s v="B2C"/>
  </r>
  <r>
    <d v="2023-10-23T00:00:00"/>
    <d v="1899-12-30T10:15:00"/>
    <x v="374"/>
    <n v="82"/>
    <s v="Résolu"/>
    <s v="Bas-Uele"/>
    <s v="CLI-00029"/>
    <x v="3"/>
    <s v="Huawei"/>
    <s v="Pro Monde"/>
    <s v="B2B"/>
  </r>
  <r>
    <d v="2023-10-12T00:00:00"/>
    <d v="1899-12-30T08:50:00"/>
    <x v="375"/>
    <n v="15"/>
    <s v="Non Résolu"/>
    <s v="Non Trouvée"/>
    <s v="Aucun"/>
    <x v="1"/>
    <s v="Non Trouvée"/>
    <s v="Pas d'information"/>
    <s v="B2C"/>
  </r>
  <r>
    <d v="2023-10-18T00:00:00"/>
    <d v="1899-12-30T13:42:00"/>
    <x v="375"/>
    <n v="28"/>
    <s v="Résolu"/>
    <s v="Non Trouvée"/>
    <s v="Aucun"/>
    <x v="1"/>
    <s v="Non Trouvée"/>
    <s v="Pas d'information"/>
    <s v="B2C"/>
  </r>
  <r>
    <d v="2023-10-27T00:00:00"/>
    <d v="1899-12-30T23:43:00"/>
    <x v="376"/>
    <n v="83"/>
    <s v="Non Résolu"/>
    <s v="Non Trouvée"/>
    <s v="Aucun"/>
    <x v="1"/>
    <s v="Non Trouvée"/>
    <s v="Pas d'information"/>
    <s v="B2C"/>
  </r>
  <r>
    <d v="2023-10-02T00:00:00"/>
    <d v="1899-12-30T11:14:00"/>
    <x v="377"/>
    <n v="80"/>
    <s v="Résolu"/>
    <s v="Haut-Katanga"/>
    <s v="CLI-00059"/>
    <x v="2"/>
    <s v="ZTE"/>
    <s v="Pro Monde"/>
    <s v="B2B"/>
  </r>
  <r>
    <d v="2023-10-19T00:00:00"/>
    <d v="1899-12-30T21:01:00"/>
    <x v="378"/>
    <n v="39"/>
    <s v="Résolu"/>
    <s v="Non Trouvée"/>
    <s v="Aucun"/>
    <x v="1"/>
    <s v="Non Trouvée"/>
    <s v="Pas d'information"/>
    <s v="B2C"/>
  </r>
  <r>
    <d v="2023-10-19T00:00:00"/>
    <d v="1899-12-30T05:46:00"/>
    <x v="378"/>
    <n v="53"/>
    <s v="En Cours"/>
    <s v="Non Trouvée"/>
    <s v="Aucun"/>
    <x v="1"/>
    <s v="Non Trouvée"/>
    <s v="Pas d'information"/>
    <s v="B2C"/>
  </r>
  <r>
    <d v="2023-10-09T00:00:00"/>
    <d v="1899-12-30T23:05:00"/>
    <x v="379"/>
    <n v="68"/>
    <s v="Résolu"/>
    <s v="Bas-Uele"/>
    <s v="CLI-00029"/>
    <x v="3"/>
    <s v="Nokia"/>
    <s v="Pro Monde"/>
    <s v="B2B"/>
  </r>
  <r>
    <d v="2023-10-31T00:00:00"/>
    <d v="1899-12-30T00:07:00"/>
    <x v="380"/>
    <n v="58"/>
    <s v="Résolu"/>
    <s v="Lualaba"/>
    <s v="CLI-00334"/>
    <x v="0"/>
    <s v="Huawei"/>
    <s v="Pro Monde"/>
    <s v="B2B"/>
  </r>
  <r>
    <d v="2023-10-24T00:00:00"/>
    <d v="1899-12-30T07:30:00"/>
    <x v="381"/>
    <n v="62"/>
    <s v="Résolu"/>
    <s v="Non Trouvée"/>
    <s v="Aucun"/>
    <x v="1"/>
    <s v="Non Trouvée"/>
    <s v="Pas d'information"/>
    <s v="B2C"/>
  </r>
  <r>
    <d v="2023-10-23T00:00:00"/>
    <d v="1899-12-30T21:06:00"/>
    <x v="382"/>
    <n v="103"/>
    <s v="En Cours"/>
    <s v="Non Trouvée"/>
    <s v="Aucun"/>
    <x v="1"/>
    <s v="Non Trouvée"/>
    <s v="Pas d'information"/>
    <s v="B2C"/>
  </r>
  <r>
    <d v="2023-10-24T00:00:00"/>
    <d v="1899-12-30T17:03:00"/>
    <x v="382"/>
    <n v="43"/>
    <s v="Non Résolu"/>
    <s v="Non Trouvée"/>
    <s v="Aucun"/>
    <x v="1"/>
    <s v="Non Trouvée"/>
    <s v="Pas d'information"/>
    <s v="B2C"/>
  </r>
  <r>
    <d v="2023-10-13T00:00:00"/>
    <d v="1899-12-30T11:39:00"/>
    <x v="383"/>
    <n v="75"/>
    <s v="Résolu"/>
    <s v="Non Trouvée"/>
    <s v="Aucun"/>
    <x v="1"/>
    <s v="Non Trouvée"/>
    <s v="Pas d'information"/>
    <s v="B2C"/>
  </r>
  <r>
    <d v="2023-10-02T00:00:00"/>
    <d v="1899-12-30T14:03:00"/>
    <x v="384"/>
    <n v="17"/>
    <s v="En Cours"/>
    <s v="Non Trouvée"/>
    <s v="Aucun"/>
    <x v="1"/>
    <s v="Non Trouvée"/>
    <s v="Pas d'information"/>
    <s v="B2C"/>
  </r>
  <r>
    <d v="2023-10-05T00:00:00"/>
    <d v="1899-12-30T02:57:00"/>
    <x v="385"/>
    <n v="34"/>
    <s v="Résolu"/>
    <s v="Equateur"/>
    <s v="CLI-00091"/>
    <x v="2"/>
    <s v="ZTE"/>
    <s v="Bloqué 5Go"/>
    <s v="B2C"/>
  </r>
  <r>
    <d v="2023-10-10T00:00:00"/>
    <d v="1899-12-30T23:44:00"/>
    <x v="385"/>
    <n v="51"/>
    <s v="Non Résolu"/>
    <s v="Equateur"/>
    <s v="CLI-00091"/>
    <x v="2"/>
    <s v="ZTE"/>
    <s v="Bloqué 5Go"/>
    <s v="B2C"/>
  </r>
  <r>
    <d v="2023-10-15T00:00:00"/>
    <d v="1899-12-30T15:14:00"/>
    <x v="385"/>
    <n v="112"/>
    <s v="Non Résolu"/>
    <s v="Equateur"/>
    <s v="CLI-00091"/>
    <x v="2"/>
    <s v="ZTE"/>
    <s v="Bloqué 5Go"/>
    <s v="B2C"/>
  </r>
  <r>
    <d v="2023-10-05T00:00:00"/>
    <d v="1899-12-30T00:16:00"/>
    <x v="386"/>
    <n v="12"/>
    <s v="Non Résolu"/>
    <s v="Maniema"/>
    <s v="CLI-00039"/>
    <x v="2"/>
    <s v="Nokia"/>
    <s v="Pro Monde"/>
    <s v="B2B"/>
  </r>
  <r>
    <d v="2023-10-27T00:00:00"/>
    <d v="1899-12-30T23:09:00"/>
    <x v="387"/>
    <n v="27"/>
    <s v="Non Résolu"/>
    <s v="Lualaba"/>
    <s v="CLI-00334"/>
    <x v="3"/>
    <s v="Nokia"/>
    <s v="Pro Monde"/>
    <s v="B2B"/>
  </r>
  <r>
    <d v="2023-10-04T00:00:00"/>
    <d v="1899-12-30T06:34:00"/>
    <x v="388"/>
    <n v="23"/>
    <s v="En Cours"/>
    <s v="Non Trouvée"/>
    <s v="Aucun"/>
    <x v="1"/>
    <s v="Non Trouvée"/>
    <s v="Pas d'information"/>
    <s v="B2C"/>
  </r>
  <r>
    <d v="2023-10-05T00:00:00"/>
    <d v="1899-12-30T08:08:00"/>
    <x v="388"/>
    <n v="60"/>
    <s v="Résolu"/>
    <s v="Non Trouvée"/>
    <s v="Aucun"/>
    <x v="1"/>
    <s v="Non Trouvée"/>
    <s v="Pas d'information"/>
    <s v="B2C"/>
  </r>
  <r>
    <d v="2023-10-09T00:00:00"/>
    <d v="1899-12-30T02:36:00"/>
    <x v="389"/>
    <n v="102"/>
    <s v="Non Résolu"/>
    <s v="Sud-Kivu"/>
    <s v="CLI-00054"/>
    <x v="3"/>
    <s v="Huawei"/>
    <s v="Bloqué 5Go"/>
    <s v="B2C"/>
  </r>
  <r>
    <d v="2023-10-21T00:00:00"/>
    <d v="1899-12-30T14:51:00"/>
    <x v="389"/>
    <n v="79"/>
    <s v="Résolu"/>
    <s v="Sud-Kivu"/>
    <s v="CLI-00054"/>
    <x v="3"/>
    <s v="Huawei"/>
    <s v="Bloqué 5Go"/>
    <s v="B2C"/>
  </r>
  <r>
    <d v="2023-10-24T00:00:00"/>
    <d v="1899-12-30T17:16:00"/>
    <x v="390"/>
    <n v="61"/>
    <s v="Non Résolu"/>
    <s v="Non Trouvée"/>
    <s v="Aucun"/>
    <x v="1"/>
    <s v="Non Trouvée"/>
    <s v="Pas d'information"/>
    <s v="B2C"/>
  </r>
  <r>
    <d v="2023-10-31T00:00:00"/>
    <d v="1899-12-30T01:28:00"/>
    <x v="390"/>
    <n v="103"/>
    <s v="Résolu"/>
    <s v="Non Trouvée"/>
    <s v="Aucun"/>
    <x v="1"/>
    <s v="Non Trouvée"/>
    <s v="Pas d'information"/>
    <s v="B2C"/>
  </r>
  <r>
    <d v="2023-10-27T00:00:00"/>
    <d v="1899-12-30T15:09:00"/>
    <x v="391"/>
    <n v="112"/>
    <s v="Non Résolu"/>
    <s v="Non Trouvée"/>
    <s v="Aucun"/>
    <x v="1"/>
    <s v="Non Trouvée"/>
    <s v="Pas d'information"/>
    <s v="B2C"/>
  </r>
  <r>
    <d v="2023-10-01T00:00:00"/>
    <d v="1899-12-30T10:41:00"/>
    <x v="392"/>
    <n v="112"/>
    <s v="Résolu"/>
    <s v="Haut-Katanga"/>
    <s v="CLI-00059"/>
    <x v="0"/>
    <s v="Ericsson"/>
    <s v="Pro Monde"/>
    <s v="B2B"/>
  </r>
  <r>
    <d v="2023-10-01T00:00:00"/>
    <d v="1899-12-30T12:09:00"/>
    <x v="392"/>
    <n v="99"/>
    <s v="Résolu"/>
    <s v="Haut-Katanga"/>
    <s v="CLI-00059"/>
    <x v="0"/>
    <s v="Ericsson"/>
    <s v="Pro Monde"/>
    <s v="B2B"/>
  </r>
  <r>
    <d v="2023-10-31T00:00:00"/>
    <d v="1899-12-30T03:04:00"/>
    <x v="392"/>
    <n v="87"/>
    <s v="En Cours"/>
    <s v="Haut-Katanga"/>
    <s v="CLI-00059"/>
    <x v="0"/>
    <s v="Ericsson"/>
    <s v="Pro Monde"/>
    <s v="B2B"/>
  </r>
  <r>
    <d v="2023-10-18T00:00:00"/>
    <d v="1899-12-30T09:14:00"/>
    <x v="393"/>
    <n v="99"/>
    <s v="Non Résolu"/>
    <s v="Haut-Lomami"/>
    <s v="CLI-00022"/>
    <x v="3"/>
    <s v="Ericsson"/>
    <s v="Premium 5G 150Go"/>
    <s v="B2C"/>
  </r>
  <r>
    <d v="2023-10-29T00:00:00"/>
    <d v="1899-12-30T17:40:00"/>
    <x v="394"/>
    <n v="66"/>
    <s v="En Cours"/>
    <s v="Kasai-Oriental"/>
    <s v="CLI-00107"/>
    <x v="2"/>
    <s v="Nokia"/>
    <s v="Premium 5G 150Go"/>
    <s v="B2C"/>
  </r>
  <r>
    <d v="2023-10-23T00:00:00"/>
    <d v="1899-12-30T12:41:00"/>
    <x v="395"/>
    <n v="111"/>
    <s v="Résolu"/>
    <s v="Non Trouvée"/>
    <s v="Aucun"/>
    <x v="1"/>
    <s v="Non Trouvée"/>
    <s v="Pas d'information"/>
    <s v="B2C"/>
  </r>
  <r>
    <d v="2023-10-03T00:00:00"/>
    <d v="1899-12-30T11:59:00"/>
    <x v="396"/>
    <n v="57"/>
    <s v="Non Résolu"/>
    <s v="Non Trouvée"/>
    <s v="Aucun"/>
    <x v="1"/>
    <s v="Non Trouvée"/>
    <s v="Pas d'information"/>
    <s v="B2C"/>
  </r>
  <r>
    <d v="2023-10-17T00:00:00"/>
    <d v="1899-12-30T00:02:00"/>
    <x v="396"/>
    <n v="74"/>
    <s v="En Cours"/>
    <s v="Non Trouvée"/>
    <s v="Aucun"/>
    <x v="1"/>
    <s v="Non Trouvée"/>
    <s v="Pas d'information"/>
    <s v="B2C"/>
  </r>
  <r>
    <d v="2023-10-10T00:00:00"/>
    <d v="1899-12-30T21:38:00"/>
    <x v="397"/>
    <n v="68"/>
    <s v="Non Résolu"/>
    <s v="Sud-Ubangi"/>
    <s v="CLI-00070"/>
    <x v="0"/>
    <s v="ZTE"/>
    <s v="Illimité 50Go"/>
    <s v="B2C"/>
  </r>
  <r>
    <d v="2023-10-09T00:00:00"/>
    <d v="1899-12-30T06:42:00"/>
    <x v="398"/>
    <n v="41"/>
    <s v="Non Résolu"/>
    <s v="Nord-Ubangi"/>
    <s v="CLI-00112"/>
    <x v="2"/>
    <s v="ZTE"/>
    <s v="Bloqué 5Go"/>
    <s v="B2C"/>
  </r>
  <r>
    <d v="2023-10-20T00:00:00"/>
    <d v="1899-12-30T20:01:00"/>
    <x v="399"/>
    <n v="64"/>
    <s v="En Cours"/>
    <s v="Non Trouvée"/>
    <s v="Aucun"/>
    <x v="1"/>
    <s v="Non Trouvée"/>
    <s v="Pas d'information"/>
    <s v="B2C"/>
  </r>
  <r>
    <d v="2023-10-09T00:00:00"/>
    <d v="1899-12-30T12:09:00"/>
    <x v="400"/>
    <n v="91"/>
    <s v="En Cours"/>
    <s v="Non Trouvée"/>
    <s v="Aucun"/>
    <x v="1"/>
    <s v="Non Trouvée"/>
    <s v="Pas d'information"/>
    <s v="B2C"/>
  </r>
  <r>
    <d v="2023-10-29T00:00:00"/>
    <d v="1899-12-30T12:26:00"/>
    <x v="400"/>
    <n v="92"/>
    <s v="En Cours"/>
    <s v="Non Trouvée"/>
    <s v="Aucun"/>
    <x v="1"/>
    <s v="Non Trouvée"/>
    <s v="Pas d'information"/>
    <s v="B2C"/>
  </r>
  <r>
    <d v="2023-10-22T00:00:00"/>
    <d v="1899-12-30T06:41:00"/>
    <x v="401"/>
    <n v="83"/>
    <s v="En Cours"/>
    <s v="Tshuapa"/>
    <s v="CLI-00033"/>
    <x v="3"/>
    <s v="Huawei"/>
    <s v="Premium 5G 150Go"/>
    <s v="B2C"/>
  </r>
  <r>
    <d v="2023-10-01T00:00:00"/>
    <d v="1899-12-30T08:13:00"/>
    <x v="402"/>
    <n v="86"/>
    <s v="Non Résolu"/>
    <s v="Haut-Lomami"/>
    <s v="CLI-00022"/>
    <x v="0"/>
    <s v="Huawei"/>
    <s v="Premium 5G 150Go"/>
    <s v="B2C"/>
  </r>
  <r>
    <d v="2023-10-06T00:00:00"/>
    <d v="1899-12-30T11:19:00"/>
    <x v="402"/>
    <n v="50"/>
    <s v="Non Résolu"/>
    <s v="Haut-Lomami"/>
    <s v="CLI-00022"/>
    <x v="0"/>
    <s v="Huawei"/>
    <s v="Premium 5G 150Go"/>
    <s v="B2C"/>
  </r>
  <r>
    <d v="2023-10-25T00:00:00"/>
    <d v="1899-12-30T07:08:00"/>
    <x v="403"/>
    <n v="12"/>
    <s v="En Cours"/>
    <s v="Non Trouvée"/>
    <s v="Aucun"/>
    <x v="1"/>
    <s v="Non Trouvée"/>
    <s v="Pas d'information"/>
    <s v="B2C"/>
  </r>
  <r>
    <d v="2023-10-14T00:00:00"/>
    <d v="1899-12-30T05:43:00"/>
    <x v="404"/>
    <n v="53"/>
    <s v="Non Résolu"/>
    <s v="Nord-Ubangi"/>
    <s v="CLI-00112"/>
    <x v="0"/>
    <s v="Ericsson"/>
    <s v="Bloqué 5Go"/>
    <s v="B2C"/>
  </r>
  <r>
    <d v="2023-10-27T00:00:00"/>
    <d v="1899-12-30T05:01:00"/>
    <x v="404"/>
    <n v="81"/>
    <s v="En Cours"/>
    <s v="Nord-Ubangi"/>
    <s v="CLI-00112"/>
    <x v="0"/>
    <s v="Ericsson"/>
    <s v="Bloqué 5Go"/>
    <s v="B2C"/>
  </r>
  <r>
    <d v="2023-10-30T00:00:00"/>
    <d v="1899-12-30T23:20:00"/>
    <x v="404"/>
    <n v="5"/>
    <s v="En Cours"/>
    <s v="Nord-Ubangi"/>
    <s v="CLI-00112"/>
    <x v="0"/>
    <s v="Ericsson"/>
    <s v="Bloqué 5Go"/>
    <s v="B2C"/>
  </r>
  <r>
    <d v="2023-10-10T00:00:00"/>
    <d v="1899-12-30T23:28:00"/>
    <x v="405"/>
    <n v="6"/>
    <s v="En Cours"/>
    <s v="Non Trouvée"/>
    <s v="Aucun"/>
    <x v="1"/>
    <s v="Non Trouvée"/>
    <s v="Pas d'information"/>
    <s v="B2C"/>
  </r>
  <r>
    <d v="2023-10-19T00:00:00"/>
    <d v="1899-12-30T07:33:00"/>
    <x v="405"/>
    <n v="45"/>
    <s v="Résolu"/>
    <s v="Non Trouvée"/>
    <s v="Aucun"/>
    <x v="1"/>
    <s v="Non Trouvée"/>
    <s v="Pas d'information"/>
    <s v="B2C"/>
  </r>
  <r>
    <d v="2023-10-29T00:00:00"/>
    <d v="1899-12-30T08:11:00"/>
    <x v="406"/>
    <n v="118"/>
    <s v="En Cours"/>
    <s v="Non Trouvée"/>
    <s v="Aucun"/>
    <x v="1"/>
    <s v="Non Trouvée"/>
    <s v="Pas d'information"/>
    <s v="B2C"/>
  </r>
  <r>
    <d v="2023-10-13T00:00:00"/>
    <d v="1899-12-30T23:10:00"/>
    <x v="407"/>
    <n v="27"/>
    <s v="En Cours"/>
    <s v="Kongo-Central"/>
    <s v="CLI-00012"/>
    <x v="0"/>
    <s v="Nokia"/>
    <s v="Illimité 50Go"/>
    <s v="B2C"/>
  </r>
  <r>
    <d v="2023-10-19T00:00:00"/>
    <d v="1899-12-30T06:52:00"/>
    <x v="408"/>
    <n v="89"/>
    <s v="Résolu"/>
    <s v="Kwango"/>
    <s v="CLI-00094"/>
    <x v="0"/>
    <s v="Nokia"/>
    <s v="Pro Monde"/>
    <s v="B2B"/>
  </r>
  <r>
    <d v="2023-10-22T00:00:00"/>
    <d v="1899-12-30T04:45:00"/>
    <x v="408"/>
    <n v="61"/>
    <s v="En Cours"/>
    <s v="Kwango"/>
    <s v="CLI-00094"/>
    <x v="0"/>
    <s v="Nokia"/>
    <s v="Pro Monde"/>
    <s v="B2B"/>
  </r>
  <r>
    <d v="2023-10-09T00:00:00"/>
    <d v="1899-12-30T22:59:00"/>
    <x v="409"/>
    <n v="115"/>
    <s v="Résolu"/>
    <s v="Tshopo"/>
    <s v="CLI-00100"/>
    <x v="3"/>
    <s v="Ericsson"/>
    <s v="Bloqué 5Go"/>
    <s v="B2C"/>
  </r>
  <r>
    <d v="2023-10-27T00:00:00"/>
    <d v="1899-12-30T17:57:00"/>
    <x v="410"/>
    <n v="68"/>
    <s v="Non Résolu"/>
    <s v="Non Trouvée"/>
    <s v="Aucun"/>
    <x v="1"/>
    <s v="Non Trouvée"/>
    <s v="Pas d'information"/>
    <s v="B2C"/>
  </r>
  <r>
    <d v="2023-10-01T00:00:00"/>
    <d v="1899-12-30T12:50:00"/>
    <x v="411"/>
    <n v="50"/>
    <s v="En Cours"/>
    <s v="Tshuapa"/>
    <s v="CLI-00033"/>
    <x v="3"/>
    <s v="Ericsson"/>
    <s v="Premium 5G 150Go"/>
    <s v="B2C"/>
  </r>
  <r>
    <d v="2023-10-14T00:00:00"/>
    <d v="1899-12-30T20:56:00"/>
    <x v="412"/>
    <n v="46"/>
    <s v="Non Résolu"/>
    <s v="Sankuru"/>
    <s v="CLI-00197"/>
    <x v="2"/>
    <s v="Huawei"/>
    <s v="Illimité 50Go"/>
    <s v="B2C"/>
  </r>
  <r>
    <d v="2023-10-18T00:00:00"/>
    <d v="1899-12-30T08:51:00"/>
    <x v="413"/>
    <n v="8"/>
    <s v="Résolu"/>
    <s v="Nord-Kivu"/>
    <s v="CLI-00043"/>
    <x v="3"/>
    <s v="Ericsson"/>
    <s v="Pro Monde"/>
    <s v="B2B"/>
  </r>
  <r>
    <d v="2023-10-20T00:00:00"/>
    <d v="1899-12-30T04:21:00"/>
    <x v="413"/>
    <n v="97"/>
    <s v="Non Résolu"/>
    <s v="Nord-Kivu"/>
    <s v="CLI-00043"/>
    <x v="3"/>
    <s v="Ericsson"/>
    <s v="Pro Monde"/>
    <s v="B2B"/>
  </r>
  <r>
    <d v="2023-10-07T00:00:00"/>
    <d v="1899-12-30T23:23:00"/>
    <x v="414"/>
    <n v="53"/>
    <s v="Non Résolu"/>
    <s v="Haut-Katanga"/>
    <s v="CLI-00059"/>
    <x v="2"/>
    <s v="Ericsson"/>
    <s v="Pro Monde"/>
    <s v="B2B"/>
  </r>
  <r>
    <d v="2023-10-18T00:00:00"/>
    <d v="1899-12-30T18:08:00"/>
    <x v="415"/>
    <n v="100"/>
    <s v="Résolu"/>
    <s v="Haut-Uele"/>
    <s v="CLI-00055"/>
    <x v="2"/>
    <s v="Ericsson"/>
    <s v="Pro Monde"/>
    <s v="B2B"/>
  </r>
  <r>
    <d v="2023-10-10T00:00:00"/>
    <d v="1899-12-30T06:02:00"/>
    <x v="416"/>
    <n v="46"/>
    <s v="Non Résolu"/>
    <s v="Non Trouvée"/>
    <s v="Aucun"/>
    <x v="1"/>
    <s v="Non Trouvée"/>
    <s v="Pas d'information"/>
    <s v="B2C"/>
  </r>
  <r>
    <d v="2023-10-15T00:00:00"/>
    <d v="1899-12-30T14:15:00"/>
    <x v="416"/>
    <n v="51"/>
    <s v="En Cours"/>
    <s v="Non Trouvée"/>
    <s v="Aucun"/>
    <x v="1"/>
    <s v="Non Trouvée"/>
    <s v="Pas d'information"/>
    <s v="B2C"/>
  </r>
  <r>
    <d v="2023-10-29T00:00:00"/>
    <d v="1899-12-30T02:25:00"/>
    <x v="416"/>
    <n v="23"/>
    <s v="En Cours"/>
    <s v="Non Trouvée"/>
    <s v="Aucun"/>
    <x v="1"/>
    <s v="Non Trouvée"/>
    <s v="Pas d'information"/>
    <s v="B2C"/>
  </r>
  <r>
    <d v="2023-10-02T00:00:00"/>
    <d v="1899-12-30T13:47:00"/>
    <x v="417"/>
    <n v="75"/>
    <s v="En Cours"/>
    <s v="Haut-Katanga"/>
    <s v="CLI-00059"/>
    <x v="3"/>
    <s v="Ericsson"/>
    <s v="Pro Monde"/>
    <s v="B2B"/>
  </r>
  <r>
    <d v="2023-10-15T00:00:00"/>
    <d v="1899-12-30T17:07:00"/>
    <x v="417"/>
    <n v="25"/>
    <s v="Résolu"/>
    <s v="Haut-Katanga"/>
    <s v="CLI-00059"/>
    <x v="3"/>
    <s v="Ericsson"/>
    <s v="Pro Monde"/>
    <s v="B2B"/>
  </r>
  <r>
    <d v="2023-10-25T00:00:00"/>
    <d v="1899-12-30T10:17:00"/>
    <x v="417"/>
    <n v="65"/>
    <s v="Non Résolu"/>
    <s v="Haut-Katanga"/>
    <s v="CLI-00059"/>
    <x v="3"/>
    <s v="Ericsson"/>
    <s v="Pro Monde"/>
    <s v="B2B"/>
  </r>
  <r>
    <d v="2023-10-29T00:00:00"/>
    <d v="1899-12-30T18:12:00"/>
    <x v="418"/>
    <n v="54"/>
    <s v="Résolu"/>
    <s v="Non Trouvée"/>
    <s v="Aucun"/>
    <x v="1"/>
    <s v="Non Trouvée"/>
    <s v="Pas d'information"/>
    <s v="B2C"/>
  </r>
  <r>
    <d v="2023-10-14T00:00:00"/>
    <d v="1899-12-30T00:39:00"/>
    <x v="419"/>
    <n v="68"/>
    <s v="En Cours"/>
    <s v="Kwango"/>
    <s v="CLI-00094"/>
    <x v="2"/>
    <s v="ZTE"/>
    <s v="Pro Monde"/>
    <s v="B2B"/>
  </r>
  <r>
    <d v="2023-10-12T00:00:00"/>
    <d v="1899-12-30T14:51:00"/>
    <x v="420"/>
    <n v="92"/>
    <s v="Résolu"/>
    <s v="Tshopo"/>
    <s v="CLI-00100"/>
    <x v="3"/>
    <s v="Ericsson"/>
    <s v="Bloqué 5Go"/>
    <s v="B2C"/>
  </r>
  <r>
    <d v="2023-10-16T00:00:00"/>
    <d v="1899-12-30T18:36:00"/>
    <x v="420"/>
    <n v="95"/>
    <s v="Non Résolu"/>
    <s v="Tshopo"/>
    <s v="CLI-00100"/>
    <x v="3"/>
    <s v="Ericsson"/>
    <s v="Bloqué 5Go"/>
    <s v="B2C"/>
  </r>
  <r>
    <d v="2023-10-03T00:00:00"/>
    <d v="1899-12-30T01:19:00"/>
    <x v="421"/>
    <n v="11"/>
    <s v="Résolu"/>
    <s v="Non Trouvée"/>
    <s v="Aucun"/>
    <x v="1"/>
    <s v="Non Trouvée"/>
    <s v="Pas d'information"/>
    <s v="B2C"/>
  </r>
  <r>
    <d v="2023-10-22T00:00:00"/>
    <d v="1899-12-30T20:35:00"/>
    <x v="421"/>
    <n v="60"/>
    <s v="En Cours"/>
    <s v="Non Trouvée"/>
    <s v="Aucun"/>
    <x v="1"/>
    <s v="Non Trouvée"/>
    <s v="Pas d'information"/>
    <s v="B2C"/>
  </r>
  <r>
    <d v="2023-10-05T00:00:00"/>
    <d v="1899-12-30T22:46:00"/>
    <x v="422"/>
    <n v="47"/>
    <s v="Non Résolu"/>
    <s v="Non Trouvée"/>
    <s v="Aucun"/>
    <x v="1"/>
    <s v="Non Trouvée"/>
    <s v="Pas d'information"/>
    <s v="B2C"/>
  </r>
  <r>
    <d v="2023-10-16T00:00:00"/>
    <d v="1899-12-30T07:44:00"/>
    <x v="423"/>
    <n v="57"/>
    <s v="En Cours"/>
    <s v="Non Trouvée"/>
    <s v="Aucun"/>
    <x v="1"/>
    <s v="Non Trouvée"/>
    <s v="Pas d'information"/>
    <s v="B2C"/>
  </r>
  <r>
    <d v="2023-10-21T00:00:00"/>
    <d v="1899-12-30T12:09:00"/>
    <x v="423"/>
    <n v="20"/>
    <s v="Résolu"/>
    <s v="Non Trouvée"/>
    <s v="Aucun"/>
    <x v="1"/>
    <s v="Non Trouvée"/>
    <s v="Pas d'information"/>
    <s v="B2C"/>
  </r>
  <r>
    <d v="2023-10-30T00:00:00"/>
    <d v="1899-12-30T23:41:00"/>
    <x v="423"/>
    <n v="37"/>
    <s v="En Cours"/>
    <s v="Non Trouvée"/>
    <s v="Aucun"/>
    <x v="1"/>
    <s v="Non Trouvée"/>
    <s v="Pas d'information"/>
    <s v="B2C"/>
  </r>
  <r>
    <d v="2023-10-01T00:00:00"/>
    <d v="1899-12-30T01:34:00"/>
    <x v="424"/>
    <n v="9"/>
    <s v="Résolu"/>
    <s v="Non Trouvée"/>
    <s v="Aucun"/>
    <x v="1"/>
    <s v="Non Trouvée"/>
    <s v="Pas d'information"/>
    <s v="B2C"/>
  </r>
  <r>
    <d v="2023-10-06T00:00:00"/>
    <d v="1899-12-30T17:04:00"/>
    <x v="424"/>
    <n v="109"/>
    <s v="En Cours"/>
    <s v="Non Trouvée"/>
    <s v="Aucun"/>
    <x v="1"/>
    <s v="Non Trouvée"/>
    <s v="Pas d'information"/>
    <s v="B2C"/>
  </r>
  <r>
    <d v="2023-10-16T00:00:00"/>
    <d v="1899-12-30T18:38:00"/>
    <x v="425"/>
    <n v="87"/>
    <s v="En Cours"/>
    <s v="Kasai"/>
    <s v="CLI-00057"/>
    <x v="3"/>
    <s v="ZTE"/>
    <s v="Bloqué 5Go"/>
    <s v="B2C"/>
  </r>
  <r>
    <d v="2023-10-07T00:00:00"/>
    <d v="1899-12-30T03:54:00"/>
    <x v="426"/>
    <n v="69"/>
    <s v="Résolu"/>
    <s v="Non Trouvée"/>
    <s v="Aucun"/>
    <x v="1"/>
    <s v="Non Trouvée"/>
    <s v="Pas d'information"/>
    <s v="B2C"/>
  </r>
  <r>
    <d v="2023-10-05T00:00:00"/>
    <d v="1899-12-30T06:48:00"/>
    <x v="427"/>
    <n v="11"/>
    <s v="En Cours"/>
    <s v="Lomami"/>
    <s v="CLI-00044"/>
    <x v="3"/>
    <s v="Nokia"/>
    <s v="Illimité 50Go"/>
    <s v="B2C"/>
  </r>
  <r>
    <d v="2023-10-16T00:00:00"/>
    <d v="1899-12-30T09:02:00"/>
    <x v="427"/>
    <n v="65"/>
    <s v="En Cours"/>
    <s v="Lomami"/>
    <s v="CLI-00044"/>
    <x v="3"/>
    <s v="Nokia"/>
    <s v="Illimité 50Go"/>
    <s v="B2C"/>
  </r>
  <r>
    <d v="2023-10-25T00:00:00"/>
    <d v="1899-12-30T11:35:00"/>
    <x v="427"/>
    <n v="95"/>
    <s v="Non Résolu"/>
    <s v="Lomami"/>
    <s v="CLI-00044"/>
    <x v="3"/>
    <s v="Nokia"/>
    <s v="Illimité 50Go"/>
    <s v="B2C"/>
  </r>
  <r>
    <d v="2023-10-17T00:00:00"/>
    <d v="1899-12-30T21:40:00"/>
    <x v="428"/>
    <n v="20"/>
    <s v="En Cours"/>
    <s v="Kwilu"/>
    <s v="CLI-00009"/>
    <x v="0"/>
    <s v="Huawei"/>
    <s v="Pro Monde"/>
    <s v="B2B"/>
  </r>
  <r>
    <d v="2023-10-28T00:00:00"/>
    <d v="1899-12-30T03:55:00"/>
    <x v="429"/>
    <n v="78"/>
    <s v="Non Résolu"/>
    <s v="Non Trouvée"/>
    <s v="Aucun"/>
    <x v="1"/>
    <s v="Non Trouvée"/>
    <s v="Pas d'information"/>
    <s v="B2C"/>
  </r>
  <r>
    <d v="2023-10-22T00:00:00"/>
    <d v="1899-12-30T20:09:00"/>
    <x v="430"/>
    <n v="18"/>
    <s v="Résolu"/>
    <s v="Non Trouvée"/>
    <s v="Aucun"/>
    <x v="1"/>
    <s v="Non Trouvée"/>
    <s v="Pas d'information"/>
    <s v="B2C"/>
  </r>
  <r>
    <d v="2023-10-11T00:00:00"/>
    <d v="1899-12-30T20:11:00"/>
    <x v="431"/>
    <n v="7"/>
    <s v="Résolu"/>
    <s v="Non Trouvée"/>
    <s v="Aucun"/>
    <x v="1"/>
    <s v="Non Trouvée"/>
    <s v="Pas d'information"/>
    <s v="B2C"/>
  </r>
  <r>
    <d v="2023-10-15T00:00:00"/>
    <d v="1899-12-30T02:38:00"/>
    <x v="431"/>
    <n v="102"/>
    <s v="Non Résolu"/>
    <s v="Non Trouvée"/>
    <s v="Aucun"/>
    <x v="1"/>
    <s v="Non Trouvée"/>
    <s v="Pas d'information"/>
    <s v="B2C"/>
  </r>
  <r>
    <d v="2023-10-02T00:00:00"/>
    <d v="1899-12-30T00:13:00"/>
    <x v="432"/>
    <n v="56"/>
    <s v="Non Résolu"/>
    <s v="Nord-Ubangi"/>
    <s v="CLI-00112"/>
    <x v="3"/>
    <s v="ZTE"/>
    <s v="Bloqué 5Go"/>
    <s v="B2C"/>
  </r>
  <r>
    <d v="2023-10-10T00:00:00"/>
    <d v="1899-12-30T15:50:00"/>
    <x v="432"/>
    <n v="67"/>
    <s v="En Cours"/>
    <s v="Nord-Ubangi"/>
    <s v="CLI-00112"/>
    <x v="3"/>
    <s v="ZTE"/>
    <s v="Bloqué 5Go"/>
    <s v="B2C"/>
  </r>
  <r>
    <d v="2023-10-27T00:00:00"/>
    <d v="1899-12-30T14:05:00"/>
    <x v="432"/>
    <n v="33"/>
    <s v="En Cours"/>
    <s v="Nord-Ubangi"/>
    <s v="CLI-00112"/>
    <x v="3"/>
    <s v="ZTE"/>
    <s v="Bloqué 5Go"/>
    <s v="B2C"/>
  </r>
  <r>
    <d v="2023-10-15T00:00:00"/>
    <d v="1899-12-30T04:27:00"/>
    <x v="433"/>
    <n v="36"/>
    <s v="Non Résolu"/>
    <s v="Non Trouvée"/>
    <s v="Aucun"/>
    <x v="1"/>
    <s v="Non Trouvée"/>
    <s v="Pas d'information"/>
    <s v="B2C"/>
  </r>
  <r>
    <d v="2023-10-19T00:00:00"/>
    <d v="1899-12-30T15:15:00"/>
    <x v="433"/>
    <n v="17"/>
    <s v="En Cours"/>
    <s v="Non Trouvée"/>
    <s v="Aucun"/>
    <x v="1"/>
    <s v="Non Trouvée"/>
    <s v="Pas d'information"/>
    <s v="B2C"/>
  </r>
  <r>
    <d v="2023-10-02T00:00:00"/>
    <d v="1899-12-30T05:24:00"/>
    <x v="434"/>
    <n v="83"/>
    <s v="Non Résolu"/>
    <s v="Nord-Kivu"/>
    <s v="CLI-00043"/>
    <x v="2"/>
    <s v="ZTE"/>
    <s v="Pro Monde"/>
    <s v="B2B"/>
  </r>
  <r>
    <d v="2023-10-02T00:00:00"/>
    <d v="1899-12-30T05:06:00"/>
    <x v="434"/>
    <n v="40"/>
    <s v="Non Résolu"/>
    <s v="Nord-Kivu"/>
    <s v="CLI-00043"/>
    <x v="2"/>
    <s v="ZTE"/>
    <s v="Pro Monde"/>
    <s v="B2B"/>
  </r>
  <r>
    <d v="2023-10-09T00:00:00"/>
    <d v="1899-12-30T23:01:00"/>
    <x v="434"/>
    <n v="98"/>
    <s v="En Cours"/>
    <s v="Nord-Kivu"/>
    <s v="CLI-00043"/>
    <x v="2"/>
    <s v="ZTE"/>
    <s v="Pro Monde"/>
    <s v="B2B"/>
  </r>
  <r>
    <d v="2023-10-26T00:00:00"/>
    <d v="1899-12-30T18:38:00"/>
    <x v="434"/>
    <n v="71"/>
    <s v="Résolu"/>
    <s v="Nord-Kivu"/>
    <s v="CLI-00043"/>
    <x v="2"/>
    <s v="ZTE"/>
    <s v="Pro Monde"/>
    <s v="B2B"/>
  </r>
  <r>
    <d v="2023-10-30T00:00:00"/>
    <d v="1899-12-30T01:35:00"/>
    <x v="434"/>
    <n v="93"/>
    <s v="Résolu"/>
    <s v="Nord-Kivu"/>
    <s v="CLI-00043"/>
    <x v="2"/>
    <s v="ZTE"/>
    <s v="Pro Monde"/>
    <s v="B2B"/>
  </r>
  <r>
    <d v="2023-10-11T00:00:00"/>
    <d v="1899-12-30T19:20:00"/>
    <x v="435"/>
    <n v="97"/>
    <s v="Résolu"/>
    <s v="Non Trouvée"/>
    <s v="Aucun"/>
    <x v="1"/>
    <s v="Non Trouvée"/>
    <s v="Pas d'information"/>
    <s v="B2C"/>
  </r>
  <r>
    <d v="2023-10-16T00:00:00"/>
    <d v="1899-12-30T02:08:00"/>
    <x v="435"/>
    <n v="59"/>
    <s v="En Cours"/>
    <s v="Non Trouvée"/>
    <s v="Aucun"/>
    <x v="1"/>
    <s v="Non Trouvée"/>
    <s v="Pas d'information"/>
    <s v="B2C"/>
  </r>
  <r>
    <d v="2023-10-22T00:00:00"/>
    <d v="1899-12-30T02:33:00"/>
    <x v="436"/>
    <n v="52"/>
    <s v="En Cours"/>
    <s v="Non Trouvée"/>
    <s v="Aucun"/>
    <x v="1"/>
    <s v="Non Trouvée"/>
    <s v="Pas d'information"/>
    <s v="B2C"/>
  </r>
  <r>
    <d v="2023-10-28T00:00:00"/>
    <d v="1899-12-30T11:38:00"/>
    <x v="436"/>
    <n v="24"/>
    <s v="Non Résolu"/>
    <s v="Non Trouvée"/>
    <s v="Aucun"/>
    <x v="1"/>
    <s v="Non Trouvée"/>
    <s v="Pas d'information"/>
    <s v="B2C"/>
  </r>
  <r>
    <d v="2023-10-12T00:00:00"/>
    <d v="1899-12-30T21:48:00"/>
    <x v="437"/>
    <n v="32"/>
    <s v="Non Résolu"/>
    <s v="Non Trouvée"/>
    <s v="Aucun"/>
    <x v="1"/>
    <s v="Non Trouvée"/>
    <s v="Pas d'information"/>
    <s v="B2C"/>
  </r>
  <r>
    <d v="2023-10-13T00:00:00"/>
    <d v="1899-12-30T04:49:00"/>
    <x v="437"/>
    <n v="82"/>
    <s v="Résolu"/>
    <s v="Non Trouvée"/>
    <s v="Aucun"/>
    <x v="1"/>
    <s v="Non Trouvée"/>
    <s v="Pas d'information"/>
    <s v="B2C"/>
  </r>
  <r>
    <d v="2023-10-20T00:00:00"/>
    <d v="1899-12-30T22:05:00"/>
    <x v="438"/>
    <n v="91"/>
    <s v="En Cours"/>
    <s v="Non Trouvée"/>
    <s v="Aucun"/>
    <x v="1"/>
    <s v="Non Trouvée"/>
    <s v="Pas d'information"/>
    <s v="B2C"/>
  </r>
  <r>
    <d v="2023-10-04T00:00:00"/>
    <d v="1899-12-30T11:27:00"/>
    <x v="439"/>
    <n v="93"/>
    <s v="Non Résolu"/>
    <s v="Non Trouvée"/>
    <s v="Aucun"/>
    <x v="1"/>
    <s v="Non Trouvée"/>
    <s v="Pas d'information"/>
    <s v="B2C"/>
  </r>
  <r>
    <d v="2023-10-09T00:00:00"/>
    <d v="1899-12-30T17:04:00"/>
    <x v="439"/>
    <n v="75"/>
    <s v="Non Résolu"/>
    <s v="Non Trouvée"/>
    <s v="Aucun"/>
    <x v="1"/>
    <s v="Non Trouvée"/>
    <s v="Pas d'information"/>
    <s v="B2C"/>
  </r>
  <r>
    <d v="2023-10-05T00:00:00"/>
    <d v="1899-12-30T07:08:00"/>
    <x v="440"/>
    <n v="111"/>
    <s v="Non Résolu"/>
    <s v="Nord-Ubangi"/>
    <s v="CLI-00112"/>
    <x v="0"/>
    <s v="Ericsson"/>
    <s v="Bloqué 5Go"/>
    <s v="B2C"/>
  </r>
  <r>
    <d v="2023-10-15T00:00:00"/>
    <d v="1899-12-30T00:27:00"/>
    <x v="440"/>
    <n v="115"/>
    <s v="Non Résolu"/>
    <s v="Nord-Ubangi"/>
    <s v="CLI-00112"/>
    <x v="0"/>
    <s v="Ericsson"/>
    <s v="Bloqué 5Go"/>
    <s v="B2C"/>
  </r>
  <r>
    <d v="2023-10-28T00:00:00"/>
    <d v="1899-12-30T14:06:00"/>
    <x v="440"/>
    <n v="50"/>
    <s v="Non Résolu"/>
    <s v="Nord-Ubangi"/>
    <s v="CLI-00112"/>
    <x v="0"/>
    <s v="Ericsson"/>
    <s v="Bloqué 5Go"/>
    <s v="B2C"/>
  </r>
  <r>
    <d v="2023-10-30T00:00:00"/>
    <d v="1899-12-30T17:21:00"/>
    <x v="440"/>
    <n v="76"/>
    <s v="Non Résolu"/>
    <s v="Nord-Ubangi"/>
    <s v="CLI-00112"/>
    <x v="0"/>
    <s v="Ericsson"/>
    <s v="Bloqué 5Go"/>
    <s v="B2C"/>
  </r>
  <r>
    <d v="2023-10-28T00:00:00"/>
    <d v="1899-12-30T07:08:00"/>
    <x v="441"/>
    <n v="92"/>
    <s v="En Cours"/>
    <s v="Haut-Lomami"/>
    <s v="CLI-00022"/>
    <x v="3"/>
    <s v="Nokia"/>
    <s v="Premium 5G 150Go"/>
    <s v="B2C"/>
  </r>
  <r>
    <d v="2023-10-25T00:00:00"/>
    <d v="1899-12-30T19:58:00"/>
    <x v="442"/>
    <n v="100"/>
    <s v="Résolu"/>
    <s v="Non Trouvée"/>
    <s v="Aucun"/>
    <x v="1"/>
    <s v="Non Trouvée"/>
    <s v="Pas d'information"/>
    <s v="B2C"/>
  </r>
  <r>
    <d v="2023-10-21T00:00:00"/>
    <d v="1899-12-30T03:43:00"/>
    <x v="443"/>
    <n v="53"/>
    <s v="Résolu"/>
    <s v="Kongo-Central"/>
    <s v="CLI-00012"/>
    <x v="2"/>
    <s v="Nokia"/>
    <s v="Illimité 50Go"/>
    <s v="B2C"/>
  </r>
  <r>
    <d v="2023-10-31T00:00:00"/>
    <d v="1899-12-30T07:17:00"/>
    <x v="443"/>
    <n v="83"/>
    <s v="En Cours"/>
    <s v="Kongo-Central"/>
    <s v="CLI-00012"/>
    <x v="2"/>
    <s v="Nokia"/>
    <s v="Illimité 50Go"/>
    <s v="B2C"/>
  </r>
  <r>
    <d v="2023-10-27T00:00:00"/>
    <d v="1899-12-30T21:15:00"/>
    <x v="444"/>
    <n v="96"/>
    <s v="En Cours"/>
    <s v="Non Trouvée"/>
    <s v="Aucun"/>
    <x v="1"/>
    <s v="Non Trouvée"/>
    <s v="Pas d'information"/>
    <s v="B2C"/>
  </r>
  <r>
    <d v="2023-10-03T00:00:00"/>
    <d v="1899-12-30T12:42:00"/>
    <x v="445"/>
    <n v="109"/>
    <s v="Non Résolu"/>
    <s v="Haut-Uele"/>
    <s v="CLI-00055"/>
    <x v="2"/>
    <s v="Huawei"/>
    <s v="Pro Monde"/>
    <s v="B2B"/>
  </r>
  <r>
    <d v="2023-10-12T00:00:00"/>
    <d v="1899-12-30T21:20:00"/>
    <x v="445"/>
    <n v="87"/>
    <s v="Non Résolu"/>
    <s v="Haut-Uele"/>
    <s v="CLI-00055"/>
    <x v="2"/>
    <s v="Huawei"/>
    <s v="Pro Monde"/>
    <s v="B2B"/>
  </r>
  <r>
    <d v="2023-10-20T00:00:00"/>
    <d v="1899-12-30T12:39:00"/>
    <x v="445"/>
    <n v="95"/>
    <s v="Résolu"/>
    <s v="Haut-Uele"/>
    <s v="CLI-00055"/>
    <x v="2"/>
    <s v="Huawei"/>
    <s v="Pro Monde"/>
    <s v="B2B"/>
  </r>
  <r>
    <d v="2023-10-27T00:00:00"/>
    <d v="1899-12-30T23:57:00"/>
    <x v="446"/>
    <n v="53"/>
    <s v="En Cours"/>
    <s v="Nord-Ubangi"/>
    <s v="CLI-00112"/>
    <x v="0"/>
    <s v="Ericsson"/>
    <s v="Bloqué 5Go"/>
    <s v="B2C"/>
  </r>
  <r>
    <d v="2023-10-08T00:00:00"/>
    <d v="1899-12-30T04:47:00"/>
    <x v="447"/>
    <n v="28"/>
    <s v="Non Résolu"/>
    <s v="Non Trouvée"/>
    <s v="Aucun"/>
    <x v="1"/>
    <s v="Non Trouvée"/>
    <s v="Pas d'information"/>
    <s v="B2C"/>
  </r>
  <r>
    <d v="2023-10-15T00:00:00"/>
    <d v="1899-12-30T01:58:00"/>
    <x v="447"/>
    <n v="87"/>
    <s v="Non Résolu"/>
    <s v="Non Trouvée"/>
    <s v="Aucun"/>
    <x v="1"/>
    <s v="Non Trouvée"/>
    <s v="Pas d'information"/>
    <s v="B2C"/>
  </r>
  <r>
    <d v="2023-10-20T00:00:00"/>
    <d v="1899-12-30T19:14:00"/>
    <x v="448"/>
    <n v="65"/>
    <s v="Non Résolu"/>
    <s v="Tshuapa"/>
    <s v="CLI-00033"/>
    <x v="3"/>
    <s v="ZTE"/>
    <s v="Premium 5G 150Go"/>
    <s v="B2C"/>
  </r>
  <r>
    <d v="2023-10-28T00:00:00"/>
    <d v="1899-12-30T02:50:00"/>
    <x v="449"/>
    <n v="61"/>
    <s v="Non Résolu"/>
    <s v="Non Trouvée"/>
    <s v="Aucun"/>
    <x v="1"/>
    <s v="Non Trouvée"/>
    <s v="Pas d'information"/>
    <s v="B2C"/>
  </r>
  <r>
    <d v="2023-10-26T00:00:00"/>
    <d v="1899-12-30T09:46:00"/>
    <x v="450"/>
    <n v="74"/>
    <s v="Résolu"/>
    <s v="Kwango"/>
    <s v="CLI-00094"/>
    <x v="0"/>
    <s v="Nokia"/>
    <s v="Pro Monde"/>
    <s v="B2B"/>
  </r>
  <r>
    <d v="2023-10-14T00:00:00"/>
    <d v="1899-12-30T21:47:00"/>
    <x v="451"/>
    <n v="52"/>
    <s v="Résolu"/>
    <s v="Nord-Kivu"/>
    <s v="CLI-00043"/>
    <x v="2"/>
    <s v="Nokia"/>
    <s v="Pro Monde"/>
    <s v="B2B"/>
  </r>
  <r>
    <d v="2023-10-25T00:00:00"/>
    <d v="1899-12-30T05:31:00"/>
    <x v="451"/>
    <n v="20"/>
    <s v="Résolu"/>
    <s v="Nord-Kivu"/>
    <s v="CLI-00043"/>
    <x v="2"/>
    <s v="Nokia"/>
    <s v="Pro Monde"/>
    <s v="B2B"/>
  </r>
  <r>
    <d v="2023-10-08T00:00:00"/>
    <d v="1899-12-30T16:02:00"/>
    <x v="452"/>
    <n v="113"/>
    <s v="Résolu"/>
    <s v="Kongo-Central"/>
    <s v="CLI-00012"/>
    <x v="2"/>
    <s v="Ericsson"/>
    <s v="Illimité 50Go"/>
    <s v="B2C"/>
  </r>
  <r>
    <d v="2023-10-08T00:00:00"/>
    <d v="1899-12-30T01:47:00"/>
    <x v="452"/>
    <n v="57"/>
    <s v="Résolu"/>
    <s v="Kongo-Central"/>
    <s v="CLI-00012"/>
    <x v="2"/>
    <s v="Ericsson"/>
    <s v="Illimité 50Go"/>
    <s v="B2C"/>
  </r>
  <r>
    <d v="2023-10-20T00:00:00"/>
    <d v="1899-12-30T13:40:00"/>
    <x v="452"/>
    <n v="96"/>
    <s v="Résolu"/>
    <s v="Kongo-Central"/>
    <s v="CLI-00012"/>
    <x v="2"/>
    <s v="Ericsson"/>
    <s v="Illimité 50Go"/>
    <s v="B2C"/>
  </r>
  <r>
    <d v="2023-10-04T00:00:00"/>
    <d v="1899-12-30T22:49:00"/>
    <x v="453"/>
    <n v="8"/>
    <s v="Non Résolu"/>
    <s v="Tshuapa"/>
    <s v="CLI-00033"/>
    <x v="3"/>
    <s v="Huawei"/>
    <s v="Premium 5G 150Go"/>
    <s v="B2C"/>
  </r>
  <r>
    <d v="2023-10-06T00:00:00"/>
    <d v="1899-12-30T19:20:00"/>
    <x v="454"/>
    <n v="110"/>
    <s v="Résolu"/>
    <s v="Non Trouvée"/>
    <s v="Aucun"/>
    <x v="1"/>
    <s v="Non Trouvée"/>
    <s v="Pas d'information"/>
    <s v="B2C"/>
  </r>
  <r>
    <d v="2023-10-30T00:00:00"/>
    <d v="1899-12-30T15:09:00"/>
    <x v="455"/>
    <n v="81"/>
    <s v="Résolu"/>
    <s v="Tshuapa"/>
    <s v="CLI-00033"/>
    <x v="2"/>
    <s v="Ericsson"/>
    <s v="Premium 5G 150Go"/>
    <s v="B2C"/>
  </r>
  <r>
    <d v="2023-10-05T00:00:00"/>
    <d v="1899-12-30T22:21:00"/>
    <x v="456"/>
    <n v="66"/>
    <s v="Résolu"/>
    <s v="Non Trouvée"/>
    <s v="Aucun"/>
    <x v="1"/>
    <s v="Non Trouvée"/>
    <s v="Pas d'information"/>
    <s v="B2C"/>
  </r>
  <r>
    <d v="2023-10-05T00:00:00"/>
    <d v="1899-12-30T15:58:00"/>
    <x v="457"/>
    <n v="56"/>
    <s v="Résolu"/>
    <s v="Non Trouvée"/>
    <s v="Aucun"/>
    <x v="1"/>
    <s v="Non Trouvée"/>
    <s v="Pas d'information"/>
    <s v="B2C"/>
  </r>
  <r>
    <d v="2023-10-14T00:00:00"/>
    <d v="1899-12-30T10:01:00"/>
    <x v="457"/>
    <n v="100"/>
    <s v="Résolu"/>
    <s v="Non Trouvée"/>
    <s v="Aucun"/>
    <x v="1"/>
    <s v="Non Trouvée"/>
    <s v="Pas d'information"/>
    <s v="B2C"/>
  </r>
  <r>
    <d v="2023-10-16T00:00:00"/>
    <d v="1899-12-30T05:34:00"/>
    <x v="457"/>
    <n v="25"/>
    <s v="Non Résolu"/>
    <s v="Non Trouvée"/>
    <s v="Aucun"/>
    <x v="1"/>
    <s v="Non Trouvée"/>
    <s v="Pas d'information"/>
    <s v="B2C"/>
  </r>
  <r>
    <d v="2023-10-21T00:00:00"/>
    <d v="1899-12-30T12:23:00"/>
    <x v="457"/>
    <n v="15"/>
    <s v="En Cours"/>
    <s v="Non Trouvée"/>
    <s v="Aucun"/>
    <x v="1"/>
    <s v="Non Trouvée"/>
    <s v="Pas d'information"/>
    <s v="B2C"/>
  </r>
  <r>
    <d v="2023-10-25T00:00:00"/>
    <d v="1899-12-30T06:55:00"/>
    <x v="457"/>
    <n v="116"/>
    <s v="En Cours"/>
    <s v="Non Trouvée"/>
    <s v="Aucun"/>
    <x v="1"/>
    <s v="Non Trouvée"/>
    <s v="Pas d'information"/>
    <s v="B2C"/>
  </r>
  <r>
    <d v="2023-10-05T00:00:00"/>
    <d v="1899-12-30T14:47:00"/>
    <x v="458"/>
    <n v="41"/>
    <s v="En Cours"/>
    <s v="Kinshasa"/>
    <s v="CLI-00184"/>
    <x v="3"/>
    <s v="ZTE"/>
    <s v="Premium 5G 150Go"/>
    <s v="B2C"/>
  </r>
  <r>
    <d v="2023-10-10T00:00:00"/>
    <d v="1899-12-30T08:31:00"/>
    <x v="458"/>
    <n v="99"/>
    <s v="Non Résolu"/>
    <s v="Kinshasa"/>
    <s v="CLI-00184"/>
    <x v="3"/>
    <s v="ZTE"/>
    <s v="Premium 5G 150Go"/>
    <s v="B2C"/>
  </r>
  <r>
    <d v="2023-10-30T00:00:00"/>
    <d v="1899-12-30T14:54:00"/>
    <x v="459"/>
    <n v="74"/>
    <s v="En Cours"/>
    <s v="Haut-Uele"/>
    <s v="CLI-00055"/>
    <x v="0"/>
    <s v="Huawei"/>
    <s v="Pro Monde"/>
    <s v="B2B"/>
  </r>
  <r>
    <d v="2023-10-07T00:00:00"/>
    <d v="1899-12-30T10:38:00"/>
    <x v="460"/>
    <n v="48"/>
    <s v="En Cours"/>
    <s v="Haut-Lomami"/>
    <s v="CLI-00022"/>
    <x v="0"/>
    <s v="Huawei"/>
    <s v="Premium 5G 150Go"/>
    <s v="B2C"/>
  </r>
  <r>
    <d v="2023-10-26T00:00:00"/>
    <d v="1899-12-30T06:56:00"/>
    <x v="460"/>
    <n v="89"/>
    <s v="Résolu"/>
    <s v="Haut-Lomami"/>
    <s v="CLI-00022"/>
    <x v="0"/>
    <s v="Huawei"/>
    <s v="Premium 5G 150Go"/>
    <s v="B2C"/>
  </r>
  <r>
    <d v="2023-10-12T00:00:00"/>
    <d v="1899-12-30T17:21:00"/>
    <x v="461"/>
    <n v="28"/>
    <s v="Résolu"/>
    <s v="Haut-Uele"/>
    <s v="CLI-00055"/>
    <x v="0"/>
    <s v="Huawei"/>
    <s v="Pro Monde"/>
    <s v="B2B"/>
  </r>
  <r>
    <d v="2023-10-08T00:00:00"/>
    <d v="1899-12-30T13:02:00"/>
    <x v="462"/>
    <n v="54"/>
    <s v="Résolu"/>
    <s v="Non Trouvée"/>
    <s v="Aucun"/>
    <x v="1"/>
    <s v="Non Trouvée"/>
    <s v="Pas d'information"/>
    <s v="B2C"/>
  </r>
  <r>
    <d v="2023-10-26T00:00:00"/>
    <d v="1899-12-30T23:55:00"/>
    <x v="462"/>
    <n v="55"/>
    <s v="Non Résolu"/>
    <s v="Non Trouvée"/>
    <s v="Aucun"/>
    <x v="1"/>
    <s v="Non Trouvée"/>
    <s v="Pas d'information"/>
    <s v="B2C"/>
  </r>
  <r>
    <d v="2023-10-26T00:00:00"/>
    <d v="1899-12-30T07:45:00"/>
    <x v="463"/>
    <n v="47"/>
    <s v="En Cours"/>
    <s v="Non Trouvée"/>
    <s v="Aucun"/>
    <x v="1"/>
    <s v="Non Trouvée"/>
    <s v="Pas d'information"/>
    <s v="B2C"/>
  </r>
  <r>
    <d v="2023-10-15T00:00:00"/>
    <d v="1899-12-30T06:58:00"/>
    <x v="464"/>
    <n v="27"/>
    <s v="Non Résolu"/>
    <s v="Equateur"/>
    <s v="CLI-00091"/>
    <x v="3"/>
    <s v="Huawei"/>
    <s v="Bloqué 5Go"/>
    <s v="B2C"/>
  </r>
  <r>
    <d v="2023-10-27T00:00:00"/>
    <d v="1899-12-30T07:31:00"/>
    <x v="464"/>
    <n v="66"/>
    <s v="En Cours"/>
    <s v="Equateur"/>
    <s v="CLI-00091"/>
    <x v="3"/>
    <s v="Huawei"/>
    <s v="Bloqué 5Go"/>
    <s v="B2C"/>
  </r>
  <r>
    <d v="2023-10-25T00:00:00"/>
    <d v="1899-12-30T02:31:00"/>
    <x v="465"/>
    <n v="98"/>
    <s v="En Cours"/>
    <s v="Tanganyika"/>
    <s v="CLI-00007"/>
    <x v="2"/>
    <s v="ZTE"/>
    <s v="Bloqué 5Go"/>
    <s v="B2C"/>
  </r>
  <r>
    <d v="2023-10-25T00:00:00"/>
    <d v="1899-12-30T21:14:00"/>
    <x v="466"/>
    <n v="119"/>
    <s v="Non Résolu"/>
    <s v="Non Trouvée"/>
    <s v="Aucun"/>
    <x v="1"/>
    <s v="Non Trouvée"/>
    <s v="Pas d'information"/>
    <s v="B2C"/>
  </r>
  <r>
    <d v="2023-10-01T00:00:00"/>
    <d v="1899-12-30T05:17:00"/>
    <x v="467"/>
    <n v="53"/>
    <s v="Non Résolu"/>
    <s v="Non Trouvée"/>
    <s v="Aucun"/>
    <x v="1"/>
    <s v="Non Trouvée"/>
    <s v="Pas d'information"/>
    <s v="B2C"/>
  </r>
  <r>
    <d v="2023-10-28T00:00:00"/>
    <d v="1899-12-30T09:26:00"/>
    <x v="467"/>
    <n v="67"/>
    <s v="Résolu"/>
    <s v="Non Trouvée"/>
    <s v="Aucun"/>
    <x v="1"/>
    <s v="Non Trouvée"/>
    <s v="Pas d'information"/>
    <s v="B2C"/>
  </r>
  <r>
    <d v="2023-10-19T00:00:00"/>
    <d v="1899-12-30T00:55:00"/>
    <x v="468"/>
    <n v="6"/>
    <s v="Résolu"/>
    <s v="Kwango"/>
    <s v="CLI-00094"/>
    <x v="3"/>
    <s v="ZTE"/>
    <s v="Pro Monde"/>
    <s v="B2B"/>
  </r>
  <r>
    <d v="2023-10-20T00:00:00"/>
    <d v="1899-12-30T02:43:00"/>
    <x v="468"/>
    <n v="19"/>
    <s v="Résolu"/>
    <s v="Kwango"/>
    <s v="CLI-00094"/>
    <x v="3"/>
    <s v="ZTE"/>
    <s v="Pro Monde"/>
    <s v="B2B"/>
  </r>
  <r>
    <d v="2023-10-25T00:00:00"/>
    <d v="1899-12-30T00:15:00"/>
    <x v="468"/>
    <n v="114"/>
    <s v="En Cours"/>
    <s v="Kwango"/>
    <s v="CLI-00094"/>
    <x v="3"/>
    <s v="ZTE"/>
    <s v="Pro Monde"/>
    <s v="B2B"/>
  </r>
  <r>
    <d v="2023-10-31T00:00:00"/>
    <d v="1899-12-30T22:12:00"/>
    <x v="469"/>
    <n v="90"/>
    <s v="Résolu"/>
    <s v="Non Trouvée"/>
    <s v="Aucun"/>
    <x v="1"/>
    <s v="Non Trouvée"/>
    <s v="Pas d'information"/>
    <s v="B2C"/>
  </r>
  <r>
    <d v="2023-10-11T00:00:00"/>
    <d v="1899-12-30T12:00:00"/>
    <x v="470"/>
    <n v="30"/>
    <s v="Résolu"/>
    <s v="Non Trouvée"/>
    <s v="Aucun"/>
    <x v="1"/>
    <s v="Non Trouvée"/>
    <s v="Pas d'information"/>
    <s v="B2C"/>
  </r>
  <r>
    <d v="2023-10-11T00:00:00"/>
    <d v="1899-12-30T22:11:00"/>
    <x v="471"/>
    <n v="32"/>
    <s v="Non Résolu"/>
    <s v="Non Trouvée"/>
    <s v="Aucun"/>
    <x v="1"/>
    <s v="Non Trouvée"/>
    <s v="Pas d'information"/>
    <s v="B2C"/>
  </r>
  <r>
    <d v="2023-10-24T00:00:00"/>
    <d v="1899-12-30T13:18:00"/>
    <x v="472"/>
    <n v="86"/>
    <s v="Non Résolu"/>
    <s v="Sud-Ubangi"/>
    <s v="CLI-00070"/>
    <x v="3"/>
    <s v="Nokia"/>
    <s v="Illimité 50Go"/>
    <s v="B2C"/>
  </r>
  <r>
    <d v="2023-10-28T00:00:00"/>
    <d v="1899-12-30T18:02:00"/>
    <x v="472"/>
    <n v="42"/>
    <s v="Résolu"/>
    <s v="Sud-Ubangi"/>
    <s v="CLI-00070"/>
    <x v="3"/>
    <s v="Nokia"/>
    <s v="Illimité 50Go"/>
    <s v="B2C"/>
  </r>
  <r>
    <d v="2023-10-11T00:00:00"/>
    <d v="1899-12-30T20:05:00"/>
    <x v="473"/>
    <n v="118"/>
    <s v="Résolu"/>
    <s v="Mongala"/>
    <s v="CLI-00011"/>
    <x v="0"/>
    <s v="ZTE"/>
    <s v="Illimité 50Go"/>
    <s v="B2C"/>
  </r>
  <r>
    <d v="2023-10-15T00:00:00"/>
    <d v="1899-12-30T03:51:00"/>
    <x v="473"/>
    <n v="108"/>
    <s v="En Cours"/>
    <s v="Mongala"/>
    <s v="CLI-00011"/>
    <x v="0"/>
    <s v="ZTE"/>
    <s v="Illimité 50Go"/>
    <s v="B2C"/>
  </r>
  <r>
    <d v="2023-10-27T00:00:00"/>
    <d v="1899-12-30T18:58:00"/>
    <x v="474"/>
    <n v="68"/>
    <s v="En Cours"/>
    <s v="Equateur"/>
    <s v="CLI-00091"/>
    <x v="3"/>
    <s v="Nokia"/>
    <s v="Bloqué 5Go"/>
    <s v="B2C"/>
  </r>
  <r>
    <d v="2023-10-03T00:00:00"/>
    <d v="1899-12-30T15:29:00"/>
    <x v="475"/>
    <n v="106"/>
    <s v="En Cours"/>
    <s v="Kongo-Central"/>
    <s v="CLI-00012"/>
    <x v="3"/>
    <s v="Nokia"/>
    <s v="Illimité 50Go"/>
    <s v="B2C"/>
  </r>
  <r>
    <d v="2023-10-03T00:00:00"/>
    <d v="1899-12-30T18:37:00"/>
    <x v="475"/>
    <n v="72"/>
    <s v="Résolu"/>
    <s v="Kongo-Central"/>
    <s v="CLI-00012"/>
    <x v="3"/>
    <s v="Nokia"/>
    <s v="Illimité 50Go"/>
    <s v="B2C"/>
  </r>
  <r>
    <d v="2023-10-31T00:00:00"/>
    <d v="1899-12-30T00:57:00"/>
    <x v="475"/>
    <n v="117"/>
    <s v="Non Résolu"/>
    <s v="Kongo-Central"/>
    <s v="CLI-00012"/>
    <x v="3"/>
    <s v="Nokia"/>
    <s v="Illimité 50Go"/>
    <s v="B2C"/>
  </r>
  <r>
    <d v="2023-10-02T00:00:00"/>
    <d v="1899-12-30T04:08:00"/>
    <x v="476"/>
    <n v="33"/>
    <s v="En Cours"/>
    <s v="Nord-Ubangi"/>
    <s v="CLI-00112"/>
    <x v="2"/>
    <s v="Nokia"/>
    <s v="Bloqué 5Go"/>
    <s v="B2C"/>
  </r>
  <r>
    <d v="2023-10-26T00:00:00"/>
    <d v="1899-12-30T07:37:00"/>
    <x v="476"/>
    <n v="56"/>
    <s v="Non Résolu"/>
    <s v="Nord-Ubangi"/>
    <s v="CLI-00112"/>
    <x v="2"/>
    <s v="Nokia"/>
    <s v="Bloqué 5Go"/>
    <s v="B2C"/>
  </r>
  <r>
    <d v="2023-10-27T00:00:00"/>
    <d v="1899-12-30T14:58:00"/>
    <x v="476"/>
    <n v="98"/>
    <s v="En Cours"/>
    <s v="Nord-Ubangi"/>
    <s v="CLI-00112"/>
    <x v="2"/>
    <s v="Nokia"/>
    <s v="Bloqué 5Go"/>
    <s v="B2C"/>
  </r>
  <r>
    <d v="2023-10-22T00:00:00"/>
    <d v="1899-12-30T20:41:00"/>
    <x v="477"/>
    <n v="65"/>
    <s v="Résolu"/>
    <s v="Tanganyika"/>
    <s v="CLI-00007"/>
    <x v="0"/>
    <s v="Ericsson"/>
    <s v="Bloqué 5Go"/>
    <s v="B2C"/>
  </r>
  <r>
    <d v="2023-10-07T00:00:00"/>
    <d v="1899-12-30T09:13:00"/>
    <x v="478"/>
    <n v="109"/>
    <s v="En Cours"/>
    <s v="Non Trouvée"/>
    <s v="Aucun"/>
    <x v="1"/>
    <s v="Non Trouvée"/>
    <s v="Pas d'information"/>
    <s v="B2C"/>
  </r>
  <r>
    <d v="2023-10-27T00:00:00"/>
    <d v="1899-12-30T01:44:00"/>
    <x v="479"/>
    <n v="29"/>
    <s v="En Cours"/>
    <s v="Non Trouvée"/>
    <s v="Aucun"/>
    <x v="1"/>
    <s v="Non Trouvée"/>
    <s v="Pas d'information"/>
    <s v="B2C"/>
  </r>
  <r>
    <d v="2023-10-05T00:00:00"/>
    <d v="1899-12-30T02:11:00"/>
    <x v="480"/>
    <n v="81"/>
    <s v="Résolu"/>
    <s v="Non Trouvée"/>
    <s v="Aucun"/>
    <x v="1"/>
    <s v="Non Trouvée"/>
    <s v="Pas d'information"/>
    <s v="B2C"/>
  </r>
  <r>
    <d v="2023-10-22T00:00:00"/>
    <d v="1899-12-30T03:26:00"/>
    <x v="481"/>
    <n v="43"/>
    <s v="Résolu"/>
    <s v="Non Trouvée"/>
    <s v="Aucun"/>
    <x v="1"/>
    <s v="Non Trouvée"/>
    <s v="Pas d'information"/>
    <s v="B2C"/>
  </r>
  <r>
    <d v="2023-10-29T00:00:00"/>
    <d v="1899-12-30T23:32:00"/>
    <x v="481"/>
    <n v="37"/>
    <s v="Non Résolu"/>
    <s v="Non Trouvée"/>
    <s v="Aucun"/>
    <x v="1"/>
    <s v="Non Trouvée"/>
    <s v="Pas d'information"/>
    <s v="B2C"/>
  </r>
  <r>
    <d v="2023-10-31T00:00:00"/>
    <d v="1899-12-30T21:53:00"/>
    <x v="481"/>
    <n v="16"/>
    <s v="Non Résolu"/>
    <s v="Non Trouvée"/>
    <s v="Aucun"/>
    <x v="1"/>
    <s v="Non Trouvée"/>
    <s v="Pas d'information"/>
    <s v="B2C"/>
  </r>
  <r>
    <d v="2023-10-06T00:00:00"/>
    <d v="1899-12-30T15:22:00"/>
    <x v="482"/>
    <n v="52"/>
    <s v="Résolu"/>
    <s v="Non Trouvée"/>
    <s v="Aucun"/>
    <x v="1"/>
    <s v="Non Trouvée"/>
    <s v="Pas d'information"/>
    <s v="B2C"/>
  </r>
  <r>
    <d v="2023-10-12T00:00:00"/>
    <d v="1899-12-30T22:12:00"/>
    <x v="482"/>
    <n v="40"/>
    <s v="En Cours"/>
    <s v="Non Trouvée"/>
    <s v="Aucun"/>
    <x v="1"/>
    <s v="Non Trouvée"/>
    <s v="Pas d'information"/>
    <s v="B2C"/>
  </r>
  <r>
    <d v="2023-10-16T00:00:00"/>
    <d v="1899-12-30T21:07:00"/>
    <x v="482"/>
    <n v="16"/>
    <s v="Non Résolu"/>
    <s v="Non Trouvée"/>
    <s v="Aucun"/>
    <x v="1"/>
    <s v="Non Trouvée"/>
    <s v="Pas d'information"/>
    <s v="B2C"/>
  </r>
  <r>
    <d v="2023-10-17T00:00:00"/>
    <d v="1899-12-30T11:01:00"/>
    <x v="482"/>
    <n v="100"/>
    <s v="Non Résolu"/>
    <s v="Non Trouvée"/>
    <s v="Aucun"/>
    <x v="1"/>
    <s v="Non Trouvée"/>
    <s v="Pas d'information"/>
    <s v="B2C"/>
  </r>
  <r>
    <d v="2023-10-02T00:00:00"/>
    <d v="1899-12-30T10:15:00"/>
    <x v="483"/>
    <n v="98"/>
    <s v="Non Résolu"/>
    <s v="Non Trouvée"/>
    <s v="Aucun"/>
    <x v="1"/>
    <s v="Non Trouvée"/>
    <s v="Pas d'information"/>
    <s v="B2C"/>
  </r>
  <r>
    <d v="2023-10-22T00:00:00"/>
    <d v="1899-12-30T23:44:00"/>
    <x v="483"/>
    <n v="72"/>
    <s v="Non Résolu"/>
    <s v="Non Trouvée"/>
    <s v="Aucun"/>
    <x v="1"/>
    <s v="Non Trouvée"/>
    <s v="Pas d'information"/>
    <s v="B2C"/>
  </r>
  <r>
    <d v="2023-10-02T00:00:00"/>
    <d v="1899-12-30T07:30:00"/>
    <x v="484"/>
    <n v="90"/>
    <s v="Non Résolu"/>
    <s v="Kasai-Oriental"/>
    <s v="CLI-00107"/>
    <x v="2"/>
    <s v="Nokia"/>
    <s v="Premium 5G 150Go"/>
    <s v="B2C"/>
  </r>
  <r>
    <d v="2023-10-04T00:00:00"/>
    <d v="1899-12-30T10:13:00"/>
    <x v="485"/>
    <n v="62"/>
    <s v="Résolu"/>
    <s v="Non Trouvée"/>
    <s v="Aucun"/>
    <x v="1"/>
    <s v="Non Trouvée"/>
    <s v="Pas d'information"/>
    <s v="B2C"/>
  </r>
  <r>
    <d v="2023-10-16T00:00:00"/>
    <d v="1899-12-30T00:23:00"/>
    <x v="486"/>
    <n v="74"/>
    <s v="Résolu"/>
    <s v="Kasai-Central"/>
    <s v="CLI-00060"/>
    <x v="0"/>
    <s v="Huawei"/>
    <s v="Pro Monde"/>
    <s v="B2B"/>
  </r>
  <r>
    <d v="2023-10-01T00:00:00"/>
    <d v="1899-12-30T22:13:00"/>
    <x v="487"/>
    <n v="76"/>
    <s v="En Cours"/>
    <s v="Kongo-Central"/>
    <s v="CLI-00012"/>
    <x v="2"/>
    <s v="Ericsson"/>
    <s v="Illimité 50Go"/>
    <s v="B2C"/>
  </r>
  <r>
    <d v="2023-10-14T00:00:00"/>
    <d v="1899-12-30T00:33:00"/>
    <x v="487"/>
    <n v="56"/>
    <s v="En Cours"/>
    <s v="Kongo-Central"/>
    <s v="CLI-00012"/>
    <x v="2"/>
    <s v="Ericsson"/>
    <s v="Illimité 50Go"/>
    <s v="B2C"/>
  </r>
  <r>
    <d v="2023-10-14T00:00:00"/>
    <d v="1899-12-30T01:01:00"/>
    <x v="487"/>
    <n v="119"/>
    <s v="Non Résolu"/>
    <s v="Kongo-Central"/>
    <s v="CLI-00012"/>
    <x v="2"/>
    <s v="Ericsson"/>
    <s v="Illimité 50Go"/>
    <s v="B2C"/>
  </r>
  <r>
    <d v="2023-10-19T00:00:00"/>
    <d v="1899-12-30T09:10:00"/>
    <x v="487"/>
    <n v="81"/>
    <s v="Non Résolu"/>
    <s v="Kongo-Central"/>
    <s v="CLI-00012"/>
    <x v="2"/>
    <s v="Ericsson"/>
    <s v="Illimité 50Go"/>
    <s v="B2C"/>
  </r>
  <r>
    <d v="2023-10-20T00:00:00"/>
    <d v="1899-12-30T11:26:00"/>
    <x v="487"/>
    <n v="57"/>
    <s v="Résolu"/>
    <s v="Kongo-Central"/>
    <s v="CLI-00012"/>
    <x v="2"/>
    <s v="Ericsson"/>
    <s v="Illimité 50Go"/>
    <s v="B2C"/>
  </r>
  <r>
    <d v="2023-10-25T00:00:00"/>
    <d v="1899-12-30T13:16:00"/>
    <x v="488"/>
    <n v="60"/>
    <s v="Non Résolu"/>
    <s v="Tanganyika"/>
    <s v="CLI-00007"/>
    <x v="0"/>
    <s v="ZTE"/>
    <s v="Bloqué 5Go"/>
    <s v="B2C"/>
  </r>
  <r>
    <d v="2023-10-03T00:00:00"/>
    <d v="1899-12-30T20:50:00"/>
    <x v="489"/>
    <n v="91"/>
    <s v="Non Résolu"/>
    <s v="Non Trouvée"/>
    <s v="Aucun"/>
    <x v="1"/>
    <s v="Non Trouvée"/>
    <s v="Pas d'information"/>
    <s v="B2C"/>
  </r>
  <r>
    <d v="2023-10-13T00:00:00"/>
    <d v="1899-12-30T14:59:00"/>
    <x v="489"/>
    <n v="113"/>
    <s v="En Cours"/>
    <s v="Non Trouvée"/>
    <s v="Aucun"/>
    <x v="1"/>
    <s v="Non Trouvée"/>
    <s v="Pas d'information"/>
    <s v="B2C"/>
  </r>
  <r>
    <d v="2023-10-19T00:00:00"/>
    <d v="1899-12-30T05:49:00"/>
    <x v="489"/>
    <n v="64"/>
    <s v="Résolu"/>
    <s v="Non Trouvée"/>
    <s v="Aucun"/>
    <x v="1"/>
    <s v="Non Trouvée"/>
    <s v="Pas d'information"/>
    <s v="B2C"/>
  </r>
  <r>
    <d v="2023-10-08T00:00:00"/>
    <d v="1899-12-30T07:19:00"/>
    <x v="490"/>
    <n v="50"/>
    <s v="Non Résolu"/>
    <s v="Non Trouvée"/>
    <s v="Aucun"/>
    <x v="1"/>
    <s v="Non Trouvée"/>
    <s v="Pas d'information"/>
    <s v="B2C"/>
  </r>
  <r>
    <d v="2023-10-22T00:00:00"/>
    <d v="1899-12-30T23:57:00"/>
    <x v="490"/>
    <n v="79"/>
    <s v="En Cours"/>
    <s v="Non Trouvée"/>
    <s v="Aucun"/>
    <x v="1"/>
    <s v="Non Trouvée"/>
    <s v="Pas d'information"/>
    <s v="B2C"/>
  </r>
  <r>
    <d v="2023-10-03T00:00:00"/>
    <d v="1899-12-30T16:28:00"/>
    <x v="491"/>
    <n v="53"/>
    <s v="Résolu"/>
    <s v="Non Trouvée"/>
    <s v="Aucun"/>
    <x v="1"/>
    <s v="Non Trouvée"/>
    <s v="Pas d'information"/>
    <s v="B2C"/>
  </r>
  <r>
    <d v="2023-10-02T00:00:00"/>
    <d v="1899-12-30T22:54:00"/>
    <x v="492"/>
    <n v="32"/>
    <s v="Non Résolu"/>
    <s v="Non Trouvée"/>
    <s v="Aucun"/>
    <x v="1"/>
    <s v="Non Trouvée"/>
    <s v="Pas d'information"/>
    <s v="B2C"/>
  </r>
  <r>
    <d v="2023-10-12T00:00:00"/>
    <d v="1899-12-30T03:05:00"/>
    <x v="493"/>
    <n v="110"/>
    <s v="Non Résolu"/>
    <s v="Sud-Kivu"/>
    <s v="CLI-00054"/>
    <x v="2"/>
    <s v="Ericsson"/>
    <s v="Bloqué 5Go"/>
    <s v="B2C"/>
  </r>
  <r>
    <d v="2023-10-29T00:00:00"/>
    <d v="1899-12-30T15:38:00"/>
    <x v="493"/>
    <n v="119"/>
    <s v="Résolu"/>
    <s v="Sud-Kivu"/>
    <s v="CLI-00054"/>
    <x v="2"/>
    <s v="Ericsson"/>
    <s v="Bloqué 5Go"/>
    <s v="B2C"/>
  </r>
  <r>
    <d v="2023-10-08T00:00:00"/>
    <d v="1899-12-30T01:42:00"/>
    <x v="494"/>
    <n v="94"/>
    <s v="Non Résolu"/>
    <s v="Equateur"/>
    <s v="CLI-00091"/>
    <x v="2"/>
    <s v="Ericsson"/>
    <s v="Bloqué 5Go"/>
    <s v="B2C"/>
  </r>
  <r>
    <d v="2023-10-22T00:00:00"/>
    <d v="1899-12-30T17:24:00"/>
    <x v="495"/>
    <n v="55"/>
    <s v="Non Résolu"/>
    <s v="Kasai-Oriental"/>
    <s v="CLI-00107"/>
    <x v="3"/>
    <s v="Ericsson"/>
    <s v="Premium 5G 150Go"/>
    <s v="B2C"/>
  </r>
  <r>
    <d v="2023-10-04T00:00:00"/>
    <d v="1899-12-30T14:29:00"/>
    <x v="496"/>
    <n v="106"/>
    <s v="Non Résolu"/>
    <s v="Haut-Katanga"/>
    <s v="CLI-00059"/>
    <x v="2"/>
    <s v="Huawei"/>
    <s v="Pro Monde"/>
    <s v="B2B"/>
  </r>
  <r>
    <d v="2023-10-22T00:00:00"/>
    <d v="1899-12-30T15:33:00"/>
    <x v="497"/>
    <n v="67"/>
    <s v="Résolu"/>
    <s v="Haut-Uele"/>
    <s v="CLI-00055"/>
    <x v="3"/>
    <s v="Nokia"/>
    <s v="Pro Monde"/>
    <s v="B2B"/>
  </r>
  <r>
    <d v="2023-10-18T00:00:00"/>
    <d v="1899-12-30T07:06:00"/>
    <x v="498"/>
    <n v="119"/>
    <s v="Résolu"/>
    <s v="Non Trouvée"/>
    <s v="Aucun"/>
    <x v="1"/>
    <s v="Non Trouvée"/>
    <s v="Pas d'information"/>
    <s v="B2C"/>
  </r>
  <r>
    <d v="2023-10-23T00:00:00"/>
    <d v="1899-12-30T22:31:00"/>
    <x v="499"/>
    <n v="36"/>
    <s v="Résolu"/>
    <s v="Non Trouvée"/>
    <s v="Aucun"/>
    <x v="1"/>
    <s v="Non Trouvée"/>
    <s v="Pas d'information"/>
    <s v="B2C"/>
  </r>
  <r>
    <d v="2023-10-14T00:00:00"/>
    <d v="1899-12-30T22:46:00"/>
    <x v="500"/>
    <n v="72"/>
    <s v="Non Résolu"/>
    <s v="Sankuru"/>
    <s v="CLI-00197"/>
    <x v="0"/>
    <s v="Nokia"/>
    <s v="Illimité 50Go"/>
    <s v="B2C"/>
  </r>
  <r>
    <d v="2023-10-12T00:00:00"/>
    <d v="1899-12-30T09:21:00"/>
    <x v="501"/>
    <n v="76"/>
    <s v="Non Résolu"/>
    <s v="Non Trouvée"/>
    <s v="Aucun"/>
    <x v="1"/>
    <s v="Non Trouvée"/>
    <s v="Pas d'information"/>
    <s v="B2C"/>
  </r>
  <r>
    <d v="2023-10-13T00:00:00"/>
    <d v="1899-12-30T22:18:00"/>
    <x v="502"/>
    <n v="118"/>
    <s v="En Cours"/>
    <s v="Non Trouvée"/>
    <s v="Aucun"/>
    <x v="1"/>
    <s v="Non Trouvée"/>
    <s v="Pas d'information"/>
    <s v="B2C"/>
  </r>
  <r>
    <d v="2023-10-16T00:00:00"/>
    <d v="1899-12-30T03:27:00"/>
    <x v="503"/>
    <n v="107"/>
    <s v="Non Résolu"/>
    <s v="Non Trouvée"/>
    <s v="Aucun"/>
    <x v="1"/>
    <s v="Non Trouvée"/>
    <s v="Pas d'information"/>
    <s v="B2C"/>
  </r>
  <r>
    <d v="2023-10-16T00:00:00"/>
    <d v="1899-12-30T19:28:00"/>
    <x v="503"/>
    <n v="7"/>
    <s v="En Cours"/>
    <s v="Non Trouvée"/>
    <s v="Aucun"/>
    <x v="1"/>
    <s v="Non Trouvée"/>
    <s v="Pas d'information"/>
    <s v="B2C"/>
  </r>
  <r>
    <d v="2023-10-02T00:00:00"/>
    <d v="1899-12-30T01:06:00"/>
    <x v="504"/>
    <n v="83"/>
    <s v="Non Résolu"/>
    <s v="Non Trouvée"/>
    <s v="Aucun"/>
    <x v="1"/>
    <s v="Non Trouvée"/>
    <s v="Pas d'information"/>
    <s v="B2C"/>
  </r>
  <r>
    <d v="2023-10-19T00:00:00"/>
    <d v="1899-12-30T21:46:00"/>
    <x v="504"/>
    <n v="8"/>
    <s v="En Cours"/>
    <s v="Non Trouvée"/>
    <s v="Aucun"/>
    <x v="1"/>
    <s v="Non Trouvée"/>
    <s v="Pas d'information"/>
    <s v="B2C"/>
  </r>
  <r>
    <d v="2023-10-24T00:00:00"/>
    <d v="1899-12-30T02:27:00"/>
    <x v="504"/>
    <n v="104"/>
    <s v="Non Résolu"/>
    <s v="Non Trouvée"/>
    <s v="Aucun"/>
    <x v="1"/>
    <s v="Non Trouvée"/>
    <s v="Pas d'information"/>
    <s v="B2C"/>
  </r>
  <r>
    <d v="2023-10-11T00:00:00"/>
    <d v="1899-12-30T04:02:00"/>
    <x v="505"/>
    <n v="110"/>
    <s v="Résolu"/>
    <s v="Tanganyika"/>
    <s v="CLI-00007"/>
    <x v="0"/>
    <s v="Huawei"/>
    <s v="Bloqué 5Go"/>
    <s v="B2C"/>
  </r>
  <r>
    <d v="2023-10-10T00:00:00"/>
    <d v="1899-12-30T12:35:00"/>
    <x v="506"/>
    <n v="27"/>
    <s v="En Cours"/>
    <s v="Kwilu"/>
    <s v="CLI-00009"/>
    <x v="0"/>
    <s v="Ericsson"/>
    <s v="Pro Monde"/>
    <s v="B2B"/>
  </r>
  <r>
    <d v="2023-10-13T00:00:00"/>
    <d v="1899-12-30T18:07:00"/>
    <x v="506"/>
    <n v="112"/>
    <s v="En Cours"/>
    <s v="Kwilu"/>
    <s v="CLI-00009"/>
    <x v="0"/>
    <s v="Ericsson"/>
    <s v="Pro Monde"/>
    <s v="B2B"/>
  </r>
  <r>
    <d v="2023-10-22T00:00:00"/>
    <d v="1899-12-30T04:01:00"/>
    <x v="506"/>
    <n v="78"/>
    <s v="Non Résolu"/>
    <s v="Kwilu"/>
    <s v="CLI-00009"/>
    <x v="0"/>
    <s v="Ericsson"/>
    <s v="Pro Monde"/>
    <s v="B2B"/>
  </r>
  <r>
    <d v="2023-10-31T00:00:00"/>
    <d v="1899-12-30T18:25:00"/>
    <x v="507"/>
    <n v="16"/>
    <s v="En Cours"/>
    <s v="Non Trouvée"/>
    <s v="Aucun"/>
    <x v="1"/>
    <s v="Non Trouvée"/>
    <s v="Pas d'information"/>
    <s v="B2C"/>
  </r>
  <r>
    <d v="2023-10-12T00:00:00"/>
    <d v="1899-12-30T23:50:00"/>
    <x v="508"/>
    <n v="29"/>
    <s v="Non Résolu"/>
    <s v="Non Trouvée"/>
    <s v="Aucun"/>
    <x v="1"/>
    <s v="Non Trouvée"/>
    <s v="Pas d'information"/>
    <s v="B2C"/>
  </r>
  <r>
    <d v="2023-10-01T00:00:00"/>
    <d v="1899-12-30T23:39:00"/>
    <x v="509"/>
    <n v="29"/>
    <s v="En Cours"/>
    <s v="Bas-Uele"/>
    <s v="CLI-00029"/>
    <x v="3"/>
    <s v="Huawei"/>
    <s v="Pro Monde"/>
    <s v="B2B"/>
  </r>
  <r>
    <d v="2023-10-02T00:00:00"/>
    <d v="1899-12-30T22:08:00"/>
    <x v="509"/>
    <n v="32"/>
    <s v="Résolu"/>
    <s v="Bas-Uele"/>
    <s v="CLI-00029"/>
    <x v="3"/>
    <s v="Huawei"/>
    <s v="Pro Monde"/>
    <s v="B2B"/>
  </r>
  <r>
    <d v="2023-10-06T00:00:00"/>
    <d v="1899-12-30T00:26:00"/>
    <x v="509"/>
    <n v="67"/>
    <s v="En Cours"/>
    <s v="Bas-Uele"/>
    <s v="CLI-00029"/>
    <x v="3"/>
    <s v="Huawei"/>
    <s v="Pro Monde"/>
    <s v="B2B"/>
  </r>
  <r>
    <d v="2023-10-10T00:00:00"/>
    <d v="1899-12-30T22:07:00"/>
    <x v="509"/>
    <n v="119"/>
    <s v="Résolu"/>
    <s v="Bas-Uele"/>
    <s v="CLI-00029"/>
    <x v="3"/>
    <s v="Huawei"/>
    <s v="Pro Monde"/>
    <s v="B2B"/>
  </r>
  <r>
    <d v="2023-10-24T00:00:00"/>
    <d v="1899-12-30T10:28:00"/>
    <x v="509"/>
    <n v="26"/>
    <s v="Résolu"/>
    <s v="Bas-Uele"/>
    <s v="CLI-00029"/>
    <x v="3"/>
    <s v="Huawei"/>
    <s v="Pro Monde"/>
    <s v="B2B"/>
  </r>
  <r>
    <d v="2023-10-21T00:00:00"/>
    <d v="1899-12-30T02:49:00"/>
    <x v="510"/>
    <n v="39"/>
    <s v="Résolu"/>
    <s v="Non Trouvée"/>
    <s v="Aucun"/>
    <x v="1"/>
    <s v="Non Trouvée"/>
    <s v="Pas d'information"/>
    <s v="B2C"/>
  </r>
  <r>
    <d v="2023-10-10T00:00:00"/>
    <d v="1899-12-30T22:55:00"/>
    <x v="511"/>
    <n v="57"/>
    <s v="Résolu"/>
    <s v="Non Trouvée"/>
    <s v="Aucun"/>
    <x v="1"/>
    <s v="Non Trouvée"/>
    <s v="Pas d'information"/>
    <s v="B2C"/>
  </r>
  <r>
    <d v="2023-10-19T00:00:00"/>
    <d v="1899-12-30T13:24:00"/>
    <x v="511"/>
    <n v="54"/>
    <s v="En Cours"/>
    <s v="Non Trouvée"/>
    <s v="Aucun"/>
    <x v="1"/>
    <s v="Non Trouvée"/>
    <s v="Pas d'information"/>
    <s v="B2C"/>
  </r>
  <r>
    <d v="2023-10-21T00:00:00"/>
    <d v="1899-12-30T22:34:00"/>
    <x v="512"/>
    <n v="33"/>
    <s v="En Cours"/>
    <s v="Non Trouvée"/>
    <s v="Aucun"/>
    <x v="1"/>
    <s v="Non Trouvée"/>
    <s v="Pas d'information"/>
    <s v="B2C"/>
  </r>
  <r>
    <d v="2023-10-28T00:00:00"/>
    <d v="1899-12-30T11:36:00"/>
    <x v="512"/>
    <n v="81"/>
    <s v="Non Résolu"/>
    <s v="Non Trouvée"/>
    <s v="Aucun"/>
    <x v="1"/>
    <s v="Non Trouvée"/>
    <s v="Pas d'information"/>
    <s v="B2C"/>
  </r>
  <r>
    <d v="2023-10-04T00:00:00"/>
    <d v="1899-12-30T16:09:00"/>
    <x v="513"/>
    <n v="82"/>
    <s v="Résolu"/>
    <s v="Non Trouvée"/>
    <s v="Aucun"/>
    <x v="1"/>
    <s v="Non Trouvée"/>
    <s v="Pas d'information"/>
    <s v="B2C"/>
  </r>
  <r>
    <d v="2023-10-06T00:00:00"/>
    <d v="1899-12-30T08:47:00"/>
    <x v="514"/>
    <n v="32"/>
    <s v="Résolu"/>
    <s v="Non Trouvée"/>
    <s v="Aucun"/>
    <x v="1"/>
    <s v="Non Trouvée"/>
    <s v="Pas d'information"/>
    <s v="B2C"/>
  </r>
  <r>
    <d v="2023-10-26T00:00:00"/>
    <d v="1899-12-30T01:29:00"/>
    <x v="514"/>
    <n v="15"/>
    <s v="En Cours"/>
    <s v="Non Trouvée"/>
    <s v="Aucun"/>
    <x v="1"/>
    <s v="Non Trouvée"/>
    <s v="Pas d'information"/>
    <s v="B2C"/>
  </r>
  <r>
    <d v="2023-10-15T00:00:00"/>
    <d v="1899-12-30T14:43:00"/>
    <x v="515"/>
    <n v="11"/>
    <s v="En Cours"/>
    <s v="Non Trouvée"/>
    <s v="Aucun"/>
    <x v="1"/>
    <s v="Non Trouvée"/>
    <s v="Pas d'information"/>
    <s v="B2C"/>
  </r>
  <r>
    <d v="2023-10-16T00:00:00"/>
    <d v="1899-12-30T11:30:00"/>
    <x v="515"/>
    <n v="67"/>
    <s v="En Cours"/>
    <s v="Non Trouvée"/>
    <s v="Aucun"/>
    <x v="1"/>
    <s v="Non Trouvée"/>
    <s v="Pas d'information"/>
    <s v="B2C"/>
  </r>
  <r>
    <d v="2023-10-11T00:00:00"/>
    <d v="1899-12-30T06:44:00"/>
    <x v="516"/>
    <n v="43"/>
    <s v="Non Résolu"/>
    <s v="Sud-Ubangi"/>
    <s v="CLI-00070"/>
    <x v="3"/>
    <s v="Ericsson"/>
    <s v="Illimité 50Go"/>
    <s v="B2C"/>
  </r>
  <r>
    <d v="2023-10-12T00:00:00"/>
    <d v="1899-12-30T21:43:00"/>
    <x v="516"/>
    <n v="45"/>
    <s v="En Cours"/>
    <s v="Sud-Ubangi"/>
    <s v="CLI-00070"/>
    <x v="3"/>
    <s v="Ericsson"/>
    <s v="Illimité 50Go"/>
    <s v="B2C"/>
  </r>
  <r>
    <d v="2023-10-03T00:00:00"/>
    <d v="1899-12-30T02:17:00"/>
    <x v="517"/>
    <n v="61"/>
    <s v="Non Résolu"/>
    <s v="Non Trouvée"/>
    <s v="Aucun"/>
    <x v="1"/>
    <s v="Non Trouvée"/>
    <s v="Pas d'information"/>
    <s v="B2C"/>
  </r>
  <r>
    <d v="2023-10-06T00:00:00"/>
    <d v="1899-12-30T01:15:00"/>
    <x v="518"/>
    <n v="81"/>
    <s v="En Cours"/>
    <s v="Kasai"/>
    <s v="CLI-00057"/>
    <x v="0"/>
    <s v="ZTE"/>
    <s v="Bloqué 5Go"/>
    <s v="B2C"/>
  </r>
  <r>
    <d v="2023-10-21T00:00:00"/>
    <d v="1899-12-30T22:16:00"/>
    <x v="518"/>
    <n v="22"/>
    <s v="Non Résolu"/>
    <s v="Kasai"/>
    <s v="CLI-00057"/>
    <x v="0"/>
    <s v="ZTE"/>
    <s v="Bloqué 5Go"/>
    <s v="B2C"/>
  </r>
  <r>
    <d v="2023-10-14T00:00:00"/>
    <d v="1899-12-30T15:30:00"/>
    <x v="519"/>
    <n v="95"/>
    <s v="Résolu"/>
    <s v="Haut-Katanga"/>
    <s v="CLI-00059"/>
    <x v="2"/>
    <s v="Ericsson"/>
    <s v="Pro Monde"/>
    <s v="B2B"/>
  </r>
  <r>
    <d v="2023-10-23T00:00:00"/>
    <d v="1899-12-30T20:01:00"/>
    <x v="519"/>
    <n v="109"/>
    <s v="Non Résolu"/>
    <s v="Haut-Katanga"/>
    <s v="CLI-00059"/>
    <x v="2"/>
    <s v="Ericsson"/>
    <s v="Pro Monde"/>
    <s v="B2B"/>
  </r>
  <r>
    <d v="2023-10-15T00:00:00"/>
    <d v="1899-12-30T06:33:00"/>
    <x v="520"/>
    <n v="26"/>
    <s v="Non Résolu"/>
    <s v="Non Trouvée"/>
    <s v="Aucun"/>
    <x v="1"/>
    <s v="Non Trouvée"/>
    <s v="Pas d'information"/>
    <s v="B2C"/>
  </r>
  <r>
    <d v="2023-10-16T00:00:00"/>
    <d v="1899-12-30T02:36:00"/>
    <x v="520"/>
    <n v="39"/>
    <s v="En Cours"/>
    <s v="Non Trouvée"/>
    <s v="Aucun"/>
    <x v="1"/>
    <s v="Non Trouvée"/>
    <s v="Pas d'information"/>
    <s v="B2C"/>
  </r>
  <r>
    <d v="2023-10-18T00:00:00"/>
    <d v="1899-12-30T22:40:00"/>
    <x v="521"/>
    <n v="33"/>
    <s v="Résolu"/>
    <s v="Non Trouvée"/>
    <s v="Aucun"/>
    <x v="1"/>
    <s v="Non Trouvée"/>
    <s v="Pas d'information"/>
    <s v="B2C"/>
  </r>
  <r>
    <d v="2023-10-17T00:00:00"/>
    <d v="1899-12-30T05:35:00"/>
    <x v="522"/>
    <n v="11"/>
    <s v="En Cours"/>
    <s v="Kasai"/>
    <s v="CLI-00057"/>
    <x v="3"/>
    <s v="ZTE"/>
    <s v="Bloqué 5Go"/>
    <s v="B2C"/>
  </r>
  <r>
    <d v="2023-10-07T00:00:00"/>
    <d v="1899-12-30T16:30:00"/>
    <x v="523"/>
    <n v="76"/>
    <s v="En Cours"/>
    <s v="Haut-Uele"/>
    <s v="CLI-00055"/>
    <x v="0"/>
    <s v="Huawei"/>
    <s v="Pro Monde"/>
    <s v="B2B"/>
  </r>
  <r>
    <d v="2023-10-17T00:00:00"/>
    <d v="1899-12-30T16:39:00"/>
    <x v="523"/>
    <n v="24"/>
    <s v="En Cours"/>
    <s v="Haut-Uele"/>
    <s v="CLI-00055"/>
    <x v="0"/>
    <s v="Huawei"/>
    <s v="Pro Monde"/>
    <s v="B2B"/>
  </r>
  <r>
    <d v="2023-10-10T00:00:00"/>
    <d v="1899-12-30T21:43:00"/>
    <x v="524"/>
    <n v="45"/>
    <s v="En Cours"/>
    <s v="Non Trouvée"/>
    <s v="Aucun"/>
    <x v="1"/>
    <s v="Non Trouvée"/>
    <s v="Pas d'information"/>
    <s v="B2C"/>
  </r>
  <r>
    <d v="2023-10-21T00:00:00"/>
    <d v="1899-12-30T10:17:00"/>
    <x v="524"/>
    <n v="26"/>
    <s v="En Cours"/>
    <s v="Non Trouvée"/>
    <s v="Aucun"/>
    <x v="1"/>
    <s v="Non Trouvée"/>
    <s v="Pas d'information"/>
    <s v="B2C"/>
  </r>
  <r>
    <d v="2023-10-23T00:00:00"/>
    <d v="1899-12-30T11:29:00"/>
    <x v="524"/>
    <n v="72"/>
    <s v="Non Résolu"/>
    <s v="Non Trouvée"/>
    <s v="Aucun"/>
    <x v="1"/>
    <s v="Non Trouvée"/>
    <s v="Pas d'information"/>
    <s v="B2C"/>
  </r>
  <r>
    <d v="2023-10-28T00:00:00"/>
    <d v="1899-12-30T07:55:00"/>
    <x v="524"/>
    <n v="81"/>
    <s v="Non Résolu"/>
    <s v="Non Trouvée"/>
    <s v="Aucun"/>
    <x v="1"/>
    <s v="Non Trouvée"/>
    <s v="Pas d'information"/>
    <s v="B2C"/>
  </r>
  <r>
    <d v="2023-10-10T00:00:00"/>
    <d v="1899-12-30T13:58:00"/>
    <x v="525"/>
    <n v="93"/>
    <s v="Non Résolu"/>
    <s v="Non Trouvée"/>
    <s v="Aucun"/>
    <x v="1"/>
    <s v="Non Trouvée"/>
    <s v="Pas d'information"/>
    <s v="B2C"/>
  </r>
  <r>
    <d v="2023-10-02T00:00:00"/>
    <d v="1899-12-30T10:59:00"/>
    <x v="526"/>
    <n v="42"/>
    <s v="En Cours"/>
    <s v="Non Trouvée"/>
    <s v="Aucun"/>
    <x v="1"/>
    <s v="Non Trouvée"/>
    <s v="Pas d'information"/>
    <s v="B2C"/>
  </r>
  <r>
    <d v="2023-10-05T00:00:00"/>
    <d v="1899-12-30T20:19:00"/>
    <x v="527"/>
    <n v="16"/>
    <s v="En Cours"/>
    <s v="Non Trouvée"/>
    <s v="Aucun"/>
    <x v="1"/>
    <s v="Non Trouvée"/>
    <s v="Pas d'information"/>
    <s v="B2C"/>
  </r>
  <r>
    <d v="2023-10-22T00:00:00"/>
    <d v="1899-12-30T08:09:00"/>
    <x v="527"/>
    <n v="97"/>
    <s v="Non Résolu"/>
    <s v="Non Trouvée"/>
    <s v="Aucun"/>
    <x v="1"/>
    <s v="Non Trouvée"/>
    <s v="Pas d'information"/>
    <s v="B2C"/>
  </r>
  <r>
    <d v="2023-10-21T00:00:00"/>
    <d v="1899-12-30T02:39:00"/>
    <x v="528"/>
    <n v="111"/>
    <s v="En Cours"/>
    <s v="Ituri"/>
    <s v="CLI-00041"/>
    <x v="3"/>
    <s v="Nokia"/>
    <s v="Pro Monde"/>
    <s v="B2B"/>
  </r>
  <r>
    <d v="2023-10-29T00:00:00"/>
    <d v="1899-12-30T21:08:00"/>
    <x v="528"/>
    <n v="112"/>
    <s v="En Cours"/>
    <s v="Ituri"/>
    <s v="CLI-00041"/>
    <x v="3"/>
    <s v="Nokia"/>
    <s v="Pro Monde"/>
    <s v="B2B"/>
  </r>
  <r>
    <d v="2023-10-14T00:00:00"/>
    <d v="1899-12-30T07:53:00"/>
    <x v="529"/>
    <n v="22"/>
    <s v="En Cours"/>
    <s v="Non Trouvée"/>
    <s v="Aucun"/>
    <x v="1"/>
    <s v="Non Trouvée"/>
    <s v="Pas d'information"/>
    <s v="B2C"/>
  </r>
  <r>
    <d v="2023-10-11T00:00:00"/>
    <d v="1899-12-30T01:18:00"/>
    <x v="530"/>
    <n v="68"/>
    <s v="En Cours"/>
    <s v="Non Trouvée"/>
    <s v="Aucun"/>
    <x v="1"/>
    <s v="Non Trouvée"/>
    <s v="Pas d'information"/>
    <s v="B2C"/>
  </r>
  <r>
    <d v="2023-10-28T00:00:00"/>
    <d v="1899-12-30T20:09:00"/>
    <x v="531"/>
    <n v="94"/>
    <s v="En Cours"/>
    <s v="Non Trouvée"/>
    <s v="Aucun"/>
    <x v="1"/>
    <s v="Non Trouvée"/>
    <s v="Pas d'information"/>
    <s v="B2C"/>
  </r>
  <r>
    <d v="2023-10-01T00:00:00"/>
    <d v="1899-12-30T16:06:00"/>
    <x v="532"/>
    <n v="74"/>
    <s v="En Cours"/>
    <s v="Ituri"/>
    <s v="CLI-00041"/>
    <x v="0"/>
    <s v="ZTE"/>
    <s v="Pro Monde"/>
    <s v="B2B"/>
  </r>
  <r>
    <d v="2023-10-12T00:00:00"/>
    <d v="1899-12-30T02:33:00"/>
    <x v="533"/>
    <n v="107"/>
    <s v="Résolu"/>
    <s v="Kasai"/>
    <s v="CLI-00057"/>
    <x v="2"/>
    <s v="Huawei"/>
    <s v="Bloqué 5Go"/>
    <s v="B2C"/>
  </r>
  <r>
    <d v="2023-10-28T00:00:00"/>
    <d v="1899-12-30T15:51:00"/>
    <x v="533"/>
    <n v="67"/>
    <s v="En Cours"/>
    <s v="Kasai"/>
    <s v="CLI-00057"/>
    <x v="2"/>
    <s v="Huawei"/>
    <s v="Bloqué 5Go"/>
    <s v="B2C"/>
  </r>
  <r>
    <d v="2023-10-12T00:00:00"/>
    <d v="1899-12-30T05:38:00"/>
    <x v="534"/>
    <n v="62"/>
    <s v="En Cours"/>
    <s v="Nord-Kivu"/>
    <s v="CLI-00043"/>
    <x v="2"/>
    <s v="Nokia"/>
    <s v="Pro Monde"/>
    <s v="B2B"/>
  </r>
  <r>
    <d v="2023-10-01T00:00:00"/>
    <d v="1899-12-30T11:50:00"/>
    <x v="535"/>
    <n v="113"/>
    <s v="Résolu"/>
    <s v="Sud-Kivu"/>
    <s v="CLI-00054"/>
    <x v="3"/>
    <s v="ZTE"/>
    <s v="Bloqué 5Go"/>
    <s v="B2C"/>
  </r>
  <r>
    <d v="2023-10-21T00:00:00"/>
    <d v="1899-12-30T11:16:00"/>
    <x v="535"/>
    <n v="17"/>
    <s v="Non Résolu"/>
    <s v="Sud-Kivu"/>
    <s v="CLI-00054"/>
    <x v="3"/>
    <s v="ZTE"/>
    <s v="Bloqué 5Go"/>
    <s v="B2C"/>
  </r>
  <r>
    <d v="2023-10-06T00:00:00"/>
    <d v="1899-12-30T21:24:00"/>
    <x v="536"/>
    <n v="45"/>
    <s v="Non Résolu"/>
    <s v="Non Trouvée"/>
    <s v="Aucun"/>
    <x v="1"/>
    <s v="Non Trouvée"/>
    <s v="Pas d'information"/>
    <s v="B2C"/>
  </r>
  <r>
    <d v="2023-10-08T00:00:00"/>
    <d v="1899-12-30T18:33:00"/>
    <x v="536"/>
    <n v="55"/>
    <s v="Non Résolu"/>
    <s v="Non Trouvée"/>
    <s v="Aucun"/>
    <x v="1"/>
    <s v="Non Trouvée"/>
    <s v="Pas d'information"/>
    <s v="B2C"/>
  </r>
  <r>
    <d v="2023-10-12T00:00:00"/>
    <d v="1899-12-30T16:56:00"/>
    <x v="536"/>
    <n v="95"/>
    <s v="Non Résolu"/>
    <s v="Non Trouvée"/>
    <s v="Aucun"/>
    <x v="1"/>
    <s v="Non Trouvée"/>
    <s v="Pas d'information"/>
    <s v="B2C"/>
  </r>
  <r>
    <d v="2023-10-04T00:00:00"/>
    <d v="1899-12-30T00:05:00"/>
    <x v="537"/>
    <n v="46"/>
    <s v="Non Résolu"/>
    <s v="Non Trouvée"/>
    <s v="Aucun"/>
    <x v="1"/>
    <s v="Non Trouvée"/>
    <s v="Pas d'information"/>
    <s v="B2C"/>
  </r>
  <r>
    <d v="2023-10-11T00:00:00"/>
    <d v="1899-12-30T19:16:00"/>
    <x v="538"/>
    <n v="9"/>
    <s v="Non Résolu"/>
    <s v="Non Trouvée"/>
    <s v="Aucun"/>
    <x v="1"/>
    <s v="Non Trouvée"/>
    <s v="Pas d'information"/>
    <s v="B2C"/>
  </r>
  <r>
    <d v="2023-10-22T00:00:00"/>
    <d v="1899-12-30T13:53:00"/>
    <x v="538"/>
    <n v="76"/>
    <s v="En Cours"/>
    <s v="Non Trouvée"/>
    <s v="Aucun"/>
    <x v="1"/>
    <s v="Non Trouvée"/>
    <s v="Pas d'information"/>
    <s v="B2C"/>
  </r>
  <r>
    <d v="2023-10-13T00:00:00"/>
    <d v="1899-12-30T18:35:00"/>
    <x v="539"/>
    <n v="33"/>
    <s v="Résolu"/>
    <s v="Non Trouvée"/>
    <s v="Aucun"/>
    <x v="1"/>
    <s v="Non Trouvée"/>
    <s v="Pas d'information"/>
    <s v="B2C"/>
  </r>
  <r>
    <d v="2023-10-08T00:00:00"/>
    <d v="1899-12-30T13:54:00"/>
    <x v="540"/>
    <n v="68"/>
    <s v="Résolu"/>
    <s v="Ituri"/>
    <s v="CLI-00041"/>
    <x v="2"/>
    <s v="ZTE"/>
    <s v="Pro Monde"/>
    <s v="B2B"/>
  </r>
  <r>
    <d v="2023-10-19T00:00:00"/>
    <d v="1899-12-30T23:48:00"/>
    <x v="540"/>
    <n v="82"/>
    <s v="Résolu"/>
    <s v="Ituri"/>
    <s v="CLI-00041"/>
    <x v="2"/>
    <s v="ZTE"/>
    <s v="Pro Monde"/>
    <s v="B2B"/>
  </r>
  <r>
    <d v="2023-10-28T00:00:00"/>
    <d v="1899-12-30T21:58:00"/>
    <x v="540"/>
    <n v="26"/>
    <s v="Non Résolu"/>
    <s v="Ituri"/>
    <s v="CLI-00041"/>
    <x v="2"/>
    <s v="ZTE"/>
    <s v="Pro Monde"/>
    <s v="B2B"/>
  </r>
  <r>
    <d v="2023-10-19T00:00:00"/>
    <d v="1899-12-30T06:54:00"/>
    <x v="541"/>
    <n v="71"/>
    <s v="En Cours"/>
    <s v="Non Trouvée"/>
    <s v="Aucun"/>
    <x v="1"/>
    <s v="Non Trouvée"/>
    <s v="Pas d'information"/>
    <s v="B2C"/>
  </r>
  <r>
    <d v="2023-10-15T00:00:00"/>
    <d v="1899-12-30T17:47:00"/>
    <x v="542"/>
    <n v="8"/>
    <s v="Résolu"/>
    <s v="Nord-Kivu"/>
    <s v="CLI-00043"/>
    <x v="0"/>
    <s v="Ericsson"/>
    <s v="Pro Monde"/>
    <s v="B2B"/>
  </r>
  <r>
    <d v="2023-10-23T00:00:00"/>
    <d v="1899-12-30T08:29:00"/>
    <x v="542"/>
    <n v="101"/>
    <s v="Non Résolu"/>
    <s v="Nord-Kivu"/>
    <s v="CLI-00043"/>
    <x v="0"/>
    <s v="Ericsson"/>
    <s v="Pro Monde"/>
    <s v="B2B"/>
  </r>
  <r>
    <d v="2023-10-24T00:00:00"/>
    <d v="1899-12-30T06:03:00"/>
    <x v="542"/>
    <n v="12"/>
    <s v="Non Résolu"/>
    <s v="Nord-Kivu"/>
    <s v="CLI-00043"/>
    <x v="0"/>
    <s v="Ericsson"/>
    <s v="Pro Monde"/>
    <s v="B2B"/>
  </r>
  <r>
    <d v="2023-10-08T00:00:00"/>
    <d v="1899-12-30T11:20:00"/>
    <x v="543"/>
    <n v="30"/>
    <s v="En Cours"/>
    <s v="Non Trouvée"/>
    <s v="Aucun"/>
    <x v="1"/>
    <s v="Non Trouvée"/>
    <s v="Pas d'information"/>
    <s v="B2C"/>
  </r>
  <r>
    <d v="2023-10-27T00:00:00"/>
    <d v="1899-12-30T09:04:00"/>
    <x v="544"/>
    <n v="74"/>
    <s v="En Cours"/>
    <s v="Mongala"/>
    <s v="CLI-00011"/>
    <x v="2"/>
    <s v="Nokia"/>
    <s v="Illimité 50Go"/>
    <s v="B2C"/>
  </r>
  <r>
    <d v="2023-10-22T00:00:00"/>
    <d v="1899-12-30T13:11:00"/>
    <x v="545"/>
    <n v="39"/>
    <s v="Non Résolu"/>
    <s v="Non Trouvée"/>
    <s v="Aucun"/>
    <x v="1"/>
    <s v="Non Trouvée"/>
    <s v="Pas d'information"/>
    <s v="B2C"/>
  </r>
  <r>
    <d v="2023-10-08T00:00:00"/>
    <d v="1899-12-30T08:13:00"/>
    <x v="546"/>
    <n v="28"/>
    <s v="Résolu"/>
    <s v="Bas-Uele"/>
    <s v="CLI-00029"/>
    <x v="3"/>
    <s v="Nokia"/>
    <s v="Pro Monde"/>
    <s v="B2B"/>
  </r>
  <r>
    <d v="2023-10-11T00:00:00"/>
    <d v="1899-12-30T20:04:00"/>
    <x v="547"/>
    <n v="25"/>
    <s v="En Cours"/>
    <s v="Non Trouvée"/>
    <s v="Aucun"/>
    <x v="1"/>
    <s v="Non Trouvée"/>
    <s v="Pas d'information"/>
    <s v="B2C"/>
  </r>
  <r>
    <d v="2023-10-09T00:00:00"/>
    <d v="1899-12-30T01:45:00"/>
    <x v="548"/>
    <n v="68"/>
    <s v="Résolu"/>
    <s v="Nord-Kivu"/>
    <s v="CLI-00043"/>
    <x v="3"/>
    <s v="Nokia"/>
    <s v="Pro Monde"/>
    <s v="B2B"/>
  </r>
  <r>
    <d v="2023-10-11T00:00:00"/>
    <d v="1899-12-30T09:24:00"/>
    <x v="548"/>
    <n v="85"/>
    <s v="Non Résolu"/>
    <s v="Nord-Kivu"/>
    <s v="CLI-00043"/>
    <x v="3"/>
    <s v="Nokia"/>
    <s v="Pro Monde"/>
    <s v="B2B"/>
  </r>
  <r>
    <d v="2023-10-12T00:00:00"/>
    <d v="1899-12-30T01:06:00"/>
    <x v="549"/>
    <n v="18"/>
    <s v="En Cours"/>
    <s v="Mongala"/>
    <s v="CLI-00011"/>
    <x v="2"/>
    <s v="Huawei"/>
    <s v="Illimité 50Go"/>
    <s v="B2C"/>
  </r>
  <r>
    <d v="2023-10-18T00:00:00"/>
    <d v="1899-12-30T21:24:00"/>
    <x v="549"/>
    <n v="108"/>
    <s v="En Cours"/>
    <s v="Mongala"/>
    <s v="CLI-00011"/>
    <x v="2"/>
    <s v="Huawei"/>
    <s v="Illimité 50Go"/>
    <s v="B2C"/>
  </r>
  <r>
    <d v="2023-10-23T00:00:00"/>
    <d v="1899-12-30T04:32:00"/>
    <x v="549"/>
    <n v="33"/>
    <s v="Résolu"/>
    <s v="Mongala"/>
    <s v="CLI-00011"/>
    <x v="2"/>
    <s v="Huawei"/>
    <s v="Illimité 50Go"/>
    <s v="B2C"/>
  </r>
  <r>
    <d v="2023-10-24T00:00:00"/>
    <d v="1899-12-30T18:14:00"/>
    <x v="549"/>
    <n v="78"/>
    <s v="Non Résolu"/>
    <s v="Mongala"/>
    <s v="CLI-00011"/>
    <x v="2"/>
    <s v="Huawei"/>
    <s v="Illimité 50Go"/>
    <s v="B2C"/>
  </r>
  <r>
    <d v="2023-10-25T00:00:00"/>
    <d v="1899-12-30T02:46:00"/>
    <x v="550"/>
    <n v="45"/>
    <s v="Non Résolu"/>
    <s v="Tshopo"/>
    <s v="CLI-00100"/>
    <x v="0"/>
    <s v="Ericsson"/>
    <s v="Bloqué 5Go"/>
    <s v="B2C"/>
  </r>
  <r>
    <d v="2023-10-29T00:00:00"/>
    <d v="1899-12-30T13:31:00"/>
    <x v="550"/>
    <n v="44"/>
    <s v="Résolu"/>
    <s v="Tshopo"/>
    <s v="CLI-00100"/>
    <x v="0"/>
    <s v="Ericsson"/>
    <s v="Bloqué 5Go"/>
    <s v="B2C"/>
  </r>
  <r>
    <d v="2023-10-26T00:00:00"/>
    <d v="1899-12-30T22:47:00"/>
    <x v="551"/>
    <n v="117"/>
    <s v="Résolu"/>
    <s v="Non Trouvée"/>
    <s v="Aucun"/>
    <x v="1"/>
    <s v="Non Trouvée"/>
    <s v="Pas d'information"/>
    <s v="B2C"/>
  </r>
  <r>
    <d v="2023-10-22T00:00:00"/>
    <d v="1899-12-30T13:25:00"/>
    <x v="552"/>
    <n v="22"/>
    <s v="Résolu"/>
    <s v="Kwango"/>
    <s v="CLI-00094"/>
    <x v="2"/>
    <s v="Ericsson"/>
    <s v="Pro Monde"/>
    <s v="B2B"/>
  </r>
  <r>
    <d v="2023-10-14T00:00:00"/>
    <d v="1899-12-30T14:14:00"/>
    <x v="553"/>
    <n v="50"/>
    <s v="En Cours"/>
    <s v="Non Trouvée"/>
    <s v="Aucun"/>
    <x v="1"/>
    <s v="Non Trouvée"/>
    <s v="Pas d'information"/>
    <s v="B2C"/>
  </r>
  <r>
    <d v="2023-10-20T00:00:00"/>
    <d v="1899-12-30T02:33:00"/>
    <x v="553"/>
    <n v="87"/>
    <s v="Non Résolu"/>
    <s v="Non Trouvée"/>
    <s v="Aucun"/>
    <x v="1"/>
    <s v="Non Trouvée"/>
    <s v="Pas d'information"/>
    <s v="B2C"/>
  </r>
  <r>
    <d v="2023-10-08T00:00:00"/>
    <d v="1899-12-30T03:35:00"/>
    <x v="554"/>
    <n v="101"/>
    <s v="En Cours"/>
    <s v="Lualaba"/>
    <s v="CLI-00334"/>
    <x v="3"/>
    <s v="ZTE"/>
    <s v="Pro Monde"/>
    <s v="B2B"/>
  </r>
  <r>
    <d v="2023-10-09T00:00:00"/>
    <d v="1899-12-30T12:41:00"/>
    <x v="554"/>
    <n v="33"/>
    <s v="Non Résolu"/>
    <s v="Lualaba"/>
    <s v="CLI-00334"/>
    <x v="3"/>
    <s v="ZTE"/>
    <s v="Pro Monde"/>
    <s v="B2B"/>
  </r>
  <r>
    <d v="2023-10-10T00:00:00"/>
    <d v="1899-12-30T21:34:00"/>
    <x v="554"/>
    <n v="29"/>
    <s v="Non Résolu"/>
    <s v="Lualaba"/>
    <s v="CLI-00334"/>
    <x v="3"/>
    <s v="ZTE"/>
    <s v="Pro Monde"/>
    <s v="B2B"/>
  </r>
  <r>
    <d v="2023-10-28T00:00:00"/>
    <d v="1899-12-30T21:33:00"/>
    <x v="555"/>
    <n v="61"/>
    <s v="Résolu"/>
    <s v="Kinshasa"/>
    <s v="CLI-00184"/>
    <x v="2"/>
    <s v="Nokia"/>
    <s v="Premium 5G 150Go"/>
    <s v="B2C"/>
  </r>
  <r>
    <d v="2023-10-31T00:00:00"/>
    <d v="1899-12-30T14:17:00"/>
    <x v="555"/>
    <n v="14"/>
    <s v="Résolu"/>
    <s v="Kinshasa"/>
    <s v="CLI-00184"/>
    <x v="2"/>
    <s v="Nokia"/>
    <s v="Premium 5G 150Go"/>
    <s v="B2C"/>
  </r>
  <r>
    <d v="2023-10-18T00:00:00"/>
    <d v="1899-12-30T20:43:00"/>
    <x v="556"/>
    <n v="89"/>
    <s v="Résolu"/>
    <s v="Non Trouvée"/>
    <s v="Aucun"/>
    <x v="1"/>
    <s v="Non Trouvée"/>
    <s v="Pas d'information"/>
    <s v="B2C"/>
  </r>
  <r>
    <d v="2023-10-08T00:00:00"/>
    <d v="1899-12-30T02:28:00"/>
    <x v="557"/>
    <n v="41"/>
    <s v="Résolu"/>
    <s v="Kwilu"/>
    <s v="CLI-00009"/>
    <x v="3"/>
    <s v="Huawei"/>
    <s v="Pro Monde"/>
    <s v="B2B"/>
  </r>
  <r>
    <d v="2023-10-31T00:00:00"/>
    <d v="1899-12-30T20:20:00"/>
    <x v="557"/>
    <n v="58"/>
    <s v="En Cours"/>
    <s v="Kwilu"/>
    <s v="CLI-00009"/>
    <x v="3"/>
    <s v="Huawei"/>
    <s v="Pro Monde"/>
    <s v="B2B"/>
  </r>
  <r>
    <d v="2023-10-08T00:00:00"/>
    <d v="1899-12-30T14:40:00"/>
    <x v="558"/>
    <n v="107"/>
    <s v="Non Résolu"/>
    <s v="Non Trouvée"/>
    <s v="Aucun"/>
    <x v="1"/>
    <s v="Non Trouvée"/>
    <s v="Pas d'information"/>
    <s v="B2C"/>
  </r>
  <r>
    <d v="2023-10-14T00:00:00"/>
    <d v="1899-12-30T02:42:00"/>
    <x v="558"/>
    <n v="93"/>
    <s v="Résolu"/>
    <s v="Non Trouvée"/>
    <s v="Aucun"/>
    <x v="1"/>
    <s v="Non Trouvée"/>
    <s v="Pas d'information"/>
    <s v="B2C"/>
  </r>
  <r>
    <d v="2023-10-21T00:00:00"/>
    <d v="1899-12-30T23:15:00"/>
    <x v="558"/>
    <n v="103"/>
    <s v="Résolu"/>
    <s v="Non Trouvée"/>
    <s v="Aucun"/>
    <x v="1"/>
    <s v="Non Trouvée"/>
    <s v="Pas d'information"/>
    <s v="B2C"/>
  </r>
  <r>
    <d v="2023-10-20T00:00:00"/>
    <d v="1899-12-30T19:50:00"/>
    <x v="559"/>
    <n v="93"/>
    <s v="En Cours"/>
    <s v="Sud-Kivu"/>
    <s v="CLI-00054"/>
    <x v="3"/>
    <s v="ZTE"/>
    <s v="Bloqué 5Go"/>
    <s v="B2C"/>
  </r>
  <r>
    <d v="2023-10-22T00:00:00"/>
    <d v="1899-12-30T22:17:00"/>
    <x v="559"/>
    <n v="21"/>
    <s v="Résolu"/>
    <s v="Sud-Kivu"/>
    <s v="CLI-00054"/>
    <x v="3"/>
    <s v="ZTE"/>
    <s v="Bloqué 5Go"/>
    <s v="B2C"/>
  </r>
  <r>
    <d v="2023-10-27T00:00:00"/>
    <d v="1899-12-30T01:51:00"/>
    <x v="559"/>
    <n v="101"/>
    <s v="Résolu"/>
    <s v="Sud-Kivu"/>
    <s v="CLI-00054"/>
    <x v="3"/>
    <s v="ZTE"/>
    <s v="Bloqué 5Go"/>
    <s v="B2C"/>
  </r>
  <r>
    <d v="2023-10-06T00:00:00"/>
    <d v="1899-12-30T12:43:00"/>
    <x v="560"/>
    <n v="74"/>
    <s v="Non Résolu"/>
    <s v="Mongala"/>
    <s v="CLI-00011"/>
    <x v="2"/>
    <s v="Ericsson"/>
    <s v="Illimité 50Go"/>
    <s v="B2C"/>
  </r>
  <r>
    <d v="2023-10-22T00:00:00"/>
    <d v="1899-12-30T18:36:00"/>
    <x v="560"/>
    <n v="24"/>
    <s v="Résolu"/>
    <s v="Mongala"/>
    <s v="CLI-00011"/>
    <x v="2"/>
    <s v="Ericsson"/>
    <s v="Illimité 50Go"/>
    <s v="B2C"/>
  </r>
  <r>
    <d v="2023-10-31T00:00:00"/>
    <d v="1899-12-30T23:57:00"/>
    <x v="561"/>
    <n v="72"/>
    <s v="En Cours"/>
    <s v="Ituri"/>
    <s v="CLI-00041"/>
    <x v="2"/>
    <s v="Huawei"/>
    <s v="Pro Monde"/>
    <s v="B2B"/>
  </r>
  <r>
    <d v="2023-10-16T00:00:00"/>
    <d v="1899-12-30T00:24:00"/>
    <x v="562"/>
    <n v="35"/>
    <s v="Non Résolu"/>
    <s v="Non Trouvée"/>
    <s v="Aucun"/>
    <x v="1"/>
    <s v="Non Trouvée"/>
    <s v="Pas d'information"/>
    <s v="B2C"/>
  </r>
  <r>
    <d v="2023-10-11T00:00:00"/>
    <d v="1899-12-30T23:30:00"/>
    <x v="563"/>
    <n v="114"/>
    <s v="En Cours"/>
    <s v="Non Trouvée"/>
    <s v="Aucun"/>
    <x v="1"/>
    <s v="Non Trouvée"/>
    <s v="Pas d'information"/>
    <s v="B2C"/>
  </r>
  <r>
    <d v="2023-10-27T00:00:00"/>
    <d v="1899-12-30T09:19:00"/>
    <x v="564"/>
    <n v="115"/>
    <s v="En Cours"/>
    <s v="Non Trouvée"/>
    <s v="Aucun"/>
    <x v="1"/>
    <s v="Non Trouvée"/>
    <s v="Pas d'information"/>
    <s v="B2C"/>
  </r>
  <r>
    <d v="2023-10-02T00:00:00"/>
    <d v="1899-12-30T12:28:00"/>
    <x v="565"/>
    <n v="113"/>
    <s v="En Cours"/>
    <s v="Non Trouvée"/>
    <s v="Aucun"/>
    <x v="1"/>
    <s v="Non Trouvée"/>
    <s v="Pas d'information"/>
    <s v="B2C"/>
  </r>
  <r>
    <d v="2023-10-10T00:00:00"/>
    <d v="1899-12-30T06:27:00"/>
    <x v="565"/>
    <n v="94"/>
    <s v="Non Résolu"/>
    <s v="Non Trouvée"/>
    <s v="Aucun"/>
    <x v="1"/>
    <s v="Non Trouvée"/>
    <s v="Pas d'information"/>
    <s v="B2C"/>
  </r>
  <r>
    <d v="2023-10-13T00:00:00"/>
    <d v="1899-12-30T03:22:00"/>
    <x v="566"/>
    <n v="19"/>
    <s v="Non Résolu"/>
    <s v="Tanganyika"/>
    <s v="CLI-00007"/>
    <x v="3"/>
    <s v="ZTE"/>
    <s v="Bloqué 5Go"/>
    <s v="B2C"/>
  </r>
  <r>
    <d v="2023-10-12T00:00:00"/>
    <d v="1899-12-30T00:21:00"/>
    <x v="567"/>
    <n v="7"/>
    <s v="En Cours"/>
    <s v="Non Trouvée"/>
    <s v="Aucun"/>
    <x v="1"/>
    <s v="Non Trouvée"/>
    <s v="Pas d'information"/>
    <s v="B2C"/>
  </r>
  <r>
    <d v="2023-10-31T00:00:00"/>
    <d v="1899-12-30T21:45:00"/>
    <x v="567"/>
    <n v="87"/>
    <s v="Résolu"/>
    <s v="Non Trouvée"/>
    <s v="Aucun"/>
    <x v="1"/>
    <s v="Non Trouvée"/>
    <s v="Pas d'information"/>
    <s v="B2C"/>
  </r>
  <r>
    <d v="2023-10-05T00:00:00"/>
    <d v="1899-12-30T23:40:00"/>
    <x v="568"/>
    <n v="76"/>
    <s v="Non Résolu"/>
    <s v="Haut-Uele"/>
    <s v="CLI-00055"/>
    <x v="2"/>
    <s v="Ericsson"/>
    <s v="Pro Monde"/>
    <s v="B2B"/>
  </r>
  <r>
    <d v="2023-10-11T00:00:00"/>
    <d v="1899-12-30T16:33:00"/>
    <x v="568"/>
    <n v="16"/>
    <s v="Résolu"/>
    <s v="Haut-Uele"/>
    <s v="CLI-00055"/>
    <x v="2"/>
    <s v="Ericsson"/>
    <s v="Pro Monde"/>
    <s v="B2B"/>
  </r>
  <r>
    <d v="2023-10-26T00:00:00"/>
    <d v="1899-12-30T13:17:00"/>
    <x v="569"/>
    <n v="120"/>
    <s v="Résolu"/>
    <s v="Non Trouvée"/>
    <s v="Aucun"/>
    <x v="1"/>
    <s v="Non Trouvée"/>
    <s v="Pas d'information"/>
    <s v="B2C"/>
  </r>
  <r>
    <d v="2023-10-12T00:00:00"/>
    <d v="1899-12-30T09:11:00"/>
    <x v="570"/>
    <n v="105"/>
    <s v="Résolu"/>
    <s v="Non Trouvée"/>
    <s v="Aucun"/>
    <x v="1"/>
    <s v="Non Trouvée"/>
    <s v="Pas d'information"/>
    <s v="B2C"/>
  </r>
  <r>
    <d v="2023-10-20T00:00:00"/>
    <d v="1899-12-30T22:48:00"/>
    <x v="570"/>
    <n v="45"/>
    <s v="En Cours"/>
    <s v="Non Trouvée"/>
    <s v="Aucun"/>
    <x v="1"/>
    <s v="Non Trouvée"/>
    <s v="Pas d'information"/>
    <s v="B2C"/>
  </r>
  <r>
    <d v="2023-10-24T00:00:00"/>
    <d v="1899-12-30T10:51:00"/>
    <x v="570"/>
    <n v="117"/>
    <s v="En Cours"/>
    <s v="Non Trouvée"/>
    <s v="Aucun"/>
    <x v="1"/>
    <s v="Non Trouvée"/>
    <s v="Pas d'information"/>
    <s v="B2C"/>
  </r>
  <r>
    <d v="2023-10-22T00:00:00"/>
    <d v="1899-12-30T22:22:00"/>
    <x v="571"/>
    <n v="26"/>
    <s v="Résolu"/>
    <s v="Non Trouvée"/>
    <s v="Aucun"/>
    <x v="1"/>
    <s v="Non Trouvée"/>
    <s v="Pas d'information"/>
    <s v="B2C"/>
  </r>
  <r>
    <d v="2023-10-11T00:00:00"/>
    <d v="1899-12-30T08:48:00"/>
    <x v="572"/>
    <n v="67"/>
    <s v="Non Résolu"/>
    <s v="Lualaba"/>
    <s v="CLI-00334"/>
    <x v="2"/>
    <s v="ZTE"/>
    <s v="Pro Monde"/>
    <s v="B2B"/>
  </r>
  <r>
    <d v="2023-10-24T00:00:00"/>
    <d v="1899-12-30T14:40:00"/>
    <x v="572"/>
    <n v="88"/>
    <s v="Résolu"/>
    <s v="Lualaba"/>
    <s v="CLI-00334"/>
    <x v="2"/>
    <s v="ZTE"/>
    <s v="Pro Monde"/>
    <s v="B2B"/>
  </r>
  <r>
    <d v="2023-10-29T00:00:00"/>
    <d v="1899-12-30T17:57:00"/>
    <x v="572"/>
    <n v="27"/>
    <s v="Résolu"/>
    <s v="Lualaba"/>
    <s v="CLI-00334"/>
    <x v="2"/>
    <s v="ZTE"/>
    <s v="Pro Monde"/>
    <s v="B2B"/>
  </r>
  <r>
    <d v="2023-10-23T00:00:00"/>
    <d v="1899-12-30T14:02:00"/>
    <x v="573"/>
    <n v="15"/>
    <s v="En Cours"/>
    <s v="Equateur"/>
    <s v="CLI-00091"/>
    <x v="0"/>
    <s v="Nokia"/>
    <s v="Bloqué 5Go"/>
    <s v="B2C"/>
  </r>
  <r>
    <d v="2023-10-27T00:00:00"/>
    <d v="1899-12-30T02:47:00"/>
    <x v="574"/>
    <n v="5"/>
    <s v="En Cours"/>
    <s v="Kasai-Oriental"/>
    <s v="CLI-00107"/>
    <x v="2"/>
    <s v="ZTE"/>
    <s v="Premium 5G 150Go"/>
    <s v="B2C"/>
  </r>
  <r>
    <d v="2023-10-31T00:00:00"/>
    <d v="1899-12-30T15:12:00"/>
    <x v="574"/>
    <n v="34"/>
    <s v="Résolu"/>
    <s v="Kasai-Oriental"/>
    <s v="CLI-00107"/>
    <x v="2"/>
    <s v="ZTE"/>
    <s v="Premium 5G 150Go"/>
    <s v="B2C"/>
  </r>
  <r>
    <d v="2023-10-27T00:00:00"/>
    <d v="1899-12-30T22:56:00"/>
    <x v="575"/>
    <n v="20"/>
    <s v="Non Résolu"/>
    <s v="Non Trouvée"/>
    <s v="Aucun"/>
    <x v="1"/>
    <s v="Non Trouvée"/>
    <s v="Pas d'information"/>
    <s v="B2C"/>
  </r>
  <r>
    <d v="2023-10-09T00:00:00"/>
    <d v="1899-12-30T01:08:00"/>
    <x v="576"/>
    <n v="92"/>
    <s v="En Cours"/>
    <s v="Non Trouvée"/>
    <s v="Aucun"/>
    <x v="1"/>
    <s v="Non Trouvée"/>
    <s v="Pas d'information"/>
    <s v="B2C"/>
  </r>
  <r>
    <d v="2023-10-26T00:00:00"/>
    <d v="1899-12-30T15:51:00"/>
    <x v="576"/>
    <n v="14"/>
    <s v="Résolu"/>
    <s v="Non Trouvée"/>
    <s v="Aucun"/>
    <x v="1"/>
    <s v="Non Trouvée"/>
    <s v="Pas d'information"/>
    <s v="B2C"/>
  </r>
  <r>
    <d v="2023-10-14T00:00:00"/>
    <d v="1899-12-30T05:03:00"/>
    <x v="577"/>
    <n v="28"/>
    <s v="En Cours"/>
    <s v="Haut-Lomami"/>
    <s v="CLI-00022"/>
    <x v="3"/>
    <s v="Huawei"/>
    <s v="Premium 5G 150Go"/>
    <s v="B2C"/>
  </r>
  <r>
    <d v="2023-10-04T00:00:00"/>
    <d v="1899-12-30T05:08:00"/>
    <x v="578"/>
    <n v="5"/>
    <s v="Résolu"/>
    <s v="Nord-Kivu"/>
    <s v="CLI-00043"/>
    <x v="0"/>
    <s v="Huawei"/>
    <s v="Pro Monde"/>
    <s v="B2B"/>
  </r>
  <r>
    <d v="2023-10-25T00:00:00"/>
    <d v="1899-12-30T04:41:00"/>
    <x v="579"/>
    <n v="81"/>
    <s v="Non Résolu"/>
    <s v="Bas-Uele"/>
    <s v="CLI-00029"/>
    <x v="2"/>
    <s v="Nokia"/>
    <s v="Pro Monde"/>
    <s v="B2B"/>
  </r>
  <r>
    <d v="2023-10-04T00:00:00"/>
    <d v="1899-12-30T05:23:00"/>
    <x v="580"/>
    <n v="102"/>
    <s v="En Cours"/>
    <s v="Sud-Kivu"/>
    <s v="CLI-00054"/>
    <x v="3"/>
    <s v="Ericsson"/>
    <s v="Bloqué 5Go"/>
    <s v="B2C"/>
  </r>
  <r>
    <d v="2023-10-18T00:00:00"/>
    <d v="1899-12-30T04:12:00"/>
    <x v="580"/>
    <n v="18"/>
    <s v="En Cours"/>
    <s v="Sud-Kivu"/>
    <s v="CLI-00054"/>
    <x v="3"/>
    <s v="Ericsson"/>
    <s v="Bloqué 5Go"/>
    <s v="B2C"/>
  </r>
  <r>
    <d v="2023-10-19T00:00:00"/>
    <d v="1899-12-30T00:11:00"/>
    <x v="580"/>
    <n v="44"/>
    <s v="Non Résolu"/>
    <s v="Sud-Kivu"/>
    <s v="CLI-00054"/>
    <x v="3"/>
    <s v="Ericsson"/>
    <s v="Bloqué 5Go"/>
    <s v="B2C"/>
  </r>
  <r>
    <d v="2023-10-12T00:00:00"/>
    <d v="1899-12-30T17:36:00"/>
    <x v="581"/>
    <n v="108"/>
    <s v="Non Résolu"/>
    <s v="Non Trouvée"/>
    <s v="Aucun"/>
    <x v="1"/>
    <s v="Non Trouvée"/>
    <s v="Pas d'information"/>
    <s v="B2C"/>
  </r>
  <r>
    <d v="2023-10-05T00:00:00"/>
    <d v="1899-12-30T04:51:00"/>
    <x v="582"/>
    <n v="10"/>
    <s v="Résolu"/>
    <s v="Non Trouvée"/>
    <s v="Aucun"/>
    <x v="1"/>
    <s v="Non Trouvée"/>
    <s v="Pas d'information"/>
    <s v="B2C"/>
  </r>
  <r>
    <d v="2023-10-24T00:00:00"/>
    <d v="1899-12-30T15:33:00"/>
    <x v="583"/>
    <n v="14"/>
    <s v="En Cours"/>
    <s v="Non Trouvée"/>
    <s v="Aucun"/>
    <x v="1"/>
    <s v="Non Trouvée"/>
    <s v="Pas d'information"/>
    <s v="B2C"/>
  </r>
  <r>
    <d v="2023-10-06T00:00:00"/>
    <d v="1899-12-30T14:04:00"/>
    <x v="584"/>
    <n v="89"/>
    <s v="En Cours"/>
    <s v="Non Trouvée"/>
    <s v="Aucun"/>
    <x v="1"/>
    <s v="Non Trouvée"/>
    <s v="Pas d'information"/>
    <s v="B2C"/>
  </r>
  <r>
    <d v="2023-10-18T00:00:00"/>
    <d v="1899-12-30T00:40:00"/>
    <x v="585"/>
    <n v="54"/>
    <s v="Non Résolu"/>
    <s v="Non Trouvée"/>
    <s v="Aucun"/>
    <x v="1"/>
    <s v="Non Trouvée"/>
    <s v="Pas d'information"/>
    <s v="B2C"/>
  </r>
  <r>
    <d v="2023-10-25T00:00:00"/>
    <d v="1899-12-30T16:24:00"/>
    <x v="585"/>
    <n v="71"/>
    <s v="Résolu"/>
    <s v="Non Trouvée"/>
    <s v="Aucun"/>
    <x v="1"/>
    <s v="Non Trouvée"/>
    <s v="Pas d'information"/>
    <s v="B2C"/>
  </r>
  <r>
    <d v="2023-10-14T00:00:00"/>
    <d v="1899-12-30T10:17:00"/>
    <x v="586"/>
    <n v="101"/>
    <s v="Non Résolu"/>
    <s v="Non Trouvée"/>
    <s v="Aucun"/>
    <x v="1"/>
    <s v="Non Trouvée"/>
    <s v="Pas d'information"/>
    <s v="B2C"/>
  </r>
  <r>
    <d v="2023-10-22T00:00:00"/>
    <d v="1899-12-30T02:17:00"/>
    <x v="586"/>
    <n v="10"/>
    <s v="Non Résolu"/>
    <s v="Non Trouvée"/>
    <s v="Aucun"/>
    <x v="1"/>
    <s v="Non Trouvée"/>
    <s v="Pas d'information"/>
    <s v="B2C"/>
  </r>
  <r>
    <d v="2023-10-05T00:00:00"/>
    <d v="1899-12-30T11:19:00"/>
    <x v="587"/>
    <n v="10"/>
    <s v="Résolu"/>
    <s v="Nord-Kivu"/>
    <s v="CLI-00043"/>
    <x v="2"/>
    <s v="Huawei"/>
    <s v="Pro Monde"/>
    <s v="B2B"/>
  </r>
  <r>
    <d v="2023-10-21T00:00:00"/>
    <d v="1899-12-30T10:52:00"/>
    <x v="588"/>
    <n v="35"/>
    <s v="Non Résolu"/>
    <s v="Non Trouvée"/>
    <s v="Aucun"/>
    <x v="1"/>
    <s v="Non Trouvée"/>
    <s v="Pas d'information"/>
    <s v="B2C"/>
  </r>
  <r>
    <d v="2023-10-27T00:00:00"/>
    <d v="1899-12-30T21:45:00"/>
    <x v="588"/>
    <n v="26"/>
    <s v="Non Résolu"/>
    <s v="Non Trouvée"/>
    <s v="Aucun"/>
    <x v="1"/>
    <s v="Non Trouvée"/>
    <s v="Pas d'information"/>
    <s v="B2C"/>
  </r>
  <r>
    <d v="2023-10-18T00:00:00"/>
    <d v="1899-12-30T12:13:00"/>
    <x v="589"/>
    <n v="49"/>
    <s v="Résolu"/>
    <s v="Non Trouvée"/>
    <s v="Aucun"/>
    <x v="1"/>
    <s v="Non Trouvée"/>
    <s v="Pas d'information"/>
    <s v="B2C"/>
  </r>
  <r>
    <d v="2023-10-18T00:00:00"/>
    <d v="1899-12-30T02:37:00"/>
    <x v="589"/>
    <n v="59"/>
    <s v="Résolu"/>
    <s v="Non Trouvée"/>
    <s v="Aucun"/>
    <x v="1"/>
    <s v="Non Trouvée"/>
    <s v="Pas d'information"/>
    <s v="B2C"/>
  </r>
  <r>
    <d v="2023-10-23T00:00:00"/>
    <d v="1899-12-30T18:31:00"/>
    <x v="589"/>
    <n v="53"/>
    <s v="En Cours"/>
    <s v="Non Trouvée"/>
    <s v="Aucun"/>
    <x v="1"/>
    <s v="Non Trouvée"/>
    <s v="Pas d'information"/>
    <s v="B2C"/>
  </r>
  <r>
    <d v="2023-10-05T00:00:00"/>
    <d v="1899-12-30T07:33:00"/>
    <x v="590"/>
    <n v="120"/>
    <s v="Non Résolu"/>
    <s v="Non Trouvée"/>
    <s v="Aucun"/>
    <x v="1"/>
    <s v="Non Trouvée"/>
    <s v="Pas d'information"/>
    <s v="B2C"/>
  </r>
  <r>
    <d v="2023-10-11T00:00:00"/>
    <d v="1899-12-30T01:14:00"/>
    <x v="591"/>
    <n v="73"/>
    <s v="Résolu"/>
    <s v="Tanganyika"/>
    <s v="CLI-00007"/>
    <x v="0"/>
    <s v="Ericsson"/>
    <s v="Bloqué 5Go"/>
    <s v="B2C"/>
  </r>
  <r>
    <d v="2023-10-15T00:00:00"/>
    <d v="1899-12-30T10:26:00"/>
    <x v="591"/>
    <n v="61"/>
    <s v="En Cours"/>
    <s v="Tanganyika"/>
    <s v="CLI-00007"/>
    <x v="0"/>
    <s v="Ericsson"/>
    <s v="Bloqué 5Go"/>
    <s v="B2C"/>
  </r>
  <r>
    <d v="2023-10-29T00:00:00"/>
    <d v="1899-12-30T20:29:00"/>
    <x v="591"/>
    <n v="42"/>
    <s v="Résolu"/>
    <s v="Tanganyika"/>
    <s v="CLI-00007"/>
    <x v="0"/>
    <s v="Ericsson"/>
    <s v="Bloqué 5Go"/>
    <s v="B2C"/>
  </r>
  <r>
    <d v="2023-10-09T00:00:00"/>
    <d v="1899-12-30T04:40:00"/>
    <x v="592"/>
    <n v="98"/>
    <s v="Non Résolu"/>
    <s v="Non Trouvée"/>
    <s v="Aucun"/>
    <x v="1"/>
    <s v="Non Trouvée"/>
    <s v="Pas d'information"/>
    <s v="B2C"/>
  </r>
  <r>
    <d v="2023-10-04T00:00:00"/>
    <d v="1899-12-30T06:01:00"/>
    <x v="593"/>
    <n v="49"/>
    <s v="Non Résolu"/>
    <s v="Kasai-Central"/>
    <s v="CLI-00060"/>
    <x v="3"/>
    <s v="Ericsson"/>
    <s v="Pro Monde"/>
    <s v="B2B"/>
  </r>
  <r>
    <d v="2023-10-05T00:00:00"/>
    <d v="1899-12-30T19:34:00"/>
    <x v="593"/>
    <n v="71"/>
    <s v="En Cours"/>
    <s v="Kasai-Central"/>
    <s v="CLI-00060"/>
    <x v="3"/>
    <s v="Ericsson"/>
    <s v="Pro Monde"/>
    <s v="B2B"/>
  </r>
  <r>
    <d v="2023-10-10T00:00:00"/>
    <d v="1899-12-30T19:47:00"/>
    <x v="593"/>
    <n v="93"/>
    <s v="En Cours"/>
    <s v="Kasai-Central"/>
    <s v="CLI-00060"/>
    <x v="3"/>
    <s v="Ericsson"/>
    <s v="Pro Monde"/>
    <s v="B2B"/>
  </r>
  <r>
    <d v="2023-10-22T00:00:00"/>
    <d v="1899-12-30T21:51:00"/>
    <x v="593"/>
    <n v="60"/>
    <s v="Non Résolu"/>
    <s v="Kasai-Central"/>
    <s v="CLI-00060"/>
    <x v="3"/>
    <s v="Ericsson"/>
    <s v="Pro Monde"/>
    <s v="B2B"/>
  </r>
  <r>
    <d v="2023-10-11T00:00:00"/>
    <d v="1899-12-30T05:56:00"/>
    <x v="594"/>
    <n v="74"/>
    <s v="Résolu"/>
    <s v="Non Trouvée"/>
    <s v="Aucun"/>
    <x v="1"/>
    <s v="Non Trouvée"/>
    <s v="Pas d'information"/>
    <s v="B2C"/>
  </r>
  <r>
    <d v="2023-10-12T00:00:00"/>
    <d v="1899-12-30T06:58:00"/>
    <x v="594"/>
    <n v="73"/>
    <s v="En Cours"/>
    <s v="Non Trouvée"/>
    <s v="Aucun"/>
    <x v="1"/>
    <s v="Non Trouvée"/>
    <s v="Pas d'information"/>
    <s v="B2C"/>
  </r>
  <r>
    <d v="2023-10-28T00:00:00"/>
    <d v="1899-12-30T05:04:00"/>
    <x v="595"/>
    <n v="38"/>
    <s v="Résolu"/>
    <s v="Non Trouvée"/>
    <s v="Aucun"/>
    <x v="1"/>
    <s v="Non Trouvée"/>
    <s v="Pas d'information"/>
    <s v="B2C"/>
  </r>
  <r>
    <d v="2023-10-27T00:00:00"/>
    <d v="1899-12-30T03:55:00"/>
    <x v="596"/>
    <n v="36"/>
    <s v="Non Résolu"/>
    <s v="Non Trouvée"/>
    <s v="Aucun"/>
    <x v="1"/>
    <s v="Non Trouvée"/>
    <s v="Pas d'information"/>
    <s v="B2C"/>
  </r>
  <r>
    <d v="2023-10-26T00:00:00"/>
    <d v="1899-12-30T18:43:00"/>
    <x v="597"/>
    <n v="69"/>
    <s v="Non Résolu"/>
    <s v="Non Trouvée"/>
    <s v="Aucun"/>
    <x v="1"/>
    <s v="Non Trouvée"/>
    <s v="Pas d'information"/>
    <s v="B2C"/>
  </r>
  <r>
    <d v="2023-10-11T00:00:00"/>
    <d v="1899-12-30T13:38:00"/>
    <x v="598"/>
    <n v="96"/>
    <s v="Résolu"/>
    <s v="Kinshasa"/>
    <s v="CLI-00184"/>
    <x v="2"/>
    <s v="ZTE"/>
    <s v="Premium 5G 150Go"/>
    <s v="B2C"/>
  </r>
  <r>
    <d v="2023-10-15T00:00:00"/>
    <d v="1899-12-30T16:25:00"/>
    <x v="599"/>
    <n v="119"/>
    <s v="En Cours"/>
    <s v="Lomami"/>
    <s v="CLI-00044"/>
    <x v="2"/>
    <s v="ZTE"/>
    <s v="Illimité 50Go"/>
    <s v="B2C"/>
  </r>
  <r>
    <d v="2023-10-30T00:00:00"/>
    <d v="1899-12-30T17:43:00"/>
    <x v="599"/>
    <n v="36"/>
    <s v="Non Résolu"/>
    <s v="Lomami"/>
    <s v="CLI-00044"/>
    <x v="2"/>
    <s v="ZTE"/>
    <s v="Illimité 50Go"/>
    <s v="B2C"/>
  </r>
  <r>
    <d v="2023-10-17T00:00:00"/>
    <d v="1899-12-30T11:03:00"/>
    <x v="600"/>
    <n v="36"/>
    <s v="En Cours"/>
    <s v="Nord-Kivu"/>
    <s v="CLI-00043"/>
    <x v="0"/>
    <s v="Huawei"/>
    <s v="Pro Monde"/>
    <s v="B2B"/>
  </r>
  <r>
    <d v="2023-10-10T00:00:00"/>
    <d v="1899-12-30T16:19:00"/>
    <x v="601"/>
    <n v="115"/>
    <s v="En Cours"/>
    <s v="Non Trouvée"/>
    <s v="Aucun"/>
    <x v="1"/>
    <s v="Non Trouvée"/>
    <s v="Pas d'information"/>
    <s v="B2C"/>
  </r>
  <r>
    <d v="2023-10-29T00:00:00"/>
    <d v="1899-12-30T00:21:00"/>
    <x v="601"/>
    <n v="98"/>
    <s v="Résolu"/>
    <s v="Non Trouvée"/>
    <s v="Aucun"/>
    <x v="1"/>
    <s v="Non Trouvée"/>
    <s v="Pas d'information"/>
    <s v="B2C"/>
  </r>
  <r>
    <d v="2023-10-06T00:00:00"/>
    <d v="1899-12-30T08:05:00"/>
    <x v="602"/>
    <n v="119"/>
    <s v="En Cours"/>
    <s v="Non Trouvée"/>
    <s v="Aucun"/>
    <x v="1"/>
    <s v="Non Trouvée"/>
    <s v="Pas d'information"/>
    <s v="B2C"/>
  </r>
  <r>
    <d v="2023-10-04T00:00:00"/>
    <d v="1899-12-30T15:39:00"/>
    <x v="603"/>
    <n v="65"/>
    <s v="En Cours"/>
    <s v="Haut-Katanga"/>
    <s v="CLI-00059"/>
    <x v="2"/>
    <s v="Huawei"/>
    <s v="Pro Monde"/>
    <s v="B2B"/>
  </r>
  <r>
    <d v="2023-10-08T00:00:00"/>
    <d v="1899-12-30T22:56:00"/>
    <x v="603"/>
    <n v="73"/>
    <s v="Non Résolu"/>
    <s v="Haut-Katanga"/>
    <s v="CLI-00059"/>
    <x v="2"/>
    <s v="Huawei"/>
    <s v="Pro Monde"/>
    <s v="B2B"/>
  </r>
  <r>
    <d v="2023-10-10T00:00:00"/>
    <d v="1899-12-30T00:24:00"/>
    <x v="604"/>
    <n v="43"/>
    <s v="Résolu"/>
    <s v="Non Trouvée"/>
    <s v="Aucun"/>
    <x v="1"/>
    <s v="Non Trouvée"/>
    <s v="Pas d'information"/>
    <s v="B2C"/>
  </r>
  <r>
    <d v="2023-10-22T00:00:00"/>
    <d v="1899-12-30T09:19:00"/>
    <x v="605"/>
    <n v="64"/>
    <s v="Non Résolu"/>
    <s v="Tshopo"/>
    <s v="CLI-00100"/>
    <x v="0"/>
    <s v="ZTE"/>
    <s v="Bloqué 5Go"/>
    <s v="B2C"/>
  </r>
  <r>
    <d v="2023-10-14T00:00:00"/>
    <d v="1899-12-30T13:52:00"/>
    <x v="606"/>
    <n v="93"/>
    <s v="Non Résolu"/>
    <s v="Non Trouvée"/>
    <s v="Aucun"/>
    <x v="1"/>
    <s v="Non Trouvée"/>
    <s v="Pas d'information"/>
    <s v="B2C"/>
  </r>
  <r>
    <d v="2023-10-06T00:00:00"/>
    <d v="1899-12-30T19:56:00"/>
    <x v="607"/>
    <n v="52"/>
    <s v="Résolu"/>
    <s v="Haut-Uele"/>
    <s v="CLI-00055"/>
    <x v="3"/>
    <s v="Nokia"/>
    <s v="Pro Monde"/>
    <s v="B2B"/>
  </r>
  <r>
    <d v="2023-10-15T00:00:00"/>
    <d v="1899-12-30T18:35:00"/>
    <x v="608"/>
    <n v="118"/>
    <s v="Résolu"/>
    <s v="Sud-Ubangi"/>
    <s v="CLI-00070"/>
    <x v="0"/>
    <s v="Huawei"/>
    <s v="Illimité 50Go"/>
    <s v="B2C"/>
  </r>
  <r>
    <d v="2023-10-17T00:00:00"/>
    <d v="1899-12-30T18:21:00"/>
    <x v="608"/>
    <n v="53"/>
    <s v="Non Résolu"/>
    <s v="Sud-Ubangi"/>
    <s v="CLI-00070"/>
    <x v="0"/>
    <s v="Huawei"/>
    <s v="Illimité 50Go"/>
    <s v="B2C"/>
  </r>
  <r>
    <d v="2023-10-28T00:00:00"/>
    <d v="1899-12-30T07:25:00"/>
    <x v="608"/>
    <n v="118"/>
    <s v="En Cours"/>
    <s v="Sud-Ubangi"/>
    <s v="CLI-00070"/>
    <x v="0"/>
    <s v="Huawei"/>
    <s v="Illimité 50Go"/>
    <s v="B2C"/>
  </r>
  <r>
    <d v="2023-10-26T00:00:00"/>
    <d v="1899-12-30T15:33:00"/>
    <x v="609"/>
    <n v="49"/>
    <s v="Résolu"/>
    <s v="Non Trouvée"/>
    <s v="Aucun"/>
    <x v="1"/>
    <s v="Non Trouvée"/>
    <s v="Pas d'information"/>
    <s v="B2C"/>
  </r>
  <r>
    <d v="2023-10-22T00:00:00"/>
    <d v="1899-12-30T20:41:00"/>
    <x v="610"/>
    <n v="21"/>
    <s v="Non Résolu"/>
    <s v="Tanganyika"/>
    <s v="CLI-00007"/>
    <x v="2"/>
    <s v="Ericsson"/>
    <s v="Bloqué 5Go"/>
    <s v="B2C"/>
  </r>
  <r>
    <d v="2023-10-30T00:00:00"/>
    <d v="1899-12-30T10:39:00"/>
    <x v="611"/>
    <n v="5"/>
    <s v="Résolu"/>
    <s v="Kasai-Central"/>
    <s v="CLI-00060"/>
    <x v="0"/>
    <s v="Nokia"/>
    <s v="Pro Monde"/>
    <s v="B2B"/>
  </r>
  <r>
    <d v="2023-10-04T00:00:00"/>
    <d v="1899-12-30T01:25:00"/>
    <x v="612"/>
    <n v="49"/>
    <s v="Résolu"/>
    <s v="Non Trouvée"/>
    <s v="Aucun"/>
    <x v="1"/>
    <s v="Non Trouvée"/>
    <s v="Pas d'information"/>
    <s v="B2C"/>
  </r>
  <r>
    <d v="2023-10-25T00:00:00"/>
    <d v="1899-12-30T23:43:00"/>
    <x v="612"/>
    <n v="39"/>
    <s v="Résolu"/>
    <s v="Non Trouvée"/>
    <s v="Aucun"/>
    <x v="1"/>
    <s v="Non Trouvée"/>
    <s v="Pas d'information"/>
    <s v="B2C"/>
  </r>
  <r>
    <d v="2023-10-18T00:00:00"/>
    <d v="1899-12-30T01:39:00"/>
    <x v="613"/>
    <n v="77"/>
    <s v="En Cours"/>
    <s v="Non Trouvée"/>
    <s v="Aucun"/>
    <x v="1"/>
    <s v="Non Trouvée"/>
    <s v="Pas d'information"/>
    <s v="B2C"/>
  </r>
  <r>
    <d v="2023-10-20T00:00:00"/>
    <d v="1899-12-30T19:02:00"/>
    <x v="613"/>
    <n v="9"/>
    <s v="Non Résolu"/>
    <s v="Non Trouvée"/>
    <s v="Aucun"/>
    <x v="1"/>
    <s v="Non Trouvée"/>
    <s v="Pas d'information"/>
    <s v="B2C"/>
  </r>
  <r>
    <d v="2023-10-31T00:00:00"/>
    <d v="1899-12-30T17:26:00"/>
    <x v="613"/>
    <n v="19"/>
    <s v="Non Résolu"/>
    <s v="Non Trouvée"/>
    <s v="Aucun"/>
    <x v="1"/>
    <s v="Non Trouvée"/>
    <s v="Pas d'information"/>
    <s v="B2C"/>
  </r>
  <r>
    <d v="2023-10-17T00:00:00"/>
    <d v="1899-12-30T18:15:00"/>
    <x v="614"/>
    <n v="48"/>
    <s v="Résolu"/>
    <s v="Ituri"/>
    <s v="CLI-00041"/>
    <x v="2"/>
    <s v="ZTE"/>
    <s v="Pro Monde"/>
    <s v="B2B"/>
  </r>
  <r>
    <d v="2023-10-28T00:00:00"/>
    <d v="1899-12-30T00:48:00"/>
    <x v="615"/>
    <n v="68"/>
    <s v="En Cours"/>
    <s v="Nord-Ubangi"/>
    <s v="CLI-00112"/>
    <x v="2"/>
    <s v="ZTE"/>
    <s v="Bloqué 5Go"/>
    <s v="B2C"/>
  </r>
  <r>
    <d v="2023-10-01T00:00:00"/>
    <d v="1899-12-30T01:53:00"/>
    <x v="616"/>
    <n v="40"/>
    <s v="Résolu"/>
    <s v="Kasai"/>
    <s v="CLI-00057"/>
    <x v="2"/>
    <s v="Huawei"/>
    <s v="Bloqué 5Go"/>
    <s v="B2C"/>
  </r>
  <r>
    <d v="2023-10-22T00:00:00"/>
    <d v="1899-12-30T07:31:00"/>
    <x v="616"/>
    <n v="34"/>
    <s v="Non Résolu"/>
    <s v="Kasai"/>
    <s v="CLI-00057"/>
    <x v="2"/>
    <s v="Huawei"/>
    <s v="Bloqué 5Go"/>
    <s v="B2C"/>
  </r>
  <r>
    <d v="2023-10-26T00:00:00"/>
    <d v="1899-12-30T14:57:00"/>
    <x v="616"/>
    <n v="86"/>
    <s v="Résolu"/>
    <s v="Kasai"/>
    <s v="CLI-00057"/>
    <x v="2"/>
    <s v="Huawei"/>
    <s v="Bloqué 5Go"/>
    <s v="B2C"/>
  </r>
  <r>
    <d v="2023-10-12T00:00:00"/>
    <d v="1899-12-30T05:23:00"/>
    <x v="617"/>
    <n v="37"/>
    <s v="Résolu"/>
    <s v="Tanganyika"/>
    <s v="CLI-00007"/>
    <x v="2"/>
    <s v="Ericsson"/>
    <s v="Bloqué 5Go"/>
    <s v="B2C"/>
  </r>
  <r>
    <d v="2023-10-22T00:00:00"/>
    <d v="1899-12-30T17:13:00"/>
    <x v="617"/>
    <n v="14"/>
    <s v="Résolu"/>
    <s v="Tanganyika"/>
    <s v="CLI-00007"/>
    <x v="2"/>
    <s v="Ericsson"/>
    <s v="Bloqué 5Go"/>
    <s v="B2C"/>
  </r>
  <r>
    <d v="2023-10-23T00:00:00"/>
    <d v="1899-12-30T09:58:00"/>
    <x v="618"/>
    <n v="73"/>
    <s v="Résolu"/>
    <s v="Nord-Ubangi"/>
    <s v="CLI-00112"/>
    <x v="2"/>
    <s v="ZTE"/>
    <s v="Bloqué 5Go"/>
    <s v="B2C"/>
  </r>
  <r>
    <d v="2023-10-24T00:00:00"/>
    <d v="1899-12-30T08:46:00"/>
    <x v="619"/>
    <n v="104"/>
    <s v="Non Résolu"/>
    <s v="Non Trouvée"/>
    <s v="Aucun"/>
    <x v="1"/>
    <s v="Non Trouvée"/>
    <s v="Pas d'information"/>
    <s v="B2C"/>
  </r>
  <r>
    <d v="2023-10-04T00:00:00"/>
    <d v="1899-12-30T12:17:00"/>
    <x v="620"/>
    <n v="64"/>
    <s v="En Cours"/>
    <s v="Tshopo"/>
    <s v="CLI-00100"/>
    <x v="3"/>
    <s v="ZTE"/>
    <s v="Bloqué 5Go"/>
    <s v="B2C"/>
  </r>
  <r>
    <d v="2023-10-21T00:00:00"/>
    <d v="1899-12-30T04:58:00"/>
    <x v="621"/>
    <n v="25"/>
    <s v="Résolu"/>
    <s v="Equateur"/>
    <s v="CLI-00091"/>
    <x v="2"/>
    <s v="Nokia"/>
    <s v="Bloqué 5Go"/>
    <s v="B2C"/>
  </r>
  <r>
    <d v="2023-10-20T00:00:00"/>
    <d v="1899-12-30T22:18:00"/>
    <x v="622"/>
    <n v="115"/>
    <s v="Résolu"/>
    <s v="Non Trouvée"/>
    <s v="Aucun"/>
    <x v="1"/>
    <s v="Non Trouvée"/>
    <s v="Pas d'information"/>
    <s v="B2C"/>
  </r>
  <r>
    <d v="2023-10-09T00:00:00"/>
    <d v="1899-12-30T20:44:00"/>
    <x v="623"/>
    <n v="92"/>
    <s v="Résolu"/>
    <s v="Kwilu"/>
    <s v="CLI-00009"/>
    <x v="0"/>
    <s v="Huawei"/>
    <s v="Pro Monde"/>
    <s v="B2B"/>
  </r>
  <r>
    <d v="2023-10-19T00:00:00"/>
    <d v="1899-12-30T15:10:00"/>
    <x v="623"/>
    <n v="42"/>
    <s v="Non Résolu"/>
    <s v="Kwilu"/>
    <s v="CLI-00009"/>
    <x v="0"/>
    <s v="Huawei"/>
    <s v="Pro Monde"/>
    <s v="B2B"/>
  </r>
  <r>
    <d v="2023-10-11T00:00:00"/>
    <d v="1899-12-30T22:07:00"/>
    <x v="624"/>
    <n v="86"/>
    <s v="Non Résolu"/>
    <s v="Non Trouvée"/>
    <s v="Aucun"/>
    <x v="1"/>
    <s v="Non Trouvée"/>
    <s v="Pas d'information"/>
    <s v="B2C"/>
  </r>
  <r>
    <d v="2023-10-15T00:00:00"/>
    <d v="1899-12-30T22:21:00"/>
    <x v="624"/>
    <n v="81"/>
    <s v="Non Résolu"/>
    <s v="Non Trouvée"/>
    <s v="Aucun"/>
    <x v="1"/>
    <s v="Non Trouvée"/>
    <s v="Pas d'information"/>
    <s v="B2C"/>
  </r>
  <r>
    <d v="2023-10-21T00:00:00"/>
    <d v="1899-12-30T08:50:00"/>
    <x v="624"/>
    <n v="47"/>
    <s v="En Cours"/>
    <s v="Non Trouvée"/>
    <s v="Aucun"/>
    <x v="1"/>
    <s v="Non Trouvée"/>
    <s v="Pas d'information"/>
    <s v="B2C"/>
  </r>
  <r>
    <d v="2023-10-13T00:00:00"/>
    <d v="1899-12-30T02:46:00"/>
    <x v="625"/>
    <n v="15"/>
    <s v="Non Résolu"/>
    <s v="Haut-Lomami"/>
    <s v="CLI-00022"/>
    <x v="0"/>
    <s v="Nokia"/>
    <s v="Premium 5G 150Go"/>
    <s v="B2C"/>
  </r>
  <r>
    <d v="2023-10-17T00:00:00"/>
    <d v="1899-12-30T11:08:00"/>
    <x v="625"/>
    <n v="58"/>
    <s v="Résolu"/>
    <s v="Haut-Lomami"/>
    <s v="CLI-00022"/>
    <x v="0"/>
    <s v="Nokia"/>
    <s v="Premium 5G 150Go"/>
    <s v="B2C"/>
  </r>
  <r>
    <d v="2023-10-30T00:00:00"/>
    <d v="1899-12-30T16:05:00"/>
    <x v="625"/>
    <n v="41"/>
    <s v="En Cours"/>
    <s v="Haut-Lomami"/>
    <s v="CLI-00022"/>
    <x v="0"/>
    <s v="Nokia"/>
    <s v="Premium 5G 150Go"/>
    <s v="B2C"/>
  </r>
  <r>
    <d v="2023-10-02T00:00:00"/>
    <d v="1899-12-30T18:44:00"/>
    <x v="626"/>
    <n v="15"/>
    <s v="Résolu"/>
    <s v="Non Trouvée"/>
    <s v="Aucun"/>
    <x v="1"/>
    <s v="Non Trouvée"/>
    <s v="Pas d'information"/>
    <s v="B2C"/>
  </r>
  <r>
    <d v="2023-10-26T00:00:00"/>
    <d v="1899-12-30T01:18:00"/>
    <x v="627"/>
    <n v="38"/>
    <s v="En Cours"/>
    <s v="Lualaba"/>
    <s v="CLI-00334"/>
    <x v="0"/>
    <s v="Ericsson"/>
    <s v="Pro Monde"/>
    <s v="B2B"/>
  </r>
  <r>
    <d v="2023-10-04T00:00:00"/>
    <d v="1899-12-30T21:13:00"/>
    <x v="628"/>
    <n v="116"/>
    <s v="Non Résolu"/>
    <s v="Non Trouvée"/>
    <s v="Aucun"/>
    <x v="1"/>
    <s v="Non Trouvée"/>
    <s v="Pas d'information"/>
    <s v="B2C"/>
  </r>
  <r>
    <d v="2023-10-10T00:00:00"/>
    <d v="1899-12-30T22:35:00"/>
    <x v="628"/>
    <n v="30"/>
    <s v="En Cours"/>
    <s v="Non Trouvée"/>
    <s v="Aucun"/>
    <x v="1"/>
    <s v="Non Trouvée"/>
    <s v="Pas d'information"/>
    <s v="B2C"/>
  </r>
  <r>
    <d v="2023-10-09T00:00:00"/>
    <d v="1899-12-30T12:43:00"/>
    <x v="629"/>
    <n v="72"/>
    <s v="En Cours"/>
    <s v="Non Trouvée"/>
    <s v="Aucun"/>
    <x v="1"/>
    <s v="Non Trouvée"/>
    <s v="Pas d'information"/>
    <s v="B2C"/>
  </r>
  <r>
    <d v="2023-10-31T00:00:00"/>
    <d v="1899-12-30T15:20:00"/>
    <x v="630"/>
    <n v="77"/>
    <s v="Non Résolu"/>
    <s v="Kinshasa"/>
    <s v="CLI-00184"/>
    <x v="2"/>
    <s v="Nokia"/>
    <s v="Premium 5G 150Go"/>
    <s v="B2C"/>
  </r>
  <r>
    <d v="2023-10-12T00:00:00"/>
    <d v="1899-12-30T08:06:00"/>
    <x v="631"/>
    <n v="88"/>
    <s v="Non Résolu"/>
    <s v="Ituri"/>
    <s v="CLI-00041"/>
    <x v="3"/>
    <s v="Nokia"/>
    <s v="Pro Monde"/>
    <s v="B2B"/>
  </r>
  <r>
    <d v="2023-10-06T00:00:00"/>
    <d v="1899-12-30T02:28:00"/>
    <x v="632"/>
    <n v="84"/>
    <s v="En Cours"/>
    <s v="Non Trouvée"/>
    <s v="Aucun"/>
    <x v="1"/>
    <s v="Non Trouvée"/>
    <s v="Pas d'information"/>
    <s v="B2C"/>
  </r>
  <r>
    <d v="2023-10-02T00:00:00"/>
    <d v="1899-12-30T16:05:00"/>
    <x v="633"/>
    <n v="22"/>
    <s v="En Cours"/>
    <s v="Non Trouvée"/>
    <s v="Aucun"/>
    <x v="1"/>
    <s v="Non Trouvée"/>
    <s v="Pas d'information"/>
    <s v="B2C"/>
  </r>
  <r>
    <d v="2023-10-20T00:00:00"/>
    <d v="1899-12-30T23:57:00"/>
    <x v="633"/>
    <n v="102"/>
    <s v="Non Résolu"/>
    <s v="Non Trouvée"/>
    <s v="Aucun"/>
    <x v="1"/>
    <s v="Non Trouvée"/>
    <s v="Pas d'information"/>
    <s v="B2C"/>
  </r>
  <r>
    <d v="2023-10-26T00:00:00"/>
    <d v="1899-12-30T04:15:00"/>
    <x v="634"/>
    <n v="36"/>
    <s v="En Cours"/>
    <s v="Non Trouvée"/>
    <s v="Aucun"/>
    <x v="1"/>
    <s v="Non Trouvée"/>
    <s v="Pas d'information"/>
    <s v="B2C"/>
  </r>
  <r>
    <d v="2023-10-08T00:00:00"/>
    <d v="1899-12-30T23:35:00"/>
    <x v="635"/>
    <n v="25"/>
    <s v="En Cours"/>
    <s v="Nord-Kivu"/>
    <s v="CLI-00043"/>
    <x v="3"/>
    <s v="Huawei"/>
    <s v="Pro Monde"/>
    <s v="B2B"/>
  </r>
  <r>
    <d v="2023-10-16T00:00:00"/>
    <d v="1899-12-30T16:09:00"/>
    <x v="635"/>
    <n v="117"/>
    <s v="En Cours"/>
    <s v="Nord-Kivu"/>
    <s v="CLI-00043"/>
    <x v="3"/>
    <s v="Huawei"/>
    <s v="Pro Monde"/>
    <s v="B2B"/>
  </r>
  <r>
    <d v="2023-10-02T00:00:00"/>
    <d v="1899-12-30T08:24:00"/>
    <x v="636"/>
    <n v="73"/>
    <s v="Résolu"/>
    <s v="Non Trouvée"/>
    <s v="Aucun"/>
    <x v="1"/>
    <s v="Non Trouvée"/>
    <s v="Pas d'information"/>
    <s v="B2C"/>
  </r>
  <r>
    <d v="2023-10-03T00:00:00"/>
    <d v="1899-12-30T06:57:00"/>
    <x v="636"/>
    <n v="103"/>
    <s v="Non Résolu"/>
    <s v="Non Trouvée"/>
    <s v="Aucun"/>
    <x v="1"/>
    <s v="Non Trouvée"/>
    <s v="Pas d'information"/>
    <s v="B2C"/>
  </r>
  <r>
    <d v="2023-10-18T00:00:00"/>
    <d v="1899-12-30T19:39:00"/>
    <x v="636"/>
    <n v="100"/>
    <s v="Résolu"/>
    <s v="Non Trouvée"/>
    <s v="Aucun"/>
    <x v="1"/>
    <s v="Non Trouvée"/>
    <s v="Pas d'information"/>
    <s v="B2C"/>
  </r>
  <r>
    <d v="2023-10-18T00:00:00"/>
    <d v="1899-12-30T16:50:00"/>
    <x v="636"/>
    <n v="71"/>
    <s v="Non Résolu"/>
    <s v="Non Trouvée"/>
    <s v="Aucun"/>
    <x v="1"/>
    <s v="Non Trouvée"/>
    <s v="Pas d'information"/>
    <s v="B2C"/>
  </r>
  <r>
    <d v="2023-10-06T00:00:00"/>
    <d v="1899-12-30T18:27:00"/>
    <x v="637"/>
    <n v="36"/>
    <s v="Résolu"/>
    <s v="Kongo-Central"/>
    <s v="CLI-00012"/>
    <x v="3"/>
    <s v="Ericsson"/>
    <s v="Illimité 50Go"/>
    <s v="B2C"/>
  </r>
  <r>
    <d v="2023-10-04T00:00:00"/>
    <d v="1899-12-30T19:27:00"/>
    <x v="638"/>
    <n v="78"/>
    <s v="En Cours"/>
    <s v="Non Trouvée"/>
    <s v="Aucun"/>
    <x v="1"/>
    <s v="Non Trouvée"/>
    <s v="Pas d'information"/>
    <s v="B2C"/>
  </r>
  <r>
    <d v="2023-10-14T00:00:00"/>
    <d v="1899-12-30T14:02:00"/>
    <x v="639"/>
    <n v="35"/>
    <s v="Non Résolu"/>
    <s v="Non Trouvée"/>
    <s v="Aucun"/>
    <x v="1"/>
    <s v="Non Trouvée"/>
    <s v="Pas d'information"/>
    <s v="B2C"/>
  </r>
  <r>
    <d v="2023-10-26T00:00:00"/>
    <d v="1899-12-30T21:19:00"/>
    <x v="640"/>
    <n v="87"/>
    <s v="En Cours"/>
    <s v="Haut-Lomami"/>
    <s v="CLI-00022"/>
    <x v="2"/>
    <s v="Huawei"/>
    <s v="Premium 5G 150Go"/>
    <s v="B2C"/>
  </r>
  <r>
    <d v="2023-10-09T00:00:00"/>
    <d v="1899-12-30T11:52:00"/>
    <x v="641"/>
    <n v="59"/>
    <s v="Non Résolu"/>
    <s v="Non Trouvée"/>
    <s v="Aucun"/>
    <x v="1"/>
    <s v="Non Trouvée"/>
    <s v="Pas d'information"/>
    <s v="B2C"/>
  </r>
  <r>
    <d v="2023-10-24T00:00:00"/>
    <d v="1899-12-30T12:20:00"/>
    <x v="641"/>
    <n v="109"/>
    <s v="Non Résolu"/>
    <s v="Non Trouvée"/>
    <s v="Aucun"/>
    <x v="1"/>
    <s v="Non Trouvée"/>
    <s v="Pas d'information"/>
    <s v="B2C"/>
  </r>
  <r>
    <d v="2023-10-27T00:00:00"/>
    <d v="1899-12-30T21:29:00"/>
    <x v="641"/>
    <n v="42"/>
    <s v="Résolu"/>
    <s v="Non Trouvée"/>
    <s v="Aucun"/>
    <x v="1"/>
    <s v="Non Trouvée"/>
    <s v="Pas d'information"/>
    <s v="B2C"/>
  </r>
  <r>
    <d v="2023-10-05T00:00:00"/>
    <d v="1899-12-30T23:06:00"/>
    <x v="642"/>
    <n v="100"/>
    <s v="Non Résolu"/>
    <s v="Non Trouvée"/>
    <s v="Aucun"/>
    <x v="1"/>
    <s v="Non Trouvée"/>
    <s v="Pas d'information"/>
    <s v="B2C"/>
  </r>
  <r>
    <d v="2023-10-25T00:00:00"/>
    <d v="1899-12-30T09:05:00"/>
    <x v="642"/>
    <n v="53"/>
    <s v="En Cours"/>
    <s v="Non Trouvée"/>
    <s v="Aucun"/>
    <x v="1"/>
    <s v="Non Trouvée"/>
    <s v="Pas d'information"/>
    <s v="B2C"/>
  </r>
  <r>
    <d v="2023-10-03T00:00:00"/>
    <d v="1899-12-30T11:42:00"/>
    <x v="643"/>
    <n v="22"/>
    <s v="En Cours"/>
    <s v="Non Trouvée"/>
    <s v="Aucun"/>
    <x v="1"/>
    <s v="Non Trouvée"/>
    <s v="Pas d'information"/>
    <s v="B2C"/>
  </r>
  <r>
    <d v="2023-10-20T00:00:00"/>
    <d v="1899-12-30T21:47:00"/>
    <x v="644"/>
    <n v="92"/>
    <s v="Non Résolu"/>
    <s v="Non Trouvée"/>
    <s v="Aucun"/>
    <x v="1"/>
    <s v="Non Trouvée"/>
    <s v="Pas d'information"/>
    <s v="B2C"/>
  </r>
  <r>
    <d v="2023-10-07T00:00:00"/>
    <d v="1899-12-30T11:20:00"/>
    <x v="645"/>
    <n v="69"/>
    <s v="En Cours"/>
    <s v="Non Trouvée"/>
    <s v="Aucun"/>
    <x v="1"/>
    <s v="Non Trouvée"/>
    <s v="Pas d'information"/>
    <s v="B2C"/>
  </r>
  <r>
    <d v="2023-10-10T00:00:00"/>
    <d v="1899-12-30T21:47:00"/>
    <x v="646"/>
    <n v="99"/>
    <s v="En Cours"/>
    <s v="Kasai"/>
    <s v="CLI-00057"/>
    <x v="2"/>
    <s v="Ericsson"/>
    <s v="Bloqué 5Go"/>
    <s v="B2C"/>
  </r>
  <r>
    <d v="2023-10-10T00:00:00"/>
    <d v="1899-12-30T12:45:00"/>
    <x v="647"/>
    <n v="63"/>
    <s v="Résolu"/>
    <s v="Maniema"/>
    <s v="CLI-00039"/>
    <x v="0"/>
    <s v="Huawei"/>
    <s v="Pro Monde"/>
    <s v="B2B"/>
  </r>
  <r>
    <d v="2023-10-26T00:00:00"/>
    <d v="1899-12-30T05:07:00"/>
    <x v="648"/>
    <n v="35"/>
    <s v="En Cours"/>
    <s v="Non Trouvée"/>
    <s v="Aucun"/>
    <x v="1"/>
    <s v="Non Trouvée"/>
    <s v="Pas d'information"/>
    <s v="B2C"/>
  </r>
  <r>
    <d v="2023-10-17T00:00:00"/>
    <d v="1899-12-30T06:35:00"/>
    <x v="649"/>
    <n v="30"/>
    <s v="Non Résolu"/>
    <s v="Equateur"/>
    <s v="CLI-00091"/>
    <x v="2"/>
    <s v="ZTE"/>
    <s v="Bloqué 5Go"/>
    <s v="B2C"/>
  </r>
  <r>
    <d v="2023-10-25T00:00:00"/>
    <d v="1899-12-30T18:36:00"/>
    <x v="649"/>
    <n v="107"/>
    <s v="En Cours"/>
    <s v="Equateur"/>
    <s v="CLI-00091"/>
    <x v="2"/>
    <s v="ZTE"/>
    <s v="Bloqué 5Go"/>
    <s v="B2C"/>
  </r>
  <r>
    <d v="2023-10-31T00:00:00"/>
    <d v="1899-12-30T12:04:00"/>
    <x v="649"/>
    <n v="99"/>
    <s v="Résolu"/>
    <s v="Equateur"/>
    <s v="CLI-00091"/>
    <x v="2"/>
    <s v="ZTE"/>
    <s v="Bloqué 5Go"/>
    <s v="B2C"/>
  </r>
  <r>
    <d v="2023-10-02T00:00:00"/>
    <d v="1899-12-30T01:23:00"/>
    <x v="650"/>
    <n v="103"/>
    <s v="Résolu"/>
    <s v="Haut-Katanga"/>
    <s v="CLI-00059"/>
    <x v="3"/>
    <s v="ZTE"/>
    <s v="Pro Monde"/>
    <s v="B2B"/>
  </r>
  <r>
    <d v="2023-10-27T00:00:00"/>
    <d v="1899-12-30T15:50:00"/>
    <x v="650"/>
    <n v="65"/>
    <s v="Non Résolu"/>
    <s v="Haut-Katanga"/>
    <s v="CLI-00059"/>
    <x v="3"/>
    <s v="ZTE"/>
    <s v="Pro Monde"/>
    <s v="B2B"/>
  </r>
  <r>
    <d v="2023-10-02T00:00:00"/>
    <d v="1899-12-30T20:49:00"/>
    <x v="651"/>
    <n v="18"/>
    <s v="Résolu"/>
    <s v="Kongo-Central"/>
    <s v="CLI-00012"/>
    <x v="0"/>
    <s v="Nokia"/>
    <s v="Illimité 50Go"/>
    <s v="B2C"/>
  </r>
  <r>
    <d v="2023-10-08T00:00:00"/>
    <d v="1899-12-30T03:22:00"/>
    <x v="651"/>
    <n v="46"/>
    <s v="Non Résolu"/>
    <s v="Kongo-Central"/>
    <s v="CLI-00012"/>
    <x v="0"/>
    <s v="Nokia"/>
    <s v="Illimité 50Go"/>
    <s v="B2C"/>
  </r>
  <r>
    <d v="2023-10-16T00:00:00"/>
    <d v="1899-12-30T08:57:00"/>
    <x v="651"/>
    <n v="70"/>
    <s v="Non Résolu"/>
    <s v="Kongo-Central"/>
    <s v="CLI-00012"/>
    <x v="0"/>
    <s v="Nokia"/>
    <s v="Illimité 50Go"/>
    <s v="B2C"/>
  </r>
  <r>
    <d v="2023-10-21T00:00:00"/>
    <d v="1899-12-30T20:21:00"/>
    <x v="651"/>
    <n v="103"/>
    <s v="Résolu"/>
    <s v="Kongo-Central"/>
    <s v="CLI-00012"/>
    <x v="0"/>
    <s v="Nokia"/>
    <s v="Illimité 50Go"/>
    <s v="B2C"/>
  </r>
  <r>
    <d v="2023-10-10T00:00:00"/>
    <d v="1899-12-30T20:27:00"/>
    <x v="652"/>
    <n v="91"/>
    <s v="En Cours"/>
    <s v="Kwango"/>
    <s v="CLI-00094"/>
    <x v="2"/>
    <s v="Huawei"/>
    <s v="Pro Monde"/>
    <s v="B2B"/>
  </r>
  <r>
    <d v="2023-10-06T00:00:00"/>
    <d v="1899-12-30T08:17:00"/>
    <x v="653"/>
    <n v="109"/>
    <s v="Non Résolu"/>
    <s v="Lomami"/>
    <s v="CLI-00044"/>
    <x v="3"/>
    <s v="ZTE"/>
    <s v="Illimité 50Go"/>
    <s v="B2C"/>
  </r>
  <r>
    <d v="2023-10-27T00:00:00"/>
    <d v="1899-12-30T02:25:00"/>
    <x v="653"/>
    <n v="110"/>
    <s v="Non Résolu"/>
    <s v="Lomami"/>
    <s v="CLI-00044"/>
    <x v="3"/>
    <s v="ZTE"/>
    <s v="Illimité 50Go"/>
    <s v="B2C"/>
  </r>
  <r>
    <d v="2023-10-14T00:00:00"/>
    <d v="1899-12-30T18:43:00"/>
    <x v="654"/>
    <n v="120"/>
    <s v="Résolu"/>
    <s v="Sankuru"/>
    <s v="CLI-00197"/>
    <x v="3"/>
    <s v="Ericsson"/>
    <s v="Illimité 50Go"/>
    <s v="B2C"/>
  </r>
  <r>
    <d v="2023-10-23T00:00:00"/>
    <d v="1899-12-30T21:40:00"/>
    <x v="654"/>
    <n v="31"/>
    <s v="En Cours"/>
    <s v="Sankuru"/>
    <s v="CLI-00197"/>
    <x v="3"/>
    <s v="Ericsson"/>
    <s v="Illimité 50Go"/>
    <s v="B2C"/>
  </r>
  <r>
    <d v="2023-10-04T00:00:00"/>
    <d v="1899-12-30T00:45:00"/>
    <x v="655"/>
    <n v="36"/>
    <s v="En Cours"/>
    <s v="Non Trouvée"/>
    <s v="Aucun"/>
    <x v="1"/>
    <s v="Non Trouvée"/>
    <s v="Pas d'information"/>
    <s v="B2C"/>
  </r>
  <r>
    <d v="2023-10-17T00:00:00"/>
    <d v="1899-12-30T19:01:00"/>
    <x v="655"/>
    <n v="56"/>
    <s v="Résolu"/>
    <s v="Non Trouvée"/>
    <s v="Aucun"/>
    <x v="1"/>
    <s v="Non Trouvée"/>
    <s v="Pas d'information"/>
    <s v="B2C"/>
  </r>
  <r>
    <d v="2023-10-17T00:00:00"/>
    <d v="1899-12-30T17:31:00"/>
    <x v="656"/>
    <n v="109"/>
    <s v="En Cours"/>
    <s v="Kasai-Oriental"/>
    <s v="CLI-00107"/>
    <x v="0"/>
    <s v="Huawei"/>
    <s v="Premium 5G 150Go"/>
    <s v="B2C"/>
  </r>
  <r>
    <d v="2023-10-25T00:00:00"/>
    <d v="1899-12-30T03:57:00"/>
    <x v="657"/>
    <n v="57"/>
    <s v="Non Résolu"/>
    <s v="Non Trouvée"/>
    <s v="Aucun"/>
    <x v="1"/>
    <s v="Non Trouvée"/>
    <s v="Pas d'information"/>
    <s v="B2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CCE9E-FD89-487D-A880-F10B277A2278}" name="Tableau croisé dynamique2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Region_Impactées">
  <location ref="A3:B31" firstHeaderRow="1" firstDataRow="1" firstDataCol="1"/>
  <pivotFields count="8"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dataField="1" numFmtId="164" showAll="0">
      <items count="758">
        <item x="450"/>
        <item x="117"/>
        <item x="750"/>
        <item x="688"/>
        <item x="308"/>
        <item x="57"/>
        <item x="635"/>
        <item x="141"/>
        <item x="675"/>
        <item x="188"/>
        <item x="335"/>
        <item x="446"/>
        <item x="297"/>
        <item x="181"/>
        <item x="411"/>
        <item x="395"/>
        <item x="218"/>
        <item x="473"/>
        <item x="488"/>
        <item x="620"/>
        <item x="133"/>
        <item x="134"/>
        <item x="685"/>
        <item x="498"/>
        <item x="573"/>
        <item x="128"/>
        <item x="399"/>
        <item x="37"/>
        <item x="29"/>
        <item x="266"/>
        <item x="66"/>
        <item x="448"/>
        <item x="316"/>
        <item x="185"/>
        <item x="179"/>
        <item x="318"/>
        <item x="69"/>
        <item x="430"/>
        <item x="60"/>
        <item x="126"/>
        <item x="735"/>
        <item x="655"/>
        <item x="353"/>
        <item x="5"/>
        <item x="725"/>
        <item x="396"/>
        <item x="734"/>
        <item x="476"/>
        <item x="249"/>
        <item x="666"/>
        <item x="262"/>
        <item x="264"/>
        <item x="253"/>
        <item x="255"/>
        <item x="529"/>
        <item x="684"/>
        <item x="12"/>
        <item x="362"/>
        <item x="425"/>
        <item x="631"/>
        <item x="274"/>
        <item x="35"/>
        <item x="752"/>
        <item x="434"/>
        <item x="145"/>
        <item x="155"/>
        <item x="544"/>
        <item x="0"/>
        <item x="276"/>
        <item x="67"/>
        <item x="531"/>
        <item x="334"/>
        <item x="667"/>
        <item x="532"/>
        <item x="617"/>
        <item x="180"/>
        <item x="535"/>
        <item x="668"/>
        <item x="622"/>
        <item x="363"/>
        <item x="357"/>
        <item x="342"/>
        <item x="600"/>
        <item x="267"/>
        <item x="481"/>
        <item x="422"/>
        <item x="196"/>
        <item x="402"/>
        <item x="413"/>
        <item x="549"/>
        <item x="377"/>
        <item x="19"/>
        <item x="541"/>
        <item x="699"/>
        <item x="730"/>
        <item x="143"/>
        <item x="348"/>
        <item x="248"/>
        <item x="235"/>
        <item x="738"/>
        <item x="312"/>
        <item x="658"/>
        <item x="242"/>
        <item x="701"/>
        <item x="428"/>
        <item x="465"/>
        <item x="237"/>
        <item x="467"/>
        <item x="571"/>
        <item x="439"/>
        <item x="700"/>
        <item x="400"/>
        <item x="416"/>
        <item x="350"/>
        <item x="247"/>
        <item x="191"/>
        <item x="551"/>
        <item x="557"/>
        <item x="663"/>
        <item x="427"/>
        <item x="87"/>
        <item x="223"/>
        <item x="678"/>
        <item x="433"/>
        <item x="640"/>
        <item x="214"/>
        <item x="324"/>
        <item x="195"/>
        <item x="677"/>
        <item x="661"/>
        <item x="48"/>
        <item x="232"/>
        <item x="487"/>
        <item x="298"/>
        <item x="485"/>
        <item x="649"/>
        <item x="193"/>
        <item x="585"/>
        <item x="579"/>
        <item x="534"/>
        <item x="454"/>
        <item x="284"/>
        <item x="616"/>
        <item x="419"/>
        <item x="749"/>
        <item x="592"/>
        <item x="202"/>
        <item x="426"/>
        <item x="484"/>
        <item x="257"/>
        <item x="634"/>
        <item x="690"/>
        <item x="567"/>
        <item x="240"/>
        <item x="366"/>
        <item x="636"/>
        <item x="138"/>
        <item x="552"/>
        <item x="676"/>
        <item x="398"/>
        <item x="656"/>
        <item x="51"/>
        <item x="653"/>
        <item x="116"/>
        <item x="294"/>
        <item x="89"/>
        <item x="338"/>
        <item x="23"/>
        <item x="644"/>
        <item x="127"/>
        <item x="539"/>
        <item x="115"/>
        <item x="50"/>
        <item x="114"/>
        <item x="731"/>
        <item x="625"/>
        <item x="558"/>
        <item x="432"/>
        <item x="451"/>
        <item x="204"/>
        <item x="355"/>
        <item x="418"/>
        <item x="170"/>
        <item x="149"/>
        <item x="383"/>
        <item x="463"/>
        <item x="290"/>
        <item x="375"/>
        <item x="499"/>
        <item x="58"/>
        <item x="38"/>
        <item x="325"/>
        <item x="100"/>
        <item x="288"/>
        <item x="614"/>
        <item x="393"/>
        <item x="206"/>
        <item x="83"/>
        <item x="555"/>
        <item x="150"/>
        <item x="570"/>
        <item x="461"/>
        <item x="292"/>
        <item x="705"/>
        <item x="309"/>
        <item x="445"/>
        <item x="420"/>
        <item x="124"/>
        <item x="469"/>
        <item x="462"/>
        <item x="105"/>
        <item x="566"/>
        <item x="259"/>
        <item x="319"/>
        <item x="491"/>
        <item x="720"/>
        <item x="139"/>
        <item x="502"/>
        <item x="217"/>
        <item x="503"/>
        <item x="447"/>
        <item x="660"/>
        <item x="86"/>
        <item x="96"/>
        <item x="53"/>
        <item x="605"/>
        <item x="489"/>
        <item x="144"/>
        <item x="721"/>
        <item x="256"/>
        <item x="745"/>
        <item x="118"/>
        <item x="686"/>
        <item x="27"/>
        <item x="687"/>
        <item x="30"/>
        <item x="626"/>
        <item x="381"/>
        <item x="47"/>
        <item x="582"/>
        <item x="166"/>
        <item x="367"/>
        <item x="343"/>
        <item x="652"/>
        <item x="72"/>
        <item x="483"/>
        <item x="449"/>
        <item x="664"/>
        <item x="754"/>
        <item x="135"/>
        <item x="277"/>
        <item x="403"/>
        <item x="694"/>
        <item x="506"/>
        <item x="391"/>
        <item x="190"/>
        <item x="347"/>
        <item x="137"/>
        <item x="563"/>
        <item x="702"/>
        <item x="14"/>
        <item x="171"/>
        <item x="627"/>
        <item x="61"/>
        <item x="231"/>
        <item x="401"/>
        <item x="200"/>
        <item x="275"/>
        <item x="111"/>
        <item x="88"/>
        <item x="219"/>
        <item x="291"/>
        <item x="177"/>
        <item x="209"/>
        <item x="602"/>
        <item x="243"/>
        <item x="478"/>
        <item x="435"/>
        <item x="84"/>
        <item x="671"/>
        <item x="508"/>
        <item x="226"/>
        <item x="333"/>
        <item x="505"/>
        <item x="336"/>
        <item x="203"/>
        <item x="482"/>
        <item x="352"/>
        <item x="578"/>
        <item x="293"/>
        <item x="330"/>
        <item x="560"/>
        <item x="164"/>
        <item x="466"/>
        <item x="17"/>
        <item x="739"/>
        <item x="722"/>
        <item x="610"/>
        <item x="228"/>
        <item x="648"/>
        <item x="747"/>
        <item x="474"/>
        <item x="80"/>
        <item x="496"/>
        <item x="591"/>
        <item x="540"/>
        <item x="370"/>
        <item x="608"/>
        <item x="518"/>
        <item x="68"/>
        <item x="689"/>
        <item x="361"/>
        <item x="341"/>
        <item x="102"/>
        <item x="44"/>
        <item x="13"/>
        <item x="404"/>
        <item x="737"/>
        <item x="727"/>
        <item x="647"/>
        <item x="221"/>
        <item x="460"/>
        <item x="619"/>
        <item x="546"/>
        <item x="522"/>
        <item x="169"/>
        <item x="64"/>
        <item x="271"/>
        <item x="755"/>
        <item x="16"/>
        <item x="390"/>
        <item x="371"/>
        <item x="103"/>
        <item x="332"/>
        <item x="621"/>
        <item x="615"/>
        <item x="556"/>
        <item x="523"/>
        <item x="90"/>
        <item x="630"/>
        <item x="40"/>
        <item x="315"/>
        <item x="470"/>
        <item x="459"/>
        <item x="305"/>
        <item x="183"/>
        <item x="3"/>
        <item x="589"/>
        <item x="54"/>
        <item x="81"/>
        <item x="156"/>
        <item x="224"/>
        <item x="493"/>
        <item x="187"/>
        <item x="524"/>
        <item x="123"/>
        <item x="587"/>
        <item x="431"/>
        <item x="182"/>
        <item x="564"/>
        <item x="623"/>
        <item x="692"/>
        <item x="742"/>
        <item x="697"/>
        <item x="379"/>
        <item x="740"/>
        <item x="82"/>
        <item x="479"/>
        <item x="554"/>
        <item x="1"/>
        <item x="269"/>
        <item x="349"/>
        <item x="321"/>
        <item x="568"/>
        <item x="70"/>
        <item x="313"/>
        <item x="586"/>
        <item x="565"/>
        <item x="726"/>
        <item x="497"/>
        <item x="263"/>
        <item x="26"/>
        <item x="475"/>
        <item x="2"/>
        <item x="49"/>
        <item x="453"/>
        <item x="25"/>
        <item x="715"/>
        <item x="212"/>
        <item x="595"/>
        <item x="132"/>
        <item x="703"/>
        <item x="384"/>
        <item x="52"/>
        <item x="131"/>
        <item x="281"/>
        <item x="251"/>
        <item x="22"/>
        <item x="234"/>
        <item x="174"/>
        <item x="63"/>
        <item x="268"/>
        <item x="93"/>
        <item x="168"/>
        <item x="679"/>
        <item x="151"/>
        <item x="15"/>
        <item x="732"/>
        <item x="211"/>
        <item x="241"/>
        <item x="358"/>
        <item x="618"/>
        <item x="583"/>
        <item x="148"/>
        <item x="538"/>
        <item x="629"/>
        <item x="643"/>
        <item x="606"/>
        <item x="562"/>
        <item x="261"/>
        <item x="581"/>
        <item x="360"/>
        <item x="707"/>
        <item x="213"/>
        <item x="576"/>
        <item x="326"/>
        <item x="514"/>
        <item x="9"/>
        <item x="110"/>
        <item x="147"/>
        <item x="32"/>
        <item x="716"/>
        <item x="386"/>
        <item x="477"/>
        <item x="227"/>
        <item x="436"/>
        <item x="303"/>
        <item x="468"/>
        <item x="537"/>
        <item x="387"/>
        <item x="62"/>
        <item x="201"/>
        <item x="683"/>
        <item x="345"/>
        <item x="286"/>
        <item x="511"/>
        <item x="158"/>
        <item x="394"/>
        <item x="408"/>
        <item x="265"/>
        <item x="24"/>
        <item x="728"/>
        <item x="109"/>
        <item x="597"/>
        <item x="406"/>
        <item x="233"/>
        <item x="197"/>
        <item x="590"/>
        <item x="107"/>
        <item x="397"/>
        <item x="351"/>
        <item x="245"/>
        <item x="414"/>
        <item x="714"/>
        <item x="130"/>
        <item x="163"/>
        <item x="372"/>
        <item x="364"/>
        <item x="718"/>
        <item x="711"/>
        <item x="642"/>
        <item x="31"/>
        <item x="376"/>
        <item x="160"/>
        <item x="650"/>
        <item x="373"/>
        <item x="490"/>
        <item x="11"/>
        <item x="729"/>
        <item x="599"/>
        <item x="501"/>
        <item x="519"/>
        <item x="412"/>
        <item x="504"/>
        <item x="533"/>
        <item x="220"/>
        <item x="743"/>
        <item x="189"/>
        <item x="56"/>
        <item x="748"/>
        <item x="548"/>
        <item x="73"/>
        <item x="405"/>
        <item x="510"/>
        <item x="199"/>
        <item x="547"/>
        <item x="125"/>
        <item x="588"/>
        <item x="536"/>
        <item x="670"/>
        <item x="75"/>
        <item x="646"/>
        <item x="272"/>
        <item x="593"/>
        <item x="157"/>
        <item x="509"/>
        <item x="252"/>
        <item x="33"/>
        <item x="21"/>
        <item x="637"/>
        <item x="706"/>
        <item x="101"/>
        <item x="452"/>
        <item x="331"/>
        <item x="513"/>
        <item x="561"/>
        <item x="295"/>
        <item x="382"/>
        <item x="515"/>
        <item x="278"/>
        <item x="152"/>
        <item x="92"/>
        <item x="210"/>
        <item x="310"/>
        <item x="609"/>
        <item x="455"/>
        <item x="74"/>
        <item x="424"/>
        <item x="85"/>
        <item x="244"/>
        <item x="306"/>
        <item x="440"/>
        <item x="354"/>
        <item x="359"/>
        <item x="457"/>
        <item x="628"/>
        <item x="613"/>
        <item x="175"/>
        <item x="339"/>
        <item x="654"/>
        <item x="415"/>
        <item x="225"/>
        <item x="106"/>
        <item x="95"/>
        <item x="104"/>
        <item x="604"/>
        <item x="374"/>
        <item x="344"/>
        <item x="691"/>
        <item x="287"/>
        <item x="42"/>
        <item x="77"/>
        <item x="198"/>
        <item x="471"/>
        <item x="756"/>
        <item x="340"/>
        <item x="612"/>
        <item x="410"/>
        <item x="657"/>
        <item x="723"/>
        <item x="407"/>
        <item x="550"/>
        <item x="438"/>
        <item x="78"/>
        <item x="596"/>
        <item x="119"/>
        <item x="693"/>
        <item x="417"/>
        <item x="517"/>
        <item x="553"/>
        <item x="365"/>
        <item x="494"/>
        <item x="719"/>
        <item x="443"/>
        <item x="704"/>
        <item x="161"/>
        <item x="611"/>
        <item x="112"/>
        <item x="270"/>
        <item x="392"/>
        <item x="458"/>
        <item x="167"/>
        <item x="733"/>
        <item x="222"/>
        <item x="184"/>
        <item x="39"/>
        <item x="594"/>
        <item x="575"/>
        <item x="229"/>
        <item x="380"/>
        <item x="437"/>
        <item x="91"/>
        <item x="444"/>
        <item x="282"/>
        <item x="603"/>
        <item x="662"/>
        <item x="71"/>
        <item x="385"/>
        <item x="36"/>
        <item x="285"/>
        <item x="751"/>
        <item x="673"/>
        <item x="708"/>
        <item x="472"/>
        <item x="507"/>
        <item x="186"/>
        <item x="512"/>
        <item x="421"/>
        <item x="520"/>
        <item x="327"/>
        <item x="65"/>
        <item x="192"/>
        <item x="129"/>
        <item x="441"/>
        <item x="545"/>
        <item x="162"/>
        <item x="173"/>
        <item x="624"/>
        <item x="480"/>
        <item x="530"/>
        <item x="388"/>
        <item x="34"/>
        <item x="516"/>
        <item x="194"/>
        <item x="632"/>
        <item x="18"/>
        <item x="526"/>
        <item x="753"/>
        <item x="329"/>
        <item x="20"/>
        <item x="322"/>
        <item x="580"/>
        <item x="521"/>
        <item x="328"/>
        <item x="681"/>
        <item x="236"/>
        <item x="154"/>
        <item x="746"/>
        <item x="559"/>
        <item x="710"/>
        <item x="423"/>
        <item x="79"/>
        <item x="709"/>
        <item x="46"/>
        <item x="205"/>
        <item x="55"/>
        <item x="569"/>
        <item x="741"/>
        <item x="495"/>
        <item x="258"/>
        <item x="97"/>
        <item x="464"/>
        <item x="43"/>
        <item x="94"/>
        <item x="429"/>
        <item x="176"/>
        <item x="368"/>
        <item x="45"/>
        <item x="601"/>
        <item x="314"/>
        <item x="712"/>
        <item x="136"/>
        <item x="28"/>
        <item x="672"/>
        <item x="651"/>
        <item x="356"/>
        <item x="323"/>
        <item x="108"/>
        <item x="121"/>
        <item x="674"/>
        <item x="159"/>
        <item x="698"/>
        <item x="299"/>
        <item x="300"/>
        <item x="216"/>
        <item x="302"/>
        <item x="146"/>
        <item x="669"/>
        <item x="500"/>
        <item x="301"/>
        <item x="246"/>
        <item x="98"/>
        <item x="736"/>
        <item x="76"/>
        <item x="744"/>
        <item x="7"/>
        <item x="696"/>
        <item x="153"/>
        <item x="208"/>
        <item x="525"/>
        <item x="280"/>
        <item x="59"/>
        <item x="695"/>
        <item x="317"/>
        <item x="337"/>
        <item x="10"/>
        <item x="311"/>
        <item x="543"/>
        <item x="577"/>
        <item x="378"/>
        <item x="172"/>
        <item x="6"/>
        <item x="574"/>
        <item x="584"/>
        <item x="304"/>
        <item x="542"/>
        <item x="296"/>
        <item x="409"/>
        <item x="598"/>
        <item x="486"/>
        <item x="140"/>
        <item x="645"/>
        <item x="528"/>
        <item x="122"/>
        <item x="41"/>
        <item x="279"/>
        <item x="230"/>
        <item x="207"/>
        <item x="273"/>
        <item x="120"/>
        <item x="260"/>
        <item x="239"/>
        <item x="307"/>
        <item x="254"/>
        <item x="165"/>
        <item x="389"/>
        <item x="641"/>
        <item x="682"/>
        <item x="369"/>
        <item x="572"/>
        <item x="178"/>
        <item x="680"/>
        <item x="456"/>
        <item x="717"/>
        <item x="215"/>
        <item x="665"/>
        <item x="289"/>
        <item x="320"/>
        <item x="713"/>
        <item x="8"/>
        <item x="238"/>
        <item x="639"/>
        <item x="638"/>
        <item x="4"/>
        <item x="142"/>
        <item x="724"/>
        <item x="250"/>
        <item x="633"/>
        <item x="283"/>
        <item x="527"/>
        <item x="442"/>
        <item x="607"/>
        <item x="113"/>
        <item x="346"/>
        <item x="659"/>
        <item x="99"/>
        <item x="492"/>
        <item t="default"/>
      </items>
    </pivotField>
    <pivotField showAll="0">
      <items count="659">
        <item x="128"/>
        <item x="575"/>
        <item x="244"/>
        <item x="646"/>
        <item x="523"/>
        <item x="534"/>
        <item x="316"/>
        <item x="75"/>
        <item x="368"/>
        <item x="156"/>
        <item x="370"/>
        <item x="448"/>
        <item x="449"/>
        <item x="151"/>
        <item x="167"/>
        <item x="564"/>
        <item x="201"/>
        <item x="542"/>
        <item x="535"/>
        <item x="395"/>
        <item x="594"/>
        <item x="260"/>
        <item x="193"/>
        <item x="337"/>
        <item x="83"/>
        <item x="441"/>
        <item x="450"/>
        <item x="568"/>
        <item x="84"/>
        <item x="174"/>
        <item x="46"/>
        <item x="333"/>
        <item x="37"/>
        <item x="391"/>
        <item x="514"/>
        <item x="34"/>
        <item x="506"/>
        <item x="38"/>
        <item x="537"/>
        <item x="452"/>
        <item x="519"/>
        <item x="116"/>
        <item x="284"/>
        <item x="338"/>
        <item x="510"/>
        <item x="362"/>
        <item x="229"/>
        <item x="285"/>
        <item x="507"/>
        <item x="249"/>
        <item x="135"/>
        <item x="317"/>
        <item x="427"/>
        <item x="508"/>
        <item x="203"/>
        <item x="63"/>
        <item x="372"/>
        <item x="578"/>
        <item x="131"/>
        <item x="319"/>
        <item x="356"/>
        <item x="191"/>
        <item x="483"/>
        <item x="142"/>
        <item x="613"/>
        <item x="195"/>
        <item x="123"/>
        <item x="622"/>
        <item x="423"/>
        <item x="413"/>
        <item x="555"/>
        <item x="621"/>
        <item x="291"/>
        <item x="601"/>
        <item x="408"/>
        <item x="124"/>
        <item x="320"/>
        <item x="20"/>
        <item x="589"/>
        <item x="214"/>
        <item x="39"/>
        <item x="144"/>
        <item x="96"/>
        <item x="21"/>
        <item x="581"/>
        <item x="651"/>
        <item x="217"/>
        <item x="152"/>
        <item x="402"/>
        <item x="72"/>
        <item x="472"/>
        <item x="220"/>
        <item x="243"/>
        <item x="404"/>
        <item x="348"/>
        <item x="200"/>
        <item x="101"/>
        <item x="307"/>
        <item x="350"/>
        <item x="318"/>
        <item x="68"/>
        <item x="381"/>
        <item x="277"/>
        <item x="145"/>
        <item x="185"/>
        <item x="253"/>
        <item x="109"/>
        <item x="188"/>
        <item x="558"/>
        <item x="209"/>
        <item x="197"/>
        <item x="433"/>
        <item x="436"/>
        <item x="509"/>
        <item x="281"/>
        <item x="485"/>
        <item x="65"/>
        <item x="255"/>
        <item x="11"/>
        <item x="108"/>
        <item x="411"/>
        <item x="360"/>
        <item x="630"/>
        <item x="62"/>
        <item x="205"/>
        <item x="462"/>
        <item x="102"/>
        <item x="298"/>
        <item x="432"/>
        <item x="295"/>
        <item x="110"/>
        <item x="31"/>
        <item x="573"/>
        <item x="643"/>
        <item x="278"/>
        <item x="164"/>
        <item x="227"/>
        <item x="208"/>
        <item x="7"/>
        <item x="376"/>
        <item x="210"/>
        <item x="103"/>
        <item x="540"/>
        <item x="330"/>
        <item x="572"/>
        <item x="106"/>
        <item x="351"/>
        <item x="143"/>
        <item x="236"/>
        <item x="403"/>
        <item x="635"/>
        <item x="166"/>
        <item x="352"/>
        <item x="346"/>
        <item x="279"/>
        <item x="234"/>
        <item x="482"/>
        <item x="0"/>
        <item x="473"/>
        <item x="636"/>
        <item x="86"/>
        <item x="336"/>
        <item x="637"/>
        <item x="457"/>
        <item x="393"/>
        <item x="105"/>
        <item x="219"/>
        <item x="520"/>
        <item x="165"/>
        <item x="3"/>
        <item x="2"/>
        <item x="80"/>
        <item x="373"/>
        <item x="309"/>
        <item x="170"/>
        <item x="611"/>
        <item x="655"/>
        <item x="641"/>
        <item x="49"/>
        <item x="23"/>
        <item x="206"/>
        <item x="434"/>
        <item x="26"/>
        <item x="82"/>
        <item x="538"/>
        <item x="554"/>
        <item x="76"/>
        <item x="491"/>
        <item x="42"/>
        <item x="252"/>
        <item x="430"/>
        <item x="226"/>
        <item x="73"/>
        <item x="115"/>
        <item x="69"/>
        <item x="401"/>
        <item x="27"/>
        <item x="61"/>
        <item x="238"/>
        <item x="25"/>
        <item x="78"/>
        <item x="387"/>
        <item x="614"/>
        <item x="94"/>
        <item x="273"/>
        <item x="222"/>
        <item x="399"/>
        <item x="648"/>
        <item x="469"/>
        <item x="588"/>
        <item x="428"/>
        <item x="536"/>
        <item x="513"/>
        <item x="171"/>
        <item x="153"/>
        <item x="576"/>
        <item x="517"/>
        <item x="392"/>
        <item x="394"/>
        <item x="107"/>
        <item x="342"/>
        <item x="593"/>
        <item x="375"/>
        <item x="85"/>
        <item x="293"/>
        <item x="606"/>
        <item x="114"/>
        <item x="30"/>
        <item x="263"/>
        <item x="533"/>
        <item x="390"/>
        <item x="561"/>
        <item x="198"/>
        <item x="595"/>
        <item x="414"/>
        <item x="87"/>
        <item x="454"/>
        <item x="237"/>
        <item x="88"/>
        <item x="596"/>
        <item x="597"/>
        <item x="598"/>
        <item x="599"/>
        <item x="435"/>
        <item x="141"/>
        <item x="418"/>
        <item x="492"/>
        <item x="261"/>
        <item x="587"/>
        <item x="438"/>
        <item x="231"/>
        <item x="53"/>
        <item x="93"/>
        <item x="178"/>
        <item x="585"/>
        <item x="269"/>
        <item x="271"/>
        <item x="493"/>
        <item x="77"/>
        <item x="494"/>
        <item x="9"/>
        <item x="177"/>
        <item x="421"/>
        <item x="559"/>
        <item x="495"/>
        <item x="476"/>
        <item x="321"/>
        <item x="489"/>
        <item x="183"/>
        <item x="361"/>
        <item x="496"/>
        <item x="268"/>
        <item x="95"/>
        <item x="259"/>
        <item x="378"/>
        <item x="455"/>
        <item x="15"/>
        <item x="194"/>
        <item x="189"/>
        <item x="412"/>
        <item x="326"/>
        <item x="516"/>
        <item x="650"/>
        <item x="471"/>
        <item x="181"/>
        <item x="327"/>
        <item x="385"/>
        <item x="511"/>
        <item x="56"/>
        <item x="159"/>
        <item x="265"/>
        <item x="71"/>
        <item x="218"/>
        <item x="440"/>
        <item x="215"/>
        <item x="97"/>
        <item x="499"/>
        <item x="550"/>
        <item x="481"/>
        <item x="130"/>
        <item x="546"/>
        <item x="410"/>
        <item x="610"/>
        <item x="324"/>
        <item x="624"/>
        <item x="19"/>
        <item x="18"/>
        <item x="626"/>
        <item x="656"/>
        <item x="369"/>
        <item x="264"/>
        <item x="479"/>
        <item x="297"/>
        <item x="474"/>
        <item x="439"/>
        <item x="13"/>
        <item x="74"/>
        <item x="202"/>
        <item x="306"/>
        <item x="274"/>
        <item x="417"/>
        <item x="272"/>
        <item x="437"/>
        <item x="8"/>
        <item x="355"/>
        <item x="486"/>
        <item x="388"/>
        <item x="60"/>
        <item x="126"/>
        <item x="90"/>
        <item x="196"/>
        <item x="121"/>
        <item x="459"/>
        <item x="632"/>
        <item x="444"/>
        <item x="553"/>
        <item x="54"/>
        <item x="254"/>
        <item x="396"/>
        <item x="466"/>
        <item x="221"/>
        <item x="81"/>
        <item x="505"/>
        <item x="468"/>
        <item x="345"/>
        <item x="652"/>
        <item x="150"/>
        <item x="207"/>
        <item x="364"/>
        <item x="503"/>
        <item x="639"/>
        <item x="644"/>
        <item x="566"/>
        <item x="477"/>
        <item x="6"/>
        <item x="475"/>
        <item x="187"/>
        <item x="186"/>
        <item x="409"/>
        <item x="270"/>
        <item x="582"/>
        <item x="530"/>
        <item x="28"/>
        <item x="168"/>
        <item x="162"/>
        <item x="161"/>
        <item x="544"/>
        <item x="467"/>
        <item x="545"/>
        <item x="420"/>
        <item x="294"/>
        <item x="35"/>
        <item x="45"/>
        <item x="547"/>
        <item x="548"/>
        <item x="332"/>
        <item x="615"/>
        <item x="52"/>
        <item x="470"/>
        <item x="242"/>
        <item x="657"/>
        <item x="556"/>
        <item x="549"/>
        <item x="358"/>
        <item x="59"/>
        <item x="139"/>
        <item x="137"/>
        <item x="618"/>
        <item x="119"/>
        <item x="257"/>
        <item x="551"/>
        <item x="604"/>
        <item x="17"/>
        <item x="453"/>
        <item x="638"/>
        <item x="543"/>
        <item x="67"/>
        <item x="286"/>
        <item x="248"/>
        <item x="488"/>
        <item x="247"/>
        <item x="512"/>
        <item x="14"/>
        <item x="563"/>
        <item x="363"/>
        <item x="276"/>
        <item x="633"/>
        <item x="349"/>
        <item x="464"/>
        <item x="262"/>
        <item x="616"/>
        <item x="16"/>
        <item x="379"/>
        <item x="451"/>
        <item x="204"/>
        <item x="460"/>
        <item x="275"/>
        <item x="32"/>
        <item x="634"/>
        <item x="386"/>
        <item x="347"/>
        <item x="66"/>
        <item x="136"/>
        <item x="424"/>
        <item x="5"/>
        <item x="419"/>
        <item x="211"/>
        <item x="134"/>
        <item x="425"/>
        <item x="627"/>
        <item x="526"/>
        <item x="315"/>
        <item x="55"/>
        <item x="397"/>
        <item x="50"/>
        <item x="302"/>
        <item x="522"/>
        <item x="340"/>
        <item x="487"/>
        <item x="118"/>
        <item x="140"/>
        <item x="631"/>
        <item x="569"/>
        <item x="501"/>
        <item x="608"/>
        <item x="91"/>
        <item x="619"/>
        <item x="224"/>
        <item x="484"/>
        <item x="629"/>
        <item x="583"/>
        <item x="371"/>
        <item x="241"/>
        <item x="117"/>
        <item x="182"/>
        <item x="642"/>
        <item x="155"/>
        <item x="149"/>
        <item x="154"/>
        <item x="640"/>
        <item x="213"/>
        <item x="328"/>
        <item x="225"/>
        <item x="600"/>
        <item x="405"/>
        <item x="562"/>
        <item x="570"/>
        <item x="24"/>
        <item x="463"/>
        <item x="647"/>
        <item x="296"/>
        <item x="301"/>
        <item x="552"/>
        <item x="308"/>
        <item x="609"/>
        <item x="70"/>
        <item x="48"/>
        <item x="515"/>
        <item x="192"/>
        <item x="602"/>
        <item x="147"/>
        <item x="518"/>
        <item x="179"/>
        <item x="44"/>
        <item x="47"/>
        <item x="100"/>
        <item x="422"/>
        <item x="10"/>
        <item x="567"/>
        <item x="92"/>
        <item x="228"/>
        <item x="89"/>
        <item x="41"/>
        <item x="331"/>
        <item x="235"/>
        <item x="524"/>
        <item x="104"/>
        <item x="529"/>
        <item x="458"/>
        <item x="532"/>
        <item x="380"/>
        <item x="343"/>
        <item x="357"/>
        <item x="416"/>
        <item x="29"/>
        <item x="310"/>
        <item x="267"/>
        <item x="649"/>
        <item x="334"/>
        <item x="4"/>
        <item x="497"/>
        <item x="266"/>
        <item x="498"/>
        <item x="99"/>
        <item x="169"/>
        <item x="398"/>
        <item x="304"/>
        <item x="64"/>
        <item x="176"/>
        <item x="384"/>
        <item x="400"/>
        <item x="456"/>
        <item x="426"/>
        <item x="199"/>
        <item x="288"/>
        <item x="289"/>
        <item x="40"/>
        <item x="146"/>
        <item x="500"/>
        <item x="382"/>
        <item x="303"/>
        <item x="625"/>
        <item x="22"/>
        <item x="341"/>
        <item x="339"/>
        <item x="1"/>
        <item x="173"/>
        <item x="113"/>
        <item x="314"/>
        <item x="359"/>
        <item x="216"/>
        <item x="465"/>
        <item x="389"/>
        <item x="239"/>
        <item x="607"/>
        <item x="531"/>
        <item x="240"/>
        <item x="299"/>
        <item x="250"/>
        <item x="344"/>
        <item x="565"/>
        <item x="580"/>
        <item x="528"/>
        <item x="374"/>
        <item x="233"/>
        <item x="628"/>
        <item x="461"/>
        <item x="232"/>
        <item x="230"/>
        <item x="480"/>
        <item x="160"/>
        <item x="653"/>
        <item x="415"/>
        <item x="305"/>
        <item x="617"/>
        <item x="51"/>
        <item x="353"/>
        <item x="322"/>
        <item x="138"/>
        <item x="577"/>
        <item x="323"/>
        <item x="521"/>
        <item x="292"/>
        <item x="541"/>
        <item x="605"/>
        <item x="603"/>
        <item x="256"/>
        <item x="377"/>
        <item x="112"/>
        <item x="571"/>
        <item x="111"/>
        <item x="325"/>
        <item x="133"/>
        <item x="560"/>
        <item x="190"/>
        <item x="445"/>
        <item x="383"/>
        <item x="148"/>
        <item x="504"/>
        <item x="446"/>
        <item x="158"/>
        <item x="300"/>
        <item x="245"/>
        <item x="98"/>
        <item x="311"/>
        <item x="623"/>
        <item x="612"/>
        <item x="592"/>
        <item x="312"/>
        <item x="407"/>
        <item x="431"/>
        <item x="282"/>
        <item x="180"/>
        <item x="120"/>
        <item x="283"/>
        <item x="525"/>
        <item x="366"/>
        <item x="184"/>
        <item x="406"/>
        <item x="591"/>
        <item x="527"/>
        <item x="645"/>
        <item x="122"/>
        <item x="447"/>
        <item x="429"/>
        <item x="620"/>
        <item x="12"/>
        <item x="329"/>
        <item x="539"/>
        <item x="557"/>
        <item x="127"/>
        <item x="502"/>
        <item x="478"/>
        <item x="246"/>
        <item x="313"/>
        <item x="354"/>
        <item x="36"/>
        <item x="579"/>
        <item x="132"/>
        <item x="251"/>
        <item x="654"/>
        <item x="335"/>
        <item x="172"/>
        <item x="33"/>
        <item x="584"/>
        <item x="223"/>
        <item x="58"/>
        <item x="175"/>
        <item x="125"/>
        <item x="367"/>
        <item x="586"/>
        <item x="258"/>
        <item x="157"/>
        <item x="79"/>
        <item x="490"/>
        <item x="212"/>
        <item x="287"/>
        <item x="280"/>
        <item x="590"/>
        <item x="442"/>
        <item x="57"/>
        <item x="43"/>
        <item x="290"/>
        <item x="163"/>
        <item x="365"/>
        <item x="129"/>
        <item x="443"/>
        <item x="574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axis="axisRow" showAll="0">
      <items count="28">
        <item sd="0" x="3"/>
        <item sd="0" x="24"/>
        <item sd="0" x="10"/>
        <item sd="0" x="7"/>
        <item sd="0" x="17"/>
        <item sd="0" x="11"/>
        <item sd="0" x="6"/>
        <item sd="0" x="20"/>
        <item sd="0" x="15"/>
        <item sd="0" x="12"/>
        <item sd="0" x="5"/>
        <item sd="0" x="26"/>
        <item sd="0" x="8"/>
        <item sd="0" x="2"/>
        <item sd="0" x="25"/>
        <item sd="0" x="14"/>
        <item sd="0" x="23"/>
        <item sd="0" x="22"/>
        <item sd="0" x="13"/>
        <item sd="0" x="16"/>
        <item sd="0" x="0"/>
        <item sd="0" x="4"/>
        <item sd="0" x="1"/>
        <item sd="0" x="18"/>
        <item sd="0" x="19"/>
        <item sd="0" x="21"/>
        <item sd="0" x="9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5"/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e de Date_Heure_Panne.2" fld="1" baseField="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7EAB8-A727-4783-8E98-A33012BCE876}" name="Tableau croisé dynamique3" cacheId="1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C7" firstHeaderRow="1" firstDataRow="1" firstDataCol="1"/>
  <pivotFields count="11">
    <pivotField numFmtId="14" showAll="0"/>
    <pivotField numFmtId="164" showAll="0"/>
    <pivotField dataField="1" showAll="0">
      <items count="6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0"/>
        <item x="2"/>
        <item h="1" x="1"/>
        <item t="default"/>
      </items>
    </pivotField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Cell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F9A4F-3DFF-485E-B112-7387CA77BA07}" name="Tableau croisé dynamique7" cacheId="13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30" firstHeaderRow="0" firstDataRow="1" firstDataCol="1"/>
  <pivotFields count="4">
    <pivotField axis="axisRow" allDrilled="1" subtotalTop="0" showAll="0" dataSourceSort="1" defaultSubtotal="0" defaultAttributeDrillState="1">
      <items count="26">
        <item s="1" x="0" e="0"/>
        <item s="1" x="1" e="0"/>
        <item s="1" x="2" e="0"/>
        <item s="1" x="3" e="0"/>
        <item s="1" x="4" e="0"/>
        <item s="1" x="5" e="0"/>
        <item s="1" x="6" e="0"/>
        <item s="1" x="7" e="0"/>
        <item s="1" x="8" e="0"/>
        <item s="1" x="9" e="0"/>
        <item s="1" x="10" e="0"/>
        <item s="1" x="11" e="0"/>
        <item s="1" x="12" e="0"/>
        <item s="1" x="13" e="0"/>
        <item s="1" x="14" e="0"/>
        <item s="1" x="15" e="0"/>
        <item s="1" x="16" e="0"/>
        <item s="1" x="17" e="0"/>
        <item s="1" x="18" e="0"/>
        <item s="1" x="19" e="0"/>
        <item s="1" x="20" e="0"/>
        <item s="1" x="21" e="0"/>
        <item s="1" x="22" e="0"/>
        <item s="1" x="23" e="0"/>
        <item s="1" x="24" e="0"/>
        <item s="1" x="25" e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_Resolution" fld="2" subtotal="count" baseField="0" baseItem="0"/>
    <dataField fld="3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ADEA TELCO.xlsx!Logs_Reseau6">
        <x15:activeTabTopLevelEntity name="[Logs_Reseau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A4CA50E-A672-4082-B789-E62134CB6721}" autoFormatId="16" applyNumberFormats="0" applyBorderFormats="0" applyFontFormats="0" applyPatternFormats="0" applyAlignmentFormats="0" applyWidthHeightFormats="0">
  <queryTableRefresh nextId="10">
    <queryTableFields count="8"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9" dataBound="0" tableColumnId="9"/>
      <queryTableField id="7" name="Facture_Mensuelle" tableColumnId="7"/>
      <queryTableField id="8" name="Plaintes_Service_Clie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48656DA6-742F-426D-8629-4F3F192B0E2B}" autoFormatId="16" applyNumberFormats="0" applyBorderFormats="0" applyFontFormats="0" applyPatternFormats="0" applyAlignmentFormats="0" applyWidthHeightFormats="0">
  <queryTableRefresh nextId="12">
    <queryTableFields count="5">
      <queryTableField id="8" name="Date_Heure_Panne.1" tableColumnId="8"/>
      <queryTableField id="9" name="Date_Heure_Panne.2" tableColumnId="9"/>
      <queryTableField id="3" name="Cell_ID" tableColumnId="3"/>
      <queryTableField id="4" name="Duree_Panne_Min" tableColumnId="4"/>
      <queryTableField id="5" name="Statut_Resolu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1" xr16:uid="{AC1D4973-1251-4689-850C-78C83BD6085F}" autoFormatId="16" applyNumberFormats="0" applyBorderFormats="0" applyFontFormats="0" applyPatternFormats="0" applyAlignmentFormats="0" applyWidthHeightFormats="0">
  <queryTableRefresh nextId="8">
    <queryTableFields count="6"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A047C082-8077-4677-9350-1FF6235697D1}" autoFormatId="16" applyNumberFormats="0" applyBorderFormats="0" applyFontFormats="0" applyPatternFormats="0" applyAlignmentFormats="0" applyWidthHeightFormats="0">
  <queryTableRefresh nextId="23" unboundColumnsRight="11">
    <queryTableFields count="16">
      <queryTableField id="8" name="Date_Heure_Panne.1" tableColumnId="8"/>
      <queryTableField id="9" name="Date_Heure_Panne.2" tableColumnId="9"/>
      <queryTableField id="3" name="Cell_ID" tableColumnId="3"/>
      <queryTableField id="4" name="Duree_Panne_Min" tableColumnId="4"/>
      <queryTableField id="5" name="Statut_Resolution" tableColumnId="5"/>
      <queryTableField id="12" dataBound="0" tableColumnId="1"/>
      <queryTableField id="13" dataBound="0" tableColumnId="2"/>
      <queryTableField id="14" dataBound="0" tableColumnId="6"/>
      <queryTableField id="15" dataBound="0" tableColumnId="7"/>
      <queryTableField id="16" dataBound="0" tableColumnId="10"/>
      <queryTableField id="17" dataBound="0" tableColumnId="11"/>
      <queryTableField id="18" dataBound="0" tableColumnId="12"/>
      <queryTableField id="19" dataBound="0" tableColumnId="13"/>
      <queryTableField id="22" dataBound="0" tableColumnId="16"/>
      <queryTableField id="20" dataBound="0" tableColumnId="14"/>
      <queryTableField id="21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84183-F4DE-4419-A0FD-4D5068D9D1A1}" name="Clients_Churn" displayName="Clients_Churn" ref="A2:H750" tableType="queryTable" totalsRowShown="0">
  <autoFilter ref="A2:H750" xr:uid="{0BC84183-F4DE-4419-A0FD-4D5068D9D1A1}"/>
  <tableColumns count="8">
    <tableColumn id="2" xr3:uid="{06DAF228-5775-45F3-9F00-2BF8FF67DF94}" uniqueName="2" name="ID_Client" queryTableFieldId="2" dataDxfId="26"/>
    <tableColumn id="3" xr3:uid="{21110155-435A-4F7F-90BC-66FE9E53003E}" uniqueName="3" name="Province_Client" queryTableFieldId="3" dataDxfId="25"/>
    <tableColumn id="4" xr3:uid="{09C71473-4BCA-45DF-9A21-EC087C7BEAB7}" uniqueName="4" name="Anciennete_Mois" queryTableFieldId="4"/>
    <tableColumn id="5" xr3:uid="{08268500-E298-461A-8728-E8FA32D01573}" uniqueName="5" name="Type_Forfait" queryTableFieldId="5" dataDxfId="24"/>
    <tableColumn id="6" xr3:uid="{4355A396-DEAA-4D00-B52D-37F0ACAA24ED}" uniqueName="6" name="Duree_Cumulee_Panne_Min" queryTableFieldId="6"/>
    <tableColumn id="9" xr3:uid="{C1DCCACF-9A58-430F-8B3F-E6219A489019}" uniqueName="9" name="Heure" queryTableFieldId="9" dataDxfId="23">
      <calculatedColumnFormula>Clients_Churn[[#This Row],[Duree_Cumulee_Panne_Min]]/1440</calculatedColumnFormula>
    </tableColumn>
    <tableColumn id="7" xr3:uid="{4166D190-3D28-4FFC-BF5B-DDC003D279D7}" uniqueName="7" name="Facture_Mensuelle" queryTableFieldId="7"/>
    <tableColumn id="8" xr3:uid="{7DDA4972-DE65-4CA9-80C4-32B13ACD16C5}" uniqueName="8" name="Plaintes_Service_Client" queryTableFieldId="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F68CE0-C0DA-4155-8E17-E3A00FF85E03}" name="Logs_Reseau" displayName="Logs_Reseau" ref="A1:E1075" tableType="queryTable" totalsRowShown="0">
  <autoFilter ref="A1:E1075" xr:uid="{F3F68CE0-C0DA-4155-8E17-E3A00FF85E03}"/>
  <tableColumns count="5">
    <tableColumn id="8" xr3:uid="{BAA627B1-7F93-46A6-9F08-6092E70DCE13}" uniqueName="8" name="Date_Heure_Panne.1" queryTableFieldId="8" dataDxfId="16"/>
    <tableColumn id="9" xr3:uid="{BBC06065-2F08-4A1E-8CA7-F977473CA07B}" uniqueName="9" name="Date_Heure_Panne.2" queryTableFieldId="9" dataDxfId="15"/>
    <tableColumn id="3" xr3:uid="{DA186502-7F16-44D9-8EDA-632838E1FBAC}" uniqueName="3" name="Cell_ID" queryTableFieldId="3" dataDxfId="22"/>
    <tableColumn id="4" xr3:uid="{48B1D252-2F0A-4E3F-80BB-B35F999D5F41}" uniqueName="4" name="Duree_Panne_Min" queryTableFieldId="4"/>
    <tableColumn id="5" xr3:uid="{FAE5C2FD-629D-43A9-AB64-3088B7F3E286}" uniqueName="5" name="Statut_Resolution" queryTableFieldId="5" dataDxfId="2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8C371C-DA03-47F8-BD43-5AF5CB3467D1}" name="Registre" displayName="Registre" ref="A1:F499" tableType="queryTable" totalsRowShown="0">
  <autoFilter ref="A1:F499" xr:uid="{7A8C371C-DA03-47F8-BD43-5AF5CB3467D1}"/>
  <tableColumns count="6">
    <tableColumn id="2" xr3:uid="{E206A39C-0866-4291-9464-B43A3D6E3E92}" uniqueName="2" name="ID_Antenne" queryTableFieldId="2" dataDxfId="20"/>
    <tableColumn id="3" xr3:uid="{677F8064-9BB1-412B-A8F7-F472F6B18EA7}" uniqueName="3" name="Province_RDC" queryTableFieldId="3" dataDxfId="19"/>
    <tableColumn id="4" xr3:uid="{7CE95383-2152-411E-912C-AE063E74E5BB}" uniqueName="4" name="Latitude" queryTableFieldId="4"/>
    <tableColumn id="5" xr3:uid="{54A7E0A2-5A63-486C-9A61-E7B4CED2C51F}" uniqueName="5" name="Longitude" queryTableFieldId="5"/>
    <tableColumn id="6" xr3:uid="{A3D5D295-FEC0-4B50-9E06-FB173F29C804}" uniqueName="6" name="Technologie" queryTableFieldId="6" dataDxfId="18"/>
    <tableColumn id="7" xr3:uid="{79654E03-0BFC-4CC3-9E7C-E53E5FF70DE2}" uniqueName="7" name="Equipementier" queryTableFieldId="7" dataDxfId="1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365B0C-BD3B-4C82-BC67-AAD9C9006D61}" name="Logs_Reseau6" displayName="Logs_Reseau6" ref="A1:P1075" tableType="queryTable" totalsRowShown="0">
  <autoFilter ref="A1:P1075" xr:uid="{F3F68CE0-C0DA-4155-8E17-E3A00FF85E03}">
    <filterColumn colId="11">
      <filters>
        <filter val="105"/>
        <filter val="112"/>
        <filter val="119"/>
        <filter val="132"/>
        <filter val="160"/>
        <filter val="172"/>
        <filter val="182"/>
        <filter val="191"/>
        <filter val="201"/>
        <filter val="206"/>
        <filter val="214"/>
        <filter val="297"/>
        <filter val="31"/>
        <filter val="344"/>
        <filter val="345"/>
        <filter val="388"/>
        <filter val="40"/>
        <filter val="400"/>
        <filter val="435"/>
        <filter val="488"/>
        <filter val="493"/>
        <filter val="52"/>
        <filter val="76"/>
        <filter val="84"/>
        <filter val="86"/>
        <filter val="88"/>
      </filters>
    </filterColumn>
  </autoFilter>
  <sortState xmlns:xlrd2="http://schemas.microsoft.com/office/spreadsheetml/2017/richdata2" ref="A2:J1075">
    <sortCondition ref="C1:C1075"/>
  </sortState>
  <tableColumns count="16">
    <tableColumn id="8" xr3:uid="{3E25B999-0813-4150-ACE5-2193696ED42D}" uniqueName="8" name="Date_Heure_Panne.1" queryTableFieldId="8" dataDxfId="14"/>
    <tableColumn id="9" xr3:uid="{74BD0547-63F8-481A-B375-745FF8FB1D4C}" uniqueName="9" name="Date_Heure_Panne.2" queryTableFieldId="9" dataDxfId="13"/>
    <tableColumn id="3" xr3:uid="{8628E54D-8AAB-4F2D-901D-B43E1D6CFD91}" uniqueName="3" name="Cell_ID" queryTableFieldId="3" dataDxfId="12"/>
    <tableColumn id="4" xr3:uid="{26B36C4C-4479-4A13-A5A4-AA8CEA8FB6C3}" uniqueName="4" name="Duree_Panne_Min" queryTableFieldId="4"/>
    <tableColumn id="5" xr3:uid="{A2897C21-684D-469F-B754-1526FDE96A18}" uniqueName="5" name="Statut_Resolution" queryTableFieldId="5" dataDxfId="11"/>
    <tableColumn id="1" xr3:uid="{13331C46-B544-421B-9A5B-A8DA8C0D49D8}" uniqueName="1" name="Province" queryTableFieldId="12" dataDxfId="10">
      <calculatedColumnFormula>_xlfn.XLOOKUP(Logs_Reseau6[[#This Row],[Cell_ID]],Registre[ID_Antenne],Registre[Province_RDC],"Non Trouvée")</calculatedColumnFormula>
    </tableColumn>
    <tableColumn id="2" xr3:uid="{482E4278-B2C9-4366-B938-599E39A600D4}" uniqueName="2" name="Id_Client" queryTableFieldId="13" dataDxfId="9">
      <calculatedColumnFormula>_xlfn.XLOOKUP(Logs_Reseau6[[#This Row],[Province]],Clients_Churn[Province_Client],Clients_Churn[ID_Client],"Aucun")</calculatedColumnFormula>
    </tableColumn>
    <tableColumn id="6" xr3:uid="{391142A1-27A0-4A51-8633-0A4586F3104A}" uniqueName="6" name="Technologie" queryTableFieldId="14" dataDxfId="8">
      <calculatedColumnFormula>_xlfn.XLOOKUP(Logs_Reseau6[[#This Row],[Cell_ID]],Registre[ID_Antenne],Registre[Technologie],"Rien à signaler")</calculatedColumnFormula>
    </tableColumn>
    <tableColumn id="7" xr3:uid="{3FF9D396-A3E5-467C-AA2A-CB7631ECB452}" uniqueName="7" name="Equipementier" queryTableFieldId="15" dataDxfId="7">
      <calculatedColumnFormula>_xlfn.XLOOKUP(Logs_Reseau6[[#This Row],[Cell_ID]],Registre[ID_Antenne],Registre[Equipementier],"Non Trouvée")</calculatedColumnFormula>
    </tableColumn>
    <tableColumn id="10" xr3:uid="{6DA3D9CB-C2E5-407A-B4A9-6DECE4FB217D}" uniqueName="10" name="Type_Forfait" queryTableFieldId="16" dataDxfId="6">
      <calculatedColumnFormula>_xlfn.XLOOKUP(Logs_Reseau6[[#This Row],[Id_Client]],Clients_Churn[ID_Client],Clients_Churn[Type_Forfait],"Pas d'information")</calculatedColumnFormula>
    </tableColumn>
    <tableColumn id="11" xr3:uid="{B2ED585B-1E56-426D-AD2E-BAC8FFED7384}" uniqueName="11" name="Type_Client" queryTableFieldId="17" dataDxfId="5">
      <calculatedColumnFormula>IF(Logs_Reseau6[[#This Row],[Type_Forfait]]="Pro Monde","B2B","B2C")</calculatedColumnFormula>
    </tableColumn>
    <tableColumn id="12" xr3:uid="{FCEFF656-A607-4C99-AE87-75A70B7B5E58}" uniqueName="12" name="Duree_Cumulée_Panne" queryTableFieldId="18" dataDxfId="4">
      <calculatedColumnFormula>_xlfn.XLOOKUP(Logs_Reseau6[[#This Row],[Id_Client]],Clients_Churn[ID_Client],Clients_Churn[Duree_Cumulee_Panne_Min],"Non Trouvée")</calculatedColumnFormula>
    </tableColumn>
    <tableColumn id="13" xr3:uid="{325FA8AF-F00A-4045-BEAD-E5FD50D215E4}" uniqueName="13" name="Anciennette" queryTableFieldId="19" dataDxfId="3">
      <calculatedColumnFormula>_xlfn.XLOOKUP(Logs_Reseau6[[#This Row],[Id_Client]],Clients_Churn[ID_Client],Clients_Churn[Anciennete_Mois],"Rien à signaler")</calculatedColumnFormula>
    </tableColumn>
    <tableColumn id="16" xr3:uid="{F90CFC3A-95FF-4670-9C18-084D90C2A997}" uniqueName="16" name="Anciennette_Par_An" queryTableFieldId="22" dataDxfId="0">
      <calculatedColumnFormula>Logs_Reseau6[[#This Row],[Anciennette]]/24</calculatedColumnFormula>
    </tableColumn>
    <tableColumn id="14" xr3:uid="{594B1A44-0000-4971-AB39-D538C98791C3}" uniqueName="14" name="Duree par heure" queryTableFieldId="20" dataDxfId="2">
      <calculatedColumnFormula>Logs_Reseau6[[#This Row],[Duree_Cumulée_Panne]]/1440</calculatedColumnFormula>
    </tableColumn>
    <tableColumn id="15" xr3:uid="{5E4A6D87-3B74-4B34-94FC-6459FE2FEC74}" uniqueName="15" name="Rabais Obtenue" queryTableFieldId="21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5DF7-6330-45E8-8106-F0C0C93C0FE3}">
  <sheetPr>
    <tabColor theme="9"/>
  </sheetPr>
  <dimension ref="A2:H750"/>
  <sheetViews>
    <sheetView topLeftCell="A3" workbookViewId="0">
      <selection activeCell="A4" sqref="A4"/>
    </sheetView>
  </sheetViews>
  <sheetFormatPr baseColWidth="10" defaultRowHeight="15" x14ac:dyDescent="0.25"/>
  <cols>
    <col min="1" max="1" width="11.7109375" bestFit="1" customWidth="1"/>
    <col min="2" max="2" width="17.5703125" bestFit="1" customWidth="1"/>
    <col min="3" max="3" width="18.85546875" bestFit="1" customWidth="1"/>
    <col min="4" max="4" width="17.7109375" bestFit="1" customWidth="1"/>
    <col min="5" max="5" width="29" bestFit="1" customWidth="1"/>
    <col min="6" max="6" width="8.85546875" bestFit="1" customWidth="1"/>
    <col min="7" max="7" width="20.42578125" bestFit="1" customWidth="1"/>
    <col min="8" max="9" width="24.85546875" bestFit="1" customWidth="1"/>
  </cols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1638</v>
      </c>
      <c r="G2" t="s">
        <v>5</v>
      </c>
      <c r="H2" t="s">
        <v>6</v>
      </c>
    </row>
    <row r="3" spans="1:8" x14ac:dyDescent="0.25">
      <c r="A3" t="s">
        <v>7</v>
      </c>
      <c r="B3" t="s">
        <v>8</v>
      </c>
      <c r="C3">
        <v>110</v>
      </c>
      <c r="D3" t="s">
        <v>9</v>
      </c>
      <c r="E3">
        <v>112</v>
      </c>
      <c r="F3" s="1">
        <f>Clients_Churn[[#This Row],[Duree_Cumulee_Panne_Min]]/1440</f>
        <v>7.7777777777777779E-2</v>
      </c>
      <c r="G3">
        <v>98.95</v>
      </c>
      <c r="H3">
        <v>5</v>
      </c>
    </row>
    <row r="4" spans="1:8" x14ac:dyDescent="0.25">
      <c r="A4" t="s">
        <v>10</v>
      </c>
      <c r="B4" t="s">
        <v>11</v>
      </c>
      <c r="C4">
        <v>105</v>
      </c>
      <c r="D4" t="s">
        <v>12</v>
      </c>
      <c r="E4">
        <v>297</v>
      </c>
      <c r="F4" s="1">
        <f>Clients_Churn[[#This Row],[Duree_Cumulee_Panne_Min]]/1440</f>
        <v>0.20624999999999999</v>
      </c>
      <c r="G4">
        <v>84.66</v>
      </c>
      <c r="H4">
        <v>2</v>
      </c>
    </row>
    <row r="5" spans="1:8" x14ac:dyDescent="0.25">
      <c r="A5" t="s">
        <v>13</v>
      </c>
      <c r="B5" t="s">
        <v>14</v>
      </c>
      <c r="C5">
        <v>49</v>
      </c>
      <c r="D5" t="s">
        <v>15</v>
      </c>
      <c r="E5">
        <v>86</v>
      </c>
      <c r="F5" s="1">
        <f>Clients_Churn[[#This Row],[Duree_Cumulee_Panne_Min]]/1440</f>
        <v>5.9722222222222225E-2</v>
      </c>
      <c r="G5">
        <v>65.400000000000006</v>
      </c>
      <c r="H5">
        <v>2</v>
      </c>
    </row>
    <row r="6" spans="1:8" x14ac:dyDescent="0.25">
      <c r="A6" t="s">
        <v>16</v>
      </c>
      <c r="B6" t="s">
        <v>17</v>
      </c>
      <c r="C6">
        <v>105</v>
      </c>
      <c r="D6" t="s">
        <v>15</v>
      </c>
      <c r="E6">
        <v>172</v>
      </c>
      <c r="F6" s="1">
        <f>Clients_Churn[[#This Row],[Duree_Cumulee_Panne_Min]]/1440</f>
        <v>0.11944444444444445</v>
      </c>
      <c r="G6">
        <v>15.88</v>
      </c>
      <c r="H6">
        <v>5</v>
      </c>
    </row>
    <row r="7" spans="1:8" x14ac:dyDescent="0.25">
      <c r="A7" t="s">
        <v>18</v>
      </c>
      <c r="B7" t="s">
        <v>8</v>
      </c>
      <c r="C7">
        <v>29</v>
      </c>
      <c r="D7" t="s">
        <v>15</v>
      </c>
      <c r="E7">
        <v>124</v>
      </c>
      <c r="F7" s="1">
        <f>Clients_Churn[[#This Row],[Duree_Cumulee_Panne_Min]]/1440</f>
        <v>8.611111111111111E-2</v>
      </c>
      <c r="G7">
        <v>43.83</v>
      </c>
      <c r="H7">
        <v>5</v>
      </c>
    </row>
    <row r="8" spans="1:8" x14ac:dyDescent="0.25">
      <c r="A8" t="s">
        <v>19</v>
      </c>
      <c r="B8" t="s">
        <v>20</v>
      </c>
      <c r="C8">
        <v>77</v>
      </c>
      <c r="D8" t="s">
        <v>21</v>
      </c>
      <c r="E8">
        <v>488</v>
      </c>
      <c r="F8" s="1">
        <f>Clients_Churn[[#This Row],[Duree_Cumulee_Panne_Min]]/1440</f>
        <v>0.33888888888888891</v>
      </c>
      <c r="G8">
        <v>21.17</v>
      </c>
      <c r="H8">
        <v>0</v>
      </c>
    </row>
    <row r="9" spans="1:8" x14ac:dyDescent="0.25">
      <c r="A9" t="s">
        <v>22</v>
      </c>
      <c r="B9" t="s">
        <v>11</v>
      </c>
      <c r="C9">
        <v>18</v>
      </c>
      <c r="D9" t="s">
        <v>12</v>
      </c>
      <c r="E9">
        <v>216</v>
      </c>
      <c r="F9" s="1">
        <f>Clients_Churn[[#This Row],[Duree_Cumulee_Panne_Min]]/1440</f>
        <v>0.15</v>
      </c>
      <c r="G9">
        <v>33.74</v>
      </c>
      <c r="H9">
        <v>5</v>
      </c>
    </row>
    <row r="10" spans="1:8" x14ac:dyDescent="0.25">
      <c r="A10" t="s">
        <v>23</v>
      </c>
      <c r="B10" t="s">
        <v>24</v>
      </c>
      <c r="C10">
        <v>119</v>
      </c>
      <c r="D10" t="s">
        <v>12</v>
      </c>
      <c r="E10">
        <v>344</v>
      </c>
      <c r="F10" s="1">
        <f>Clients_Churn[[#This Row],[Duree_Cumulee_Panne_Min]]/1440</f>
        <v>0.2388888888888889</v>
      </c>
      <c r="G10">
        <v>10.28</v>
      </c>
      <c r="H10">
        <v>0</v>
      </c>
    </row>
    <row r="11" spans="1:8" x14ac:dyDescent="0.25">
      <c r="A11" t="s">
        <v>25</v>
      </c>
      <c r="B11" t="s">
        <v>26</v>
      </c>
      <c r="C11">
        <v>2</v>
      </c>
      <c r="D11" t="s">
        <v>21</v>
      </c>
      <c r="E11">
        <v>201</v>
      </c>
      <c r="F11" s="1">
        <f>Clients_Churn[[#This Row],[Duree_Cumulee_Panne_Min]]/1440</f>
        <v>0.13958333333333334</v>
      </c>
      <c r="G11">
        <v>71.900000000000006</v>
      </c>
      <c r="H11">
        <v>2</v>
      </c>
    </row>
    <row r="12" spans="1:8" x14ac:dyDescent="0.25">
      <c r="A12" t="s">
        <v>27</v>
      </c>
      <c r="B12" t="s">
        <v>17</v>
      </c>
      <c r="C12">
        <v>25</v>
      </c>
      <c r="D12" t="s">
        <v>9</v>
      </c>
      <c r="E12">
        <v>95</v>
      </c>
      <c r="F12" s="1">
        <f>Clients_Churn[[#This Row],[Duree_Cumulee_Panne_Min]]/1440</f>
        <v>6.5972222222222224E-2</v>
      </c>
      <c r="G12">
        <v>15.93</v>
      </c>
      <c r="H12">
        <v>4</v>
      </c>
    </row>
    <row r="13" spans="1:8" x14ac:dyDescent="0.25">
      <c r="A13" t="s">
        <v>28</v>
      </c>
      <c r="B13" t="s">
        <v>8</v>
      </c>
      <c r="C13">
        <v>35</v>
      </c>
      <c r="D13" t="s">
        <v>21</v>
      </c>
      <c r="E13">
        <v>332</v>
      </c>
      <c r="F13" s="1">
        <f>Clients_Churn[[#This Row],[Duree_Cumulee_Panne_Min]]/1440</f>
        <v>0.23055555555555557</v>
      </c>
      <c r="G13">
        <v>11.15</v>
      </c>
      <c r="H13">
        <v>0</v>
      </c>
    </row>
    <row r="14" spans="1:8" x14ac:dyDescent="0.25">
      <c r="A14" t="s">
        <v>29</v>
      </c>
      <c r="B14" t="s">
        <v>30</v>
      </c>
      <c r="C14">
        <v>119</v>
      </c>
      <c r="D14" t="s">
        <v>12</v>
      </c>
      <c r="E14">
        <v>31</v>
      </c>
      <c r="F14" s="1">
        <f>Clients_Churn[[#This Row],[Duree_Cumulee_Panne_Min]]/1440</f>
        <v>2.1527777777777778E-2</v>
      </c>
      <c r="G14">
        <v>21.27</v>
      </c>
      <c r="H14">
        <v>5</v>
      </c>
    </row>
    <row r="15" spans="1:8" x14ac:dyDescent="0.25">
      <c r="A15" t="s">
        <v>31</v>
      </c>
      <c r="B15" t="s">
        <v>32</v>
      </c>
      <c r="C15">
        <v>103</v>
      </c>
      <c r="D15" t="s">
        <v>12</v>
      </c>
      <c r="E15">
        <v>105</v>
      </c>
      <c r="F15" s="1">
        <f>Clients_Churn[[#This Row],[Duree_Cumulee_Panne_Min]]/1440</f>
        <v>7.2916666666666671E-2</v>
      </c>
      <c r="G15">
        <v>61.52</v>
      </c>
      <c r="H15">
        <v>3</v>
      </c>
    </row>
    <row r="16" spans="1:8" x14ac:dyDescent="0.25">
      <c r="A16" t="s">
        <v>33</v>
      </c>
      <c r="B16" t="s">
        <v>34</v>
      </c>
      <c r="C16">
        <v>118</v>
      </c>
      <c r="D16" t="s">
        <v>12</v>
      </c>
      <c r="E16">
        <v>132</v>
      </c>
      <c r="F16" s="1">
        <f>Clients_Churn[[#This Row],[Duree_Cumulee_Panne_Min]]/1440</f>
        <v>9.166666666666666E-2</v>
      </c>
      <c r="G16">
        <v>40.880000000000003</v>
      </c>
      <c r="H16">
        <v>4</v>
      </c>
    </row>
    <row r="17" spans="1:8" x14ac:dyDescent="0.25">
      <c r="A17" t="s">
        <v>35</v>
      </c>
      <c r="B17" t="s">
        <v>36</v>
      </c>
      <c r="C17">
        <v>53</v>
      </c>
      <c r="D17" t="s">
        <v>15</v>
      </c>
      <c r="E17">
        <v>345</v>
      </c>
      <c r="F17" s="1">
        <f>Clients_Churn[[#This Row],[Duree_Cumulee_Panne_Min]]/1440</f>
        <v>0.23958333333333334</v>
      </c>
      <c r="G17">
        <v>83.73</v>
      </c>
      <c r="H17">
        <v>0</v>
      </c>
    </row>
    <row r="18" spans="1:8" x14ac:dyDescent="0.25">
      <c r="A18" t="s">
        <v>37</v>
      </c>
      <c r="B18" t="s">
        <v>8</v>
      </c>
      <c r="C18">
        <v>33</v>
      </c>
      <c r="D18" t="s">
        <v>9</v>
      </c>
      <c r="E18">
        <v>54</v>
      </c>
      <c r="F18" s="1">
        <f>Clients_Churn[[#This Row],[Duree_Cumulee_Panne_Min]]/1440</f>
        <v>3.7499999999999999E-2</v>
      </c>
      <c r="G18">
        <v>71.319999999999993</v>
      </c>
      <c r="H18">
        <v>4</v>
      </c>
    </row>
    <row r="19" spans="1:8" x14ac:dyDescent="0.25">
      <c r="A19" t="s">
        <v>38</v>
      </c>
      <c r="B19" t="s">
        <v>32</v>
      </c>
      <c r="C19">
        <v>16</v>
      </c>
      <c r="D19" t="s">
        <v>9</v>
      </c>
      <c r="E19">
        <v>461</v>
      </c>
      <c r="F19" s="1">
        <f>Clients_Churn[[#This Row],[Duree_Cumulee_Panne_Min]]/1440</f>
        <v>0.32013888888888886</v>
      </c>
      <c r="G19">
        <v>38.369999999999997</v>
      </c>
      <c r="H19">
        <v>4</v>
      </c>
    </row>
    <row r="20" spans="1:8" x14ac:dyDescent="0.25">
      <c r="A20" t="s">
        <v>39</v>
      </c>
      <c r="B20" t="s">
        <v>40</v>
      </c>
      <c r="C20">
        <v>34</v>
      </c>
      <c r="D20" t="s">
        <v>9</v>
      </c>
      <c r="E20">
        <v>40</v>
      </c>
      <c r="F20" s="1">
        <f>Clients_Churn[[#This Row],[Duree_Cumulee_Panne_Min]]/1440</f>
        <v>2.7777777777777776E-2</v>
      </c>
      <c r="G20">
        <v>65.709999999999994</v>
      </c>
      <c r="H20">
        <v>5</v>
      </c>
    </row>
    <row r="21" spans="1:8" x14ac:dyDescent="0.25">
      <c r="A21" t="s">
        <v>41</v>
      </c>
      <c r="B21" t="s">
        <v>42</v>
      </c>
      <c r="C21">
        <v>6</v>
      </c>
      <c r="D21" t="s">
        <v>12</v>
      </c>
      <c r="E21">
        <v>206</v>
      </c>
      <c r="F21" s="1">
        <f>Clients_Churn[[#This Row],[Duree_Cumulee_Panne_Min]]/1440</f>
        <v>0.14305555555555555</v>
      </c>
      <c r="G21">
        <v>10</v>
      </c>
      <c r="H21">
        <v>5</v>
      </c>
    </row>
    <row r="22" spans="1:8" x14ac:dyDescent="0.25">
      <c r="A22" t="s">
        <v>43</v>
      </c>
      <c r="B22" t="s">
        <v>44</v>
      </c>
      <c r="C22">
        <v>4</v>
      </c>
      <c r="D22" t="s">
        <v>9</v>
      </c>
      <c r="E22">
        <v>182</v>
      </c>
      <c r="F22" s="1">
        <f>Clients_Churn[[#This Row],[Duree_Cumulee_Panne_Min]]/1440</f>
        <v>0.12638888888888888</v>
      </c>
      <c r="G22">
        <v>89.56</v>
      </c>
      <c r="H22">
        <v>4</v>
      </c>
    </row>
    <row r="23" spans="1:8" x14ac:dyDescent="0.25">
      <c r="A23" t="s">
        <v>45</v>
      </c>
      <c r="B23" t="s">
        <v>46</v>
      </c>
      <c r="C23">
        <v>69</v>
      </c>
      <c r="D23" t="s">
        <v>12</v>
      </c>
      <c r="E23">
        <v>76</v>
      </c>
      <c r="F23" s="1">
        <f>Clients_Churn[[#This Row],[Duree_Cumulee_Panne_Min]]/1440</f>
        <v>5.2777777777777778E-2</v>
      </c>
      <c r="G23">
        <v>91.8</v>
      </c>
      <c r="H23">
        <v>5</v>
      </c>
    </row>
    <row r="24" spans="1:8" x14ac:dyDescent="0.25">
      <c r="A24" t="s">
        <v>47</v>
      </c>
      <c r="B24" t="s">
        <v>48</v>
      </c>
      <c r="C24">
        <v>72</v>
      </c>
      <c r="D24" t="s">
        <v>12</v>
      </c>
      <c r="E24">
        <v>160</v>
      </c>
      <c r="F24" s="1">
        <f>Clients_Churn[[#This Row],[Duree_Cumulee_Panne_Min]]/1440</f>
        <v>0.1111111111111111</v>
      </c>
      <c r="G24">
        <v>90.13</v>
      </c>
      <c r="H24">
        <v>2</v>
      </c>
    </row>
    <row r="25" spans="1:8" x14ac:dyDescent="0.25">
      <c r="A25" t="s">
        <v>49</v>
      </c>
      <c r="B25" t="s">
        <v>50</v>
      </c>
      <c r="C25">
        <v>52</v>
      </c>
      <c r="D25" t="s">
        <v>15</v>
      </c>
      <c r="E25">
        <v>119</v>
      </c>
      <c r="F25" s="1">
        <f>Clients_Churn[[#This Row],[Duree_Cumulee_Panne_Min]]/1440</f>
        <v>8.2638888888888887E-2</v>
      </c>
      <c r="G25">
        <v>64.709999999999994</v>
      </c>
      <c r="H25">
        <v>4</v>
      </c>
    </row>
    <row r="26" spans="1:8" x14ac:dyDescent="0.25">
      <c r="A26" t="s">
        <v>51</v>
      </c>
      <c r="B26" t="s">
        <v>44</v>
      </c>
      <c r="C26">
        <v>67</v>
      </c>
      <c r="D26" t="s">
        <v>15</v>
      </c>
      <c r="E26">
        <v>264</v>
      </c>
      <c r="F26" s="1">
        <f>Clients_Churn[[#This Row],[Duree_Cumulee_Panne_Min]]/1440</f>
        <v>0.18333333333333332</v>
      </c>
      <c r="G26">
        <v>97.89</v>
      </c>
      <c r="H26">
        <v>1</v>
      </c>
    </row>
    <row r="27" spans="1:8" x14ac:dyDescent="0.25">
      <c r="A27" t="s">
        <v>52</v>
      </c>
      <c r="B27" t="s">
        <v>17</v>
      </c>
      <c r="C27">
        <v>78</v>
      </c>
      <c r="D27" t="s">
        <v>21</v>
      </c>
      <c r="E27">
        <v>60</v>
      </c>
      <c r="F27" s="1">
        <f>Clients_Churn[[#This Row],[Duree_Cumulee_Panne_Min]]/1440</f>
        <v>4.1666666666666664E-2</v>
      </c>
      <c r="G27">
        <v>33.159999999999997</v>
      </c>
      <c r="H27">
        <v>5</v>
      </c>
    </row>
    <row r="28" spans="1:8" x14ac:dyDescent="0.25">
      <c r="A28" t="s">
        <v>53</v>
      </c>
      <c r="B28" t="s">
        <v>46</v>
      </c>
      <c r="C28">
        <v>46</v>
      </c>
      <c r="D28" t="s">
        <v>21</v>
      </c>
      <c r="E28">
        <v>283</v>
      </c>
      <c r="F28" s="1">
        <f>Clients_Churn[[#This Row],[Duree_Cumulee_Panne_Min]]/1440</f>
        <v>0.19652777777777777</v>
      </c>
      <c r="G28">
        <v>56.05</v>
      </c>
      <c r="H28">
        <v>1</v>
      </c>
    </row>
    <row r="29" spans="1:8" x14ac:dyDescent="0.25">
      <c r="A29" t="s">
        <v>54</v>
      </c>
      <c r="B29" t="s">
        <v>42</v>
      </c>
      <c r="C29">
        <v>17</v>
      </c>
      <c r="D29" t="s">
        <v>21</v>
      </c>
      <c r="E29">
        <v>499</v>
      </c>
      <c r="F29" s="1">
        <f>Clients_Churn[[#This Row],[Duree_Cumulee_Panne_Min]]/1440</f>
        <v>0.34652777777777777</v>
      </c>
      <c r="G29">
        <v>27.81</v>
      </c>
      <c r="H29">
        <v>2</v>
      </c>
    </row>
    <row r="30" spans="1:8" x14ac:dyDescent="0.25">
      <c r="A30" t="s">
        <v>55</v>
      </c>
      <c r="B30" t="s">
        <v>17</v>
      </c>
      <c r="C30">
        <v>15</v>
      </c>
      <c r="D30" t="s">
        <v>21</v>
      </c>
      <c r="E30">
        <v>75</v>
      </c>
      <c r="F30" s="1">
        <f>Clients_Churn[[#This Row],[Duree_Cumulee_Panne_Min]]/1440</f>
        <v>5.2083333333333336E-2</v>
      </c>
      <c r="G30">
        <v>45.59</v>
      </c>
      <c r="H30">
        <v>0</v>
      </c>
    </row>
    <row r="31" spans="1:8" x14ac:dyDescent="0.25">
      <c r="A31" t="s">
        <v>56</v>
      </c>
      <c r="B31" t="s">
        <v>14</v>
      </c>
      <c r="C31">
        <v>106</v>
      </c>
      <c r="D31" t="s">
        <v>12</v>
      </c>
      <c r="E31">
        <v>429</v>
      </c>
      <c r="F31" s="1">
        <f>Clients_Churn[[#This Row],[Duree_Cumulee_Panne_Min]]/1440</f>
        <v>0.29791666666666666</v>
      </c>
      <c r="G31">
        <v>23.83</v>
      </c>
      <c r="H31">
        <v>1</v>
      </c>
    </row>
    <row r="32" spans="1:8" x14ac:dyDescent="0.25">
      <c r="A32" t="s">
        <v>57</v>
      </c>
      <c r="B32" t="s">
        <v>44</v>
      </c>
      <c r="C32">
        <v>14</v>
      </c>
      <c r="D32" t="s">
        <v>21</v>
      </c>
      <c r="E32">
        <v>75</v>
      </c>
      <c r="F32" s="1">
        <f>Clients_Churn[[#This Row],[Duree_Cumulee_Panne_Min]]/1440</f>
        <v>5.2083333333333336E-2</v>
      </c>
      <c r="G32">
        <v>55.67</v>
      </c>
      <c r="H32">
        <v>3</v>
      </c>
    </row>
    <row r="33" spans="1:8" x14ac:dyDescent="0.25">
      <c r="A33" t="s">
        <v>58</v>
      </c>
      <c r="B33" t="s">
        <v>59</v>
      </c>
      <c r="C33">
        <v>15</v>
      </c>
      <c r="D33" t="s">
        <v>9</v>
      </c>
      <c r="E33">
        <v>400</v>
      </c>
      <c r="F33" s="1">
        <f>Clients_Churn[[#This Row],[Duree_Cumulee_Panne_Min]]/1440</f>
        <v>0.27777777777777779</v>
      </c>
      <c r="G33">
        <v>78.09</v>
      </c>
      <c r="H33">
        <v>0</v>
      </c>
    </row>
    <row r="34" spans="1:8" x14ac:dyDescent="0.25">
      <c r="A34" t="s">
        <v>60</v>
      </c>
      <c r="B34" t="s">
        <v>61</v>
      </c>
      <c r="C34">
        <v>50</v>
      </c>
      <c r="D34" t="s">
        <v>9</v>
      </c>
      <c r="E34">
        <v>435</v>
      </c>
      <c r="F34" s="1">
        <f>Clients_Churn[[#This Row],[Duree_Cumulee_Panne_Min]]/1440</f>
        <v>0.30208333333333331</v>
      </c>
      <c r="G34">
        <v>27.86</v>
      </c>
      <c r="H34">
        <v>3</v>
      </c>
    </row>
    <row r="35" spans="1:8" x14ac:dyDescent="0.25">
      <c r="A35" t="s">
        <v>62</v>
      </c>
      <c r="B35" t="s">
        <v>30</v>
      </c>
      <c r="C35">
        <v>12</v>
      </c>
      <c r="D35" t="s">
        <v>12</v>
      </c>
      <c r="E35">
        <v>42</v>
      </c>
      <c r="F35" s="1">
        <f>Clients_Churn[[#This Row],[Duree_Cumulee_Panne_Min]]/1440</f>
        <v>2.9166666666666667E-2</v>
      </c>
      <c r="G35">
        <v>48.64</v>
      </c>
      <c r="H35">
        <v>0</v>
      </c>
    </row>
    <row r="36" spans="1:8" x14ac:dyDescent="0.25">
      <c r="A36" t="s">
        <v>63</v>
      </c>
      <c r="B36" t="s">
        <v>64</v>
      </c>
      <c r="C36">
        <v>29</v>
      </c>
      <c r="D36" t="s">
        <v>12</v>
      </c>
      <c r="E36">
        <v>493</v>
      </c>
      <c r="F36" s="1">
        <f>Clients_Churn[[#This Row],[Duree_Cumulee_Panne_Min]]/1440</f>
        <v>0.34236111111111112</v>
      </c>
      <c r="G36">
        <v>42.02</v>
      </c>
      <c r="H36">
        <v>1</v>
      </c>
    </row>
    <row r="37" spans="1:8" x14ac:dyDescent="0.25">
      <c r="A37" t="s">
        <v>65</v>
      </c>
      <c r="B37" t="s">
        <v>20</v>
      </c>
      <c r="C37">
        <v>42</v>
      </c>
      <c r="D37" t="s">
        <v>12</v>
      </c>
      <c r="E37">
        <v>167</v>
      </c>
      <c r="F37" s="1">
        <f>Clients_Churn[[#This Row],[Duree_Cumulee_Panne_Min]]/1440</f>
        <v>0.11597222222222223</v>
      </c>
      <c r="G37">
        <v>45.85</v>
      </c>
      <c r="H37">
        <v>2</v>
      </c>
    </row>
    <row r="38" spans="1:8" x14ac:dyDescent="0.25">
      <c r="A38" t="s">
        <v>66</v>
      </c>
      <c r="B38" t="s">
        <v>67</v>
      </c>
      <c r="C38">
        <v>74</v>
      </c>
      <c r="D38" t="s">
        <v>9</v>
      </c>
      <c r="E38">
        <v>388</v>
      </c>
      <c r="F38" s="1">
        <f>Clients_Churn[[#This Row],[Duree_Cumulee_Panne_Min]]/1440</f>
        <v>0.26944444444444443</v>
      </c>
      <c r="G38">
        <v>10.89</v>
      </c>
      <c r="H38">
        <v>4</v>
      </c>
    </row>
    <row r="39" spans="1:8" x14ac:dyDescent="0.25">
      <c r="A39" t="s">
        <v>68</v>
      </c>
      <c r="B39" t="s">
        <v>42</v>
      </c>
      <c r="C39">
        <v>93</v>
      </c>
      <c r="D39" t="s">
        <v>21</v>
      </c>
      <c r="E39">
        <v>150</v>
      </c>
      <c r="F39" s="1">
        <f>Clients_Churn[[#This Row],[Duree_Cumulee_Panne_Min]]/1440</f>
        <v>0.10416666666666667</v>
      </c>
      <c r="G39">
        <v>93.25</v>
      </c>
      <c r="H39">
        <v>3</v>
      </c>
    </row>
    <row r="40" spans="1:8" x14ac:dyDescent="0.25">
      <c r="A40" t="s">
        <v>69</v>
      </c>
      <c r="B40" t="s">
        <v>26</v>
      </c>
      <c r="C40">
        <v>19</v>
      </c>
      <c r="D40" t="s">
        <v>9</v>
      </c>
      <c r="E40">
        <v>345</v>
      </c>
      <c r="F40" s="1">
        <f>Clients_Churn[[#This Row],[Duree_Cumulee_Panne_Min]]/1440</f>
        <v>0.23958333333333334</v>
      </c>
      <c r="G40">
        <v>54.37</v>
      </c>
      <c r="H40">
        <v>2</v>
      </c>
    </row>
    <row r="41" spans="1:8" x14ac:dyDescent="0.25">
      <c r="A41" t="s">
        <v>70</v>
      </c>
      <c r="B41" t="s">
        <v>71</v>
      </c>
      <c r="C41">
        <v>82</v>
      </c>
      <c r="D41" t="s">
        <v>21</v>
      </c>
      <c r="E41">
        <v>88</v>
      </c>
      <c r="F41" s="1">
        <f>Clients_Churn[[#This Row],[Duree_Cumulee_Panne_Min]]/1440</f>
        <v>6.1111111111111109E-2</v>
      </c>
      <c r="G41">
        <v>86.64</v>
      </c>
      <c r="H41">
        <v>1</v>
      </c>
    </row>
    <row r="42" spans="1:8" x14ac:dyDescent="0.25">
      <c r="A42" t="s">
        <v>72</v>
      </c>
      <c r="B42" t="s">
        <v>14</v>
      </c>
      <c r="C42">
        <v>42</v>
      </c>
      <c r="D42" t="s">
        <v>9</v>
      </c>
      <c r="E42">
        <v>436</v>
      </c>
      <c r="F42" s="1">
        <f>Clients_Churn[[#This Row],[Duree_Cumulee_Panne_Min]]/1440</f>
        <v>0.30277777777777776</v>
      </c>
      <c r="G42">
        <v>88.12</v>
      </c>
      <c r="H42">
        <v>0</v>
      </c>
    </row>
    <row r="43" spans="1:8" x14ac:dyDescent="0.25">
      <c r="A43" t="s">
        <v>73</v>
      </c>
      <c r="B43" t="s">
        <v>74</v>
      </c>
      <c r="C43">
        <v>98</v>
      </c>
      <c r="D43" t="s">
        <v>9</v>
      </c>
      <c r="E43">
        <v>52</v>
      </c>
      <c r="F43" s="1">
        <f>Clients_Churn[[#This Row],[Duree_Cumulee_Panne_Min]]/1440</f>
        <v>3.6111111111111108E-2</v>
      </c>
      <c r="G43">
        <v>52.82</v>
      </c>
      <c r="H43">
        <v>2</v>
      </c>
    </row>
    <row r="44" spans="1:8" x14ac:dyDescent="0.25">
      <c r="A44" t="s">
        <v>75</v>
      </c>
      <c r="B44" t="s">
        <v>24</v>
      </c>
      <c r="C44">
        <v>59</v>
      </c>
      <c r="D44" t="s">
        <v>15</v>
      </c>
      <c r="E44">
        <v>454</v>
      </c>
      <c r="F44" s="1">
        <f>Clients_Churn[[#This Row],[Duree_Cumulee_Panne_Min]]/1440</f>
        <v>0.31527777777777777</v>
      </c>
      <c r="G44">
        <v>10.47</v>
      </c>
      <c r="H44">
        <v>5</v>
      </c>
    </row>
    <row r="45" spans="1:8" x14ac:dyDescent="0.25">
      <c r="A45" t="s">
        <v>76</v>
      </c>
      <c r="B45" t="s">
        <v>59</v>
      </c>
      <c r="C45">
        <v>25</v>
      </c>
      <c r="D45" t="s">
        <v>21</v>
      </c>
      <c r="E45">
        <v>64</v>
      </c>
      <c r="F45" s="1">
        <f>Clients_Churn[[#This Row],[Duree_Cumulee_Panne_Min]]/1440</f>
        <v>4.4444444444444446E-2</v>
      </c>
      <c r="G45">
        <v>38.950000000000003</v>
      </c>
      <c r="H45">
        <v>5</v>
      </c>
    </row>
    <row r="46" spans="1:8" x14ac:dyDescent="0.25">
      <c r="A46" t="s">
        <v>77</v>
      </c>
      <c r="B46" t="s">
        <v>44</v>
      </c>
      <c r="C46">
        <v>43</v>
      </c>
      <c r="D46" t="s">
        <v>21</v>
      </c>
      <c r="E46">
        <v>486</v>
      </c>
      <c r="F46" s="1">
        <f>Clients_Churn[[#This Row],[Duree_Cumulee_Panne_Min]]/1440</f>
        <v>0.33750000000000002</v>
      </c>
      <c r="G46">
        <v>76.42</v>
      </c>
      <c r="H46">
        <v>1</v>
      </c>
    </row>
    <row r="47" spans="1:8" x14ac:dyDescent="0.25">
      <c r="A47" t="s">
        <v>78</v>
      </c>
      <c r="B47" t="s">
        <v>59</v>
      </c>
      <c r="C47">
        <v>108</v>
      </c>
      <c r="D47" t="s">
        <v>9</v>
      </c>
      <c r="E47">
        <v>467</v>
      </c>
      <c r="F47" s="1">
        <f>Clients_Churn[[#This Row],[Duree_Cumulee_Panne_Min]]/1440</f>
        <v>0.32430555555555557</v>
      </c>
      <c r="G47">
        <v>44.84</v>
      </c>
      <c r="H47">
        <v>4</v>
      </c>
    </row>
    <row r="48" spans="1:8" x14ac:dyDescent="0.25">
      <c r="A48" t="s">
        <v>79</v>
      </c>
      <c r="B48" t="s">
        <v>36</v>
      </c>
      <c r="C48">
        <v>101</v>
      </c>
      <c r="D48" t="s">
        <v>12</v>
      </c>
      <c r="E48">
        <v>176</v>
      </c>
      <c r="F48" s="1">
        <f>Clients_Churn[[#This Row],[Duree_Cumulee_Panne_Min]]/1440</f>
        <v>0.12222222222222222</v>
      </c>
      <c r="G48">
        <v>86</v>
      </c>
      <c r="H48">
        <v>3</v>
      </c>
    </row>
    <row r="49" spans="1:8" x14ac:dyDescent="0.25">
      <c r="A49" t="s">
        <v>80</v>
      </c>
      <c r="B49" t="s">
        <v>46</v>
      </c>
      <c r="C49">
        <v>120</v>
      </c>
      <c r="D49" t="s">
        <v>15</v>
      </c>
      <c r="E49">
        <v>224</v>
      </c>
      <c r="F49" s="1">
        <f>Clients_Churn[[#This Row],[Duree_Cumulee_Panne_Min]]/1440</f>
        <v>0.15555555555555556</v>
      </c>
      <c r="G49">
        <v>69.36</v>
      </c>
      <c r="H49">
        <v>0</v>
      </c>
    </row>
    <row r="50" spans="1:8" x14ac:dyDescent="0.25">
      <c r="A50" t="s">
        <v>81</v>
      </c>
      <c r="B50" t="s">
        <v>67</v>
      </c>
      <c r="C50">
        <v>23</v>
      </c>
      <c r="D50" t="s">
        <v>9</v>
      </c>
      <c r="E50">
        <v>325</v>
      </c>
      <c r="F50" s="1">
        <f>Clients_Churn[[#This Row],[Duree_Cumulee_Panne_Min]]/1440</f>
        <v>0.22569444444444445</v>
      </c>
      <c r="G50">
        <v>65.489999999999995</v>
      </c>
      <c r="H50">
        <v>1</v>
      </c>
    </row>
    <row r="51" spans="1:8" x14ac:dyDescent="0.25">
      <c r="A51" t="s">
        <v>82</v>
      </c>
      <c r="B51" t="s">
        <v>36</v>
      </c>
      <c r="C51">
        <v>12</v>
      </c>
      <c r="D51" t="s">
        <v>12</v>
      </c>
      <c r="E51">
        <v>125</v>
      </c>
      <c r="F51" s="1">
        <f>Clients_Churn[[#This Row],[Duree_Cumulee_Panne_Min]]/1440</f>
        <v>8.6805555555555552E-2</v>
      </c>
      <c r="G51">
        <v>36.93</v>
      </c>
      <c r="H51">
        <v>0</v>
      </c>
    </row>
    <row r="52" spans="1:8" x14ac:dyDescent="0.25">
      <c r="A52" t="s">
        <v>83</v>
      </c>
      <c r="B52" t="s">
        <v>30</v>
      </c>
      <c r="C52">
        <v>12</v>
      </c>
      <c r="D52" t="s">
        <v>15</v>
      </c>
      <c r="E52">
        <v>112</v>
      </c>
      <c r="F52" s="1">
        <f>Clients_Churn[[#This Row],[Duree_Cumulee_Panne_Min]]/1440</f>
        <v>7.7777777777777779E-2</v>
      </c>
      <c r="G52">
        <v>82.81</v>
      </c>
      <c r="H52">
        <v>0</v>
      </c>
    </row>
    <row r="53" spans="1:8" x14ac:dyDescent="0.25">
      <c r="A53" t="s">
        <v>84</v>
      </c>
      <c r="B53" t="s">
        <v>71</v>
      </c>
      <c r="C53">
        <v>35</v>
      </c>
      <c r="D53" t="s">
        <v>12</v>
      </c>
      <c r="E53">
        <v>445</v>
      </c>
      <c r="F53" s="1">
        <f>Clients_Churn[[#This Row],[Duree_Cumulee_Panne_Min]]/1440</f>
        <v>0.30902777777777779</v>
      </c>
      <c r="G53">
        <v>24.11</v>
      </c>
      <c r="H53">
        <v>2</v>
      </c>
    </row>
    <row r="54" spans="1:8" x14ac:dyDescent="0.25">
      <c r="A54" t="s">
        <v>85</v>
      </c>
      <c r="B54" t="s">
        <v>30</v>
      </c>
      <c r="C54">
        <v>43</v>
      </c>
      <c r="D54" t="s">
        <v>21</v>
      </c>
      <c r="E54">
        <v>27</v>
      </c>
      <c r="F54" s="1">
        <f>Clients_Churn[[#This Row],[Duree_Cumulee_Panne_Min]]/1440</f>
        <v>1.8749999999999999E-2</v>
      </c>
      <c r="G54">
        <v>31.48</v>
      </c>
      <c r="H54">
        <v>5</v>
      </c>
    </row>
    <row r="55" spans="1:8" x14ac:dyDescent="0.25">
      <c r="A55" t="s">
        <v>86</v>
      </c>
      <c r="B55" t="s">
        <v>32</v>
      </c>
      <c r="C55">
        <v>81</v>
      </c>
      <c r="D55" t="s">
        <v>15</v>
      </c>
      <c r="E55">
        <v>11</v>
      </c>
      <c r="F55" s="1">
        <f>Clients_Churn[[#This Row],[Duree_Cumulee_Panne_Min]]/1440</f>
        <v>7.6388888888888886E-3</v>
      </c>
      <c r="G55">
        <v>41.76</v>
      </c>
      <c r="H55">
        <v>5</v>
      </c>
    </row>
    <row r="56" spans="1:8" x14ac:dyDescent="0.25">
      <c r="A56" t="s">
        <v>87</v>
      </c>
      <c r="B56" t="s">
        <v>61</v>
      </c>
      <c r="C56">
        <v>102</v>
      </c>
      <c r="D56" t="s">
        <v>21</v>
      </c>
      <c r="E56">
        <v>402</v>
      </c>
      <c r="F56" s="1">
        <f>Clients_Churn[[#This Row],[Duree_Cumulee_Panne_Min]]/1440</f>
        <v>0.27916666666666667</v>
      </c>
      <c r="G56">
        <v>28.38</v>
      </c>
      <c r="H56">
        <v>5</v>
      </c>
    </row>
    <row r="57" spans="1:8" x14ac:dyDescent="0.25">
      <c r="A57" t="s">
        <v>88</v>
      </c>
      <c r="B57" t="s">
        <v>71</v>
      </c>
      <c r="C57">
        <v>84</v>
      </c>
      <c r="D57" t="s">
        <v>9</v>
      </c>
      <c r="E57">
        <v>380</v>
      </c>
      <c r="F57" s="1">
        <f>Clients_Churn[[#This Row],[Duree_Cumulee_Panne_Min]]/1440</f>
        <v>0.2638888888888889</v>
      </c>
      <c r="G57">
        <v>82.3</v>
      </c>
      <c r="H57">
        <v>1</v>
      </c>
    </row>
    <row r="58" spans="1:8" x14ac:dyDescent="0.25">
      <c r="A58" t="s">
        <v>89</v>
      </c>
      <c r="B58" t="s">
        <v>59</v>
      </c>
      <c r="C58">
        <v>22</v>
      </c>
      <c r="D58" t="s">
        <v>12</v>
      </c>
      <c r="E58">
        <v>457</v>
      </c>
      <c r="F58" s="1">
        <f>Clients_Churn[[#This Row],[Duree_Cumulee_Panne_Min]]/1440</f>
        <v>0.31736111111111109</v>
      </c>
      <c r="G58">
        <v>13.21</v>
      </c>
      <c r="H58">
        <v>1</v>
      </c>
    </row>
    <row r="59" spans="1:8" x14ac:dyDescent="0.25">
      <c r="A59" t="s">
        <v>90</v>
      </c>
      <c r="B59" t="s">
        <v>44</v>
      </c>
      <c r="C59">
        <v>91</v>
      </c>
      <c r="D59" t="s">
        <v>9</v>
      </c>
      <c r="E59">
        <v>188</v>
      </c>
      <c r="F59" s="1">
        <f>Clients_Churn[[#This Row],[Duree_Cumulee_Panne_Min]]/1440</f>
        <v>0.13055555555555556</v>
      </c>
      <c r="G59">
        <v>65.78</v>
      </c>
      <c r="H59">
        <v>4</v>
      </c>
    </row>
    <row r="60" spans="1:8" x14ac:dyDescent="0.25">
      <c r="A60" t="s">
        <v>91</v>
      </c>
      <c r="B60" t="s">
        <v>24</v>
      </c>
      <c r="C60">
        <v>1</v>
      </c>
      <c r="D60" t="s">
        <v>9</v>
      </c>
      <c r="E60">
        <v>135</v>
      </c>
      <c r="F60" s="1">
        <f>Clients_Churn[[#This Row],[Duree_Cumulee_Panne_Min]]/1440</f>
        <v>9.375E-2</v>
      </c>
      <c r="G60">
        <v>89.16</v>
      </c>
      <c r="H60">
        <v>3</v>
      </c>
    </row>
    <row r="61" spans="1:8" x14ac:dyDescent="0.25">
      <c r="A61" t="s">
        <v>92</v>
      </c>
      <c r="B61" t="s">
        <v>48</v>
      </c>
      <c r="C61">
        <v>15</v>
      </c>
      <c r="D61" t="s">
        <v>12</v>
      </c>
      <c r="E61">
        <v>403</v>
      </c>
      <c r="F61" s="1">
        <f>Clients_Churn[[#This Row],[Duree_Cumulee_Panne_Min]]/1440</f>
        <v>0.27986111111111112</v>
      </c>
      <c r="G61">
        <v>77.12</v>
      </c>
      <c r="H61">
        <v>1</v>
      </c>
    </row>
    <row r="62" spans="1:8" x14ac:dyDescent="0.25">
      <c r="A62" t="s">
        <v>93</v>
      </c>
      <c r="B62" t="s">
        <v>50</v>
      </c>
      <c r="C62">
        <v>50</v>
      </c>
      <c r="D62" t="s">
        <v>12</v>
      </c>
      <c r="E62">
        <v>108</v>
      </c>
      <c r="F62" s="1">
        <f>Clients_Churn[[#This Row],[Duree_Cumulee_Panne_Min]]/1440</f>
        <v>7.4999999999999997E-2</v>
      </c>
      <c r="G62">
        <v>43.81</v>
      </c>
      <c r="H62">
        <v>5</v>
      </c>
    </row>
    <row r="63" spans="1:8" x14ac:dyDescent="0.25">
      <c r="A63" t="s">
        <v>94</v>
      </c>
      <c r="B63" t="s">
        <v>30</v>
      </c>
      <c r="C63">
        <v>19</v>
      </c>
      <c r="D63" t="s">
        <v>9</v>
      </c>
      <c r="E63">
        <v>305</v>
      </c>
      <c r="F63" s="1">
        <f>Clients_Churn[[#This Row],[Duree_Cumulee_Panne_Min]]/1440</f>
        <v>0.21180555555555555</v>
      </c>
      <c r="G63">
        <v>81.11</v>
      </c>
      <c r="H63">
        <v>1</v>
      </c>
    </row>
    <row r="64" spans="1:8" x14ac:dyDescent="0.25">
      <c r="A64" t="s">
        <v>95</v>
      </c>
      <c r="B64" t="s">
        <v>36</v>
      </c>
      <c r="C64">
        <v>56</v>
      </c>
      <c r="D64" t="s">
        <v>9</v>
      </c>
      <c r="E64">
        <v>27</v>
      </c>
      <c r="F64" s="1">
        <f>Clients_Churn[[#This Row],[Duree_Cumulee_Panne_Min]]/1440</f>
        <v>1.8749999999999999E-2</v>
      </c>
      <c r="G64">
        <v>46.41</v>
      </c>
      <c r="H64">
        <v>3</v>
      </c>
    </row>
    <row r="65" spans="1:8" x14ac:dyDescent="0.25">
      <c r="A65" t="s">
        <v>96</v>
      </c>
      <c r="B65" t="s">
        <v>48</v>
      </c>
      <c r="C65">
        <v>39</v>
      </c>
      <c r="D65" t="s">
        <v>12</v>
      </c>
      <c r="E65">
        <v>289</v>
      </c>
      <c r="F65" s="1">
        <f>Clients_Churn[[#This Row],[Duree_Cumulee_Panne_Min]]/1440</f>
        <v>0.20069444444444445</v>
      </c>
      <c r="G65">
        <v>86.7</v>
      </c>
      <c r="H65">
        <v>3</v>
      </c>
    </row>
    <row r="66" spans="1:8" x14ac:dyDescent="0.25">
      <c r="A66" t="s">
        <v>97</v>
      </c>
      <c r="B66" t="s">
        <v>59</v>
      </c>
      <c r="C66">
        <v>98</v>
      </c>
      <c r="D66" t="s">
        <v>21</v>
      </c>
      <c r="E66">
        <v>319</v>
      </c>
      <c r="F66" s="1">
        <f>Clients_Churn[[#This Row],[Duree_Cumulee_Panne_Min]]/1440</f>
        <v>0.22152777777777777</v>
      </c>
      <c r="G66">
        <v>88.58</v>
      </c>
      <c r="H66">
        <v>0</v>
      </c>
    </row>
    <row r="67" spans="1:8" x14ac:dyDescent="0.25">
      <c r="A67" t="s">
        <v>98</v>
      </c>
      <c r="B67" t="s">
        <v>99</v>
      </c>
      <c r="C67">
        <v>71</v>
      </c>
      <c r="D67" t="s">
        <v>21</v>
      </c>
      <c r="E67">
        <v>191</v>
      </c>
      <c r="F67" s="1">
        <f>Clients_Churn[[#This Row],[Duree_Cumulee_Panne_Min]]/1440</f>
        <v>0.13263888888888889</v>
      </c>
      <c r="G67">
        <v>83.04</v>
      </c>
      <c r="H67">
        <v>4</v>
      </c>
    </row>
    <row r="68" spans="1:8" x14ac:dyDescent="0.25">
      <c r="A68" t="s">
        <v>100</v>
      </c>
      <c r="B68" t="s">
        <v>30</v>
      </c>
      <c r="C68">
        <v>81</v>
      </c>
      <c r="D68" t="s">
        <v>12</v>
      </c>
      <c r="E68">
        <v>154</v>
      </c>
      <c r="F68" s="1">
        <f>Clients_Churn[[#This Row],[Duree_Cumulee_Panne_Min]]/1440</f>
        <v>0.10694444444444444</v>
      </c>
      <c r="G68">
        <v>19.47</v>
      </c>
      <c r="H68">
        <v>3</v>
      </c>
    </row>
    <row r="69" spans="1:8" x14ac:dyDescent="0.25">
      <c r="A69" t="s">
        <v>101</v>
      </c>
      <c r="B69" t="s">
        <v>46</v>
      </c>
      <c r="C69">
        <v>34</v>
      </c>
      <c r="D69" t="s">
        <v>9</v>
      </c>
      <c r="E69">
        <v>35</v>
      </c>
      <c r="F69" s="1">
        <f>Clients_Churn[[#This Row],[Duree_Cumulee_Panne_Min]]/1440</f>
        <v>2.4305555555555556E-2</v>
      </c>
      <c r="G69">
        <v>76.86</v>
      </c>
      <c r="H69">
        <v>1</v>
      </c>
    </row>
    <row r="70" spans="1:8" x14ac:dyDescent="0.25">
      <c r="A70" t="s">
        <v>102</v>
      </c>
      <c r="B70" t="s">
        <v>46</v>
      </c>
      <c r="C70">
        <v>55</v>
      </c>
      <c r="D70" t="s">
        <v>15</v>
      </c>
      <c r="E70">
        <v>60</v>
      </c>
      <c r="F70" s="1">
        <f>Clients_Churn[[#This Row],[Duree_Cumulee_Panne_Min]]/1440</f>
        <v>4.1666666666666664E-2</v>
      </c>
      <c r="G70">
        <v>32.51</v>
      </c>
      <c r="H70">
        <v>4</v>
      </c>
    </row>
    <row r="71" spans="1:8" x14ac:dyDescent="0.25">
      <c r="A71" t="s">
        <v>103</v>
      </c>
      <c r="B71" t="s">
        <v>67</v>
      </c>
      <c r="C71">
        <v>47</v>
      </c>
      <c r="D71" t="s">
        <v>12</v>
      </c>
      <c r="E71">
        <v>107</v>
      </c>
      <c r="F71" s="1">
        <f>Clients_Churn[[#This Row],[Duree_Cumulee_Panne_Min]]/1440</f>
        <v>7.4305555555555555E-2</v>
      </c>
      <c r="G71">
        <v>35.380000000000003</v>
      </c>
      <c r="H71">
        <v>1</v>
      </c>
    </row>
    <row r="72" spans="1:8" x14ac:dyDescent="0.25">
      <c r="A72" t="s">
        <v>104</v>
      </c>
      <c r="B72" t="s">
        <v>34</v>
      </c>
      <c r="C72">
        <v>48</v>
      </c>
      <c r="D72" t="s">
        <v>15</v>
      </c>
      <c r="E72">
        <v>187</v>
      </c>
      <c r="F72" s="1">
        <f>Clients_Churn[[#This Row],[Duree_Cumulee_Panne_Min]]/1440</f>
        <v>0.12986111111111112</v>
      </c>
      <c r="G72">
        <v>21.26</v>
      </c>
      <c r="H72">
        <v>2</v>
      </c>
    </row>
    <row r="73" spans="1:8" x14ac:dyDescent="0.25">
      <c r="A73" t="s">
        <v>105</v>
      </c>
      <c r="B73" t="s">
        <v>34</v>
      </c>
      <c r="C73">
        <v>47</v>
      </c>
      <c r="D73" t="s">
        <v>12</v>
      </c>
      <c r="E73">
        <v>378</v>
      </c>
      <c r="F73" s="1">
        <f>Clients_Churn[[#This Row],[Duree_Cumulee_Panne_Min]]/1440</f>
        <v>0.26250000000000001</v>
      </c>
      <c r="G73">
        <v>36.42</v>
      </c>
      <c r="H73">
        <v>1</v>
      </c>
    </row>
    <row r="74" spans="1:8" x14ac:dyDescent="0.25">
      <c r="A74" t="s">
        <v>106</v>
      </c>
      <c r="B74" t="s">
        <v>107</v>
      </c>
      <c r="C74">
        <v>109</v>
      </c>
      <c r="D74" t="s">
        <v>15</v>
      </c>
      <c r="E74">
        <v>84</v>
      </c>
      <c r="F74" s="1">
        <f>Clients_Churn[[#This Row],[Duree_Cumulee_Panne_Min]]/1440</f>
        <v>5.8333333333333334E-2</v>
      </c>
      <c r="G74">
        <v>97.46</v>
      </c>
      <c r="H74">
        <v>5</v>
      </c>
    </row>
    <row r="75" spans="1:8" x14ac:dyDescent="0.25">
      <c r="A75" t="s">
        <v>108</v>
      </c>
      <c r="B75" t="s">
        <v>24</v>
      </c>
      <c r="C75">
        <v>40</v>
      </c>
      <c r="D75" t="s">
        <v>15</v>
      </c>
      <c r="E75">
        <v>219</v>
      </c>
      <c r="F75" s="1">
        <f>Clients_Churn[[#This Row],[Duree_Cumulee_Panne_Min]]/1440</f>
        <v>0.15208333333333332</v>
      </c>
      <c r="G75">
        <v>53.98</v>
      </c>
      <c r="H75">
        <v>2</v>
      </c>
    </row>
    <row r="76" spans="1:8" x14ac:dyDescent="0.25">
      <c r="A76" t="s">
        <v>109</v>
      </c>
      <c r="B76" t="s">
        <v>26</v>
      </c>
      <c r="C76">
        <v>56</v>
      </c>
      <c r="D76" t="s">
        <v>15</v>
      </c>
      <c r="E76">
        <v>367</v>
      </c>
      <c r="F76" s="1">
        <f>Clients_Churn[[#This Row],[Duree_Cumulee_Panne_Min]]/1440</f>
        <v>0.25486111111111109</v>
      </c>
      <c r="G76">
        <v>72.790000000000006</v>
      </c>
      <c r="H76">
        <v>1</v>
      </c>
    </row>
    <row r="77" spans="1:8" x14ac:dyDescent="0.25">
      <c r="A77" t="s">
        <v>110</v>
      </c>
      <c r="B77" t="s">
        <v>11</v>
      </c>
      <c r="C77">
        <v>111</v>
      </c>
      <c r="D77" t="s">
        <v>9</v>
      </c>
      <c r="E77">
        <v>76</v>
      </c>
      <c r="F77" s="1">
        <f>Clients_Churn[[#This Row],[Duree_Cumulee_Panne_Min]]/1440</f>
        <v>5.2777777777777778E-2</v>
      </c>
      <c r="G77">
        <v>38.19</v>
      </c>
      <c r="H77">
        <v>5</v>
      </c>
    </row>
    <row r="78" spans="1:8" x14ac:dyDescent="0.25">
      <c r="A78" t="s">
        <v>111</v>
      </c>
      <c r="B78" t="s">
        <v>107</v>
      </c>
      <c r="C78">
        <v>99</v>
      </c>
      <c r="D78" t="s">
        <v>15</v>
      </c>
      <c r="E78">
        <v>493</v>
      </c>
      <c r="F78" s="1">
        <f>Clients_Churn[[#This Row],[Duree_Cumulee_Panne_Min]]/1440</f>
        <v>0.34236111111111112</v>
      </c>
      <c r="G78">
        <v>55.43</v>
      </c>
      <c r="H78">
        <v>2</v>
      </c>
    </row>
    <row r="79" spans="1:8" x14ac:dyDescent="0.25">
      <c r="A79" t="s">
        <v>112</v>
      </c>
      <c r="B79" t="s">
        <v>74</v>
      </c>
      <c r="C79">
        <v>56</v>
      </c>
      <c r="D79" t="s">
        <v>21</v>
      </c>
      <c r="E79">
        <v>354</v>
      </c>
      <c r="F79" s="1">
        <f>Clients_Churn[[#This Row],[Duree_Cumulee_Panne_Min]]/1440</f>
        <v>0.24583333333333332</v>
      </c>
      <c r="G79">
        <v>32.08</v>
      </c>
      <c r="H79">
        <v>1</v>
      </c>
    </row>
    <row r="80" spans="1:8" x14ac:dyDescent="0.25">
      <c r="A80" t="s">
        <v>113</v>
      </c>
      <c r="B80" t="s">
        <v>36</v>
      </c>
      <c r="C80">
        <v>118</v>
      </c>
      <c r="D80" t="s">
        <v>12</v>
      </c>
      <c r="E80">
        <v>22</v>
      </c>
      <c r="F80" s="1">
        <f>Clients_Churn[[#This Row],[Duree_Cumulee_Panne_Min]]/1440</f>
        <v>1.5277777777777777E-2</v>
      </c>
      <c r="G80">
        <v>15.39</v>
      </c>
      <c r="H80">
        <v>1</v>
      </c>
    </row>
    <row r="81" spans="1:8" x14ac:dyDescent="0.25">
      <c r="A81" t="s">
        <v>114</v>
      </c>
      <c r="B81" t="s">
        <v>40</v>
      </c>
      <c r="C81">
        <v>59</v>
      </c>
      <c r="D81" t="s">
        <v>15</v>
      </c>
      <c r="E81">
        <v>192</v>
      </c>
      <c r="F81" s="1">
        <f>Clients_Churn[[#This Row],[Duree_Cumulee_Panne_Min]]/1440</f>
        <v>0.13333333333333333</v>
      </c>
      <c r="G81">
        <v>86.17</v>
      </c>
      <c r="H81">
        <v>1</v>
      </c>
    </row>
    <row r="82" spans="1:8" x14ac:dyDescent="0.25">
      <c r="A82" t="s">
        <v>115</v>
      </c>
      <c r="B82" t="s">
        <v>71</v>
      </c>
      <c r="C82">
        <v>17</v>
      </c>
      <c r="D82" t="s">
        <v>9</v>
      </c>
      <c r="E82">
        <v>404</v>
      </c>
      <c r="F82" s="1">
        <f>Clients_Churn[[#This Row],[Duree_Cumulee_Panne_Min]]/1440</f>
        <v>0.28055555555555556</v>
      </c>
      <c r="G82">
        <v>83.4</v>
      </c>
      <c r="H82">
        <v>1</v>
      </c>
    </row>
    <row r="83" spans="1:8" x14ac:dyDescent="0.25">
      <c r="A83" t="s">
        <v>116</v>
      </c>
      <c r="B83" t="s">
        <v>8</v>
      </c>
      <c r="C83">
        <v>69</v>
      </c>
      <c r="D83" t="s">
        <v>9</v>
      </c>
      <c r="E83">
        <v>306</v>
      </c>
      <c r="F83" s="1">
        <f>Clients_Churn[[#This Row],[Duree_Cumulee_Panne_Min]]/1440</f>
        <v>0.21249999999999999</v>
      </c>
      <c r="G83">
        <v>13.97</v>
      </c>
      <c r="H83">
        <v>1</v>
      </c>
    </row>
    <row r="84" spans="1:8" x14ac:dyDescent="0.25">
      <c r="A84" t="s">
        <v>117</v>
      </c>
      <c r="B84" t="s">
        <v>61</v>
      </c>
      <c r="C84">
        <v>93</v>
      </c>
      <c r="D84" t="s">
        <v>21</v>
      </c>
      <c r="E84">
        <v>136</v>
      </c>
      <c r="F84" s="1">
        <f>Clients_Churn[[#This Row],[Duree_Cumulee_Panne_Min]]/1440</f>
        <v>9.4444444444444442E-2</v>
      </c>
      <c r="G84">
        <v>19.09</v>
      </c>
      <c r="H84">
        <v>1</v>
      </c>
    </row>
    <row r="85" spans="1:8" x14ac:dyDescent="0.25">
      <c r="A85" t="s">
        <v>118</v>
      </c>
      <c r="B85" t="s">
        <v>48</v>
      </c>
      <c r="C85">
        <v>43</v>
      </c>
      <c r="D85" t="s">
        <v>9</v>
      </c>
      <c r="E85">
        <v>20</v>
      </c>
      <c r="F85" s="1">
        <f>Clients_Churn[[#This Row],[Duree_Cumulee_Panne_Min]]/1440</f>
        <v>1.3888888888888888E-2</v>
      </c>
      <c r="G85">
        <v>66.680000000000007</v>
      </c>
      <c r="H85">
        <v>5</v>
      </c>
    </row>
    <row r="86" spans="1:8" x14ac:dyDescent="0.25">
      <c r="A86" t="s">
        <v>119</v>
      </c>
      <c r="B86" t="s">
        <v>14</v>
      </c>
      <c r="C86">
        <v>119</v>
      </c>
      <c r="D86" t="s">
        <v>15</v>
      </c>
      <c r="E86">
        <v>475</v>
      </c>
      <c r="F86" s="1">
        <f>Clients_Churn[[#This Row],[Duree_Cumulee_Panne_Min]]/1440</f>
        <v>0.3298611111111111</v>
      </c>
      <c r="G86">
        <v>25.98</v>
      </c>
      <c r="H86">
        <v>4</v>
      </c>
    </row>
    <row r="87" spans="1:8" x14ac:dyDescent="0.25">
      <c r="A87" t="s">
        <v>120</v>
      </c>
      <c r="B87" t="s">
        <v>11</v>
      </c>
      <c r="C87">
        <v>41</v>
      </c>
      <c r="D87" t="s">
        <v>9</v>
      </c>
      <c r="E87">
        <v>425</v>
      </c>
      <c r="F87" s="1">
        <f>Clients_Churn[[#This Row],[Duree_Cumulee_Panne_Min]]/1440</f>
        <v>0.2951388888888889</v>
      </c>
      <c r="G87">
        <v>42.33</v>
      </c>
      <c r="H87">
        <v>3</v>
      </c>
    </row>
    <row r="88" spans="1:8" x14ac:dyDescent="0.25">
      <c r="A88" t="s">
        <v>121</v>
      </c>
      <c r="B88" t="s">
        <v>8</v>
      </c>
      <c r="C88">
        <v>50</v>
      </c>
      <c r="D88" t="s">
        <v>9</v>
      </c>
      <c r="E88">
        <v>248</v>
      </c>
      <c r="F88" s="1">
        <f>Clients_Churn[[#This Row],[Duree_Cumulee_Panne_Min]]/1440</f>
        <v>0.17222222222222222</v>
      </c>
      <c r="G88">
        <v>69.42</v>
      </c>
      <c r="H88">
        <v>0</v>
      </c>
    </row>
    <row r="89" spans="1:8" x14ac:dyDescent="0.25">
      <c r="A89" t="s">
        <v>122</v>
      </c>
      <c r="B89" t="s">
        <v>40</v>
      </c>
      <c r="C89">
        <v>47</v>
      </c>
      <c r="D89" t="s">
        <v>15</v>
      </c>
      <c r="E89">
        <v>340</v>
      </c>
      <c r="F89" s="1">
        <f>Clients_Churn[[#This Row],[Duree_Cumulee_Panne_Min]]/1440</f>
        <v>0.2361111111111111</v>
      </c>
      <c r="G89">
        <v>31.02</v>
      </c>
      <c r="H89">
        <v>5</v>
      </c>
    </row>
    <row r="90" spans="1:8" x14ac:dyDescent="0.25">
      <c r="A90" t="s">
        <v>123</v>
      </c>
      <c r="B90" t="s">
        <v>64</v>
      </c>
      <c r="C90">
        <v>52</v>
      </c>
      <c r="D90" t="s">
        <v>21</v>
      </c>
      <c r="E90">
        <v>425</v>
      </c>
      <c r="F90" s="1">
        <f>Clients_Churn[[#This Row],[Duree_Cumulee_Panne_Min]]/1440</f>
        <v>0.2951388888888889</v>
      </c>
      <c r="G90">
        <v>97.25</v>
      </c>
      <c r="H90">
        <v>0</v>
      </c>
    </row>
    <row r="91" spans="1:8" x14ac:dyDescent="0.25">
      <c r="A91" t="s">
        <v>124</v>
      </c>
      <c r="B91" t="s">
        <v>59</v>
      </c>
      <c r="C91">
        <v>20</v>
      </c>
      <c r="D91" t="s">
        <v>9</v>
      </c>
      <c r="E91">
        <v>26</v>
      </c>
      <c r="F91" s="1">
        <f>Clients_Churn[[#This Row],[Duree_Cumulee_Panne_Min]]/1440</f>
        <v>1.8055555555555554E-2</v>
      </c>
      <c r="G91">
        <v>25.14</v>
      </c>
      <c r="H91">
        <v>0</v>
      </c>
    </row>
    <row r="92" spans="1:8" x14ac:dyDescent="0.25">
      <c r="A92" t="s">
        <v>125</v>
      </c>
      <c r="B92" t="s">
        <v>67</v>
      </c>
      <c r="C92">
        <v>43</v>
      </c>
      <c r="D92" t="s">
        <v>9</v>
      </c>
      <c r="E92">
        <v>181</v>
      </c>
      <c r="F92" s="1">
        <f>Clients_Churn[[#This Row],[Duree_Cumulee_Panne_Min]]/1440</f>
        <v>0.12569444444444444</v>
      </c>
      <c r="G92">
        <v>72.39</v>
      </c>
      <c r="H92">
        <v>2</v>
      </c>
    </row>
    <row r="93" spans="1:8" x14ac:dyDescent="0.25">
      <c r="A93" t="s">
        <v>126</v>
      </c>
      <c r="B93" t="s">
        <v>32</v>
      </c>
      <c r="C93">
        <v>44</v>
      </c>
      <c r="D93" t="s">
        <v>12</v>
      </c>
      <c r="E93">
        <v>137</v>
      </c>
      <c r="F93" s="1">
        <f>Clients_Churn[[#This Row],[Duree_Cumulee_Panne_Min]]/1440</f>
        <v>9.5138888888888884E-2</v>
      </c>
      <c r="G93">
        <v>32.58</v>
      </c>
      <c r="H93">
        <v>0</v>
      </c>
    </row>
    <row r="94" spans="1:8" x14ac:dyDescent="0.25">
      <c r="A94" t="s">
        <v>127</v>
      </c>
      <c r="B94" t="s">
        <v>24</v>
      </c>
      <c r="C94">
        <v>95</v>
      </c>
      <c r="D94" t="s">
        <v>12</v>
      </c>
      <c r="E94">
        <v>127</v>
      </c>
      <c r="F94" s="1">
        <f>Clients_Churn[[#This Row],[Duree_Cumulee_Panne_Min]]/1440</f>
        <v>8.819444444444445E-2</v>
      </c>
      <c r="G94">
        <v>94.9</v>
      </c>
      <c r="H94">
        <v>4</v>
      </c>
    </row>
    <row r="95" spans="1:8" x14ac:dyDescent="0.25">
      <c r="A95" t="s">
        <v>128</v>
      </c>
      <c r="B95" t="s">
        <v>34</v>
      </c>
      <c r="C95">
        <v>63</v>
      </c>
      <c r="D95" t="s">
        <v>12</v>
      </c>
      <c r="E95">
        <v>449</v>
      </c>
      <c r="F95" s="1">
        <f>Clients_Churn[[#This Row],[Duree_Cumulee_Panne_Min]]/1440</f>
        <v>0.31180555555555556</v>
      </c>
      <c r="G95">
        <v>37.08</v>
      </c>
      <c r="H95">
        <v>0</v>
      </c>
    </row>
    <row r="96" spans="1:8" x14ac:dyDescent="0.25">
      <c r="A96" t="s">
        <v>129</v>
      </c>
      <c r="B96" t="s">
        <v>32</v>
      </c>
      <c r="C96">
        <v>24</v>
      </c>
      <c r="D96" t="s">
        <v>15</v>
      </c>
      <c r="E96">
        <v>392</v>
      </c>
      <c r="F96" s="1">
        <f>Clients_Churn[[#This Row],[Duree_Cumulee_Panne_Min]]/1440</f>
        <v>0.2722222222222222</v>
      </c>
      <c r="G96">
        <v>27.06</v>
      </c>
      <c r="H96">
        <v>1</v>
      </c>
    </row>
    <row r="97" spans="1:8" x14ac:dyDescent="0.25">
      <c r="A97" t="s">
        <v>130</v>
      </c>
      <c r="B97" t="s">
        <v>8</v>
      </c>
      <c r="C97">
        <v>9</v>
      </c>
      <c r="D97" t="s">
        <v>9</v>
      </c>
      <c r="E97">
        <v>11</v>
      </c>
      <c r="F97" s="1">
        <f>Clients_Churn[[#This Row],[Duree_Cumulee_Panne_Min]]/1440</f>
        <v>7.6388888888888886E-3</v>
      </c>
      <c r="G97">
        <v>72.36</v>
      </c>
      <c r="H97">
        <v>2</v>
      </c>
    </row>
    <row r="98" spans="1:8" x14ac:dyDescent="0.25">
      <c r="A98" t="s">
        <v>131</v>
      </c>
      <c r="B98" t="s">
        <v>48</v>
      </c>
      <c r="C98">
        <v>11</v>
      </c>
      <c r="D98" t="s">
        <v>9</v>
      </c>
      <c r="E98">
        <v>52</v>
      </c>
      <c r="F98" s="1">
        <f>Clients_Churn[[#This Row],[Duree_Cumulee_Panne_Min]]/1440</f>
        <v>3.6111111111111108E-2</v>
      </c>
      <c r="G98">
        <v>76.53</v>
      </c>
      <c r="H98">
        <v>5</v>
      </c>
    </row>
    <row r="99" spans="1:8" x14ac:dyDescent="0.25">
      <c r="A99" t="s">
        <v>132</v>
      </c>
      <c r="B99" t="s">
        <v>99</v>
      </c>
      <c r="C99">
        <v>57</v>
      </c>
      <c r="D99" t="s">
        <v>9</v>
      </c>
      <c r="E99">
        <v>493</v>
      </c>
      <c r="F99" s="1">
        <f>Clients_Churn[[#This Row],[Duree_Cumulee_Panne_Min]]/1440</f>
        <v>0.34236111111111112</v>
      </c>
      <c r="G99">
        <v>43.98</v>
      </c>
      <c r="H99">
        <v>3</v>
      </c>
    </row>
    <row r="100" spans="1:8" x14ac:dyDescent="0.25">
      <c r="A100" t="s">
        <v>133</v>
      </c>
      <c r="B100" t="s">
        <v>74</v>
      </c>
      <c r="C100">
        <v>40</v>
      </c>
      <c r="D100" t="s">
        <v>9</v>
      </c>
      <c r="E100">
        <v>38</v>
      </c>
      <c r="F100" s="1">
        <f>Clients_Churn[[#This Row],[Duree_Cumulee_Panne_Min]]/1440</f>
        <v>2.6388888888888889E-2</v>
      </c>
      <c r="G100">
        <v>17.63</v>
      </c>
      <c r="H100">
        <v>0</v>
      </c>
    </row>
    <row r="101" spans="1:8" x14ac:dyDescent="0.25">
      <c r="A101" t="s">
        <v>134</v>
      </c>
      <c r="B101" t="s">
        <v>48</v>
      </c>
      <c r="C101">
        <v>19</v>
      </c>
      <c r="D101" t="s">
        <v>15</v>
      </c>
      <c r="E101">
        <v>334</v>
      </c>
      <c r="F101" s="1">
        <f>Clients_Churn[[#This Row],[Duree_Cumulee_Panne_Min]]/1440</f>
        <v>0.23194444444444445</v>
      </c>
      <c r="G101">
        <v>96.91</v>
      </c>
      <c r="H101">
        <v>1</v>
      </c>
    </row>
    <row r="102" spans="1:8" x14ac:dyDescent="0.25">
      <c r="A102" t="s">
        <v>135</v>
      </c>
      <c r="B102" t="s">
        <v>67</v>
      </c>
      <c r="C102">
        <v>108</v>
      </c>
      <c r="D102" t="s">
        <v>12</v>
      </c>
      <c r="E102">
        <v>48</v>
      </c>
      <c r="F102" s="1">
        <f>Clients_Churn[[#This Row],[Duree_Cumulee_Panne_Min]]/1440</f>
        <v>3.3333333333333333E-2</v>
      </c>
      <c r="G102">
        <v>86.22</v>
      </c>
      <c r="H102">
        <v>3</v>
      </c>
    </row>
    <row r="103" spans="1:8" x14ac:dyDescent="0.25">
      <c r="A103" t="s">
        <v>136</v>
      </c>
      <c r="B103" t="s">
        <v>14</v>
      </c>
      <c r="C103">
        <v>37</v>
      </c>
      <c r="D103" t="s">
        <v>12</v>
      </c>
      <c r="E103">
        <v>150</v>
      </c>
      <c r="F103" s="1">
        <f>Clients_Churn[[#This Row],[Duree_Cumulee_Panne_Min]]/1440</f>
        <v>0.10416666666666667</v>
      </c>
      <c r="G103">
        <v>37.979999999999997</v>
      </c>
      <c r="H103">
        <v>4</v>
      </c>
    </row>
    <row r="104" spans="1:8" x14ac:dyDescent="0.25">
      <c r="A104" t="s">
        <v>137</v>
      </c>
      <c r="B104" t="s">
        <v>44</v>
      </c>
      <c r="C104">
        <v>52</v>
      </c>
      <c r="D104" t="s">
        <v>12</v>
      </c>
      <c r="E104">
        <v>234</v>
      </c>
      <c r="F104" s="1">
        <f>Clients_Churn[[#This Row],[Duree_Cumulee_Panne_Min]]/1440</f>
        <v>0.16250000000000001</v>
      </c>
      <c r="G104">
        <v>62.87</v>
      </c>
      <c r="H104">
        <v>0</v>
      </c>
    </row>
    <row r="105" spans="1:8" x14ac:dyDescent="0.25">
      <c r="A105" t="s">
        <v>138</v>
      </c>
      <c r="B105" t="s">
        <v>50</v>
      </c>
      <c r="C105">
        <v>113</v>
      </c>
      <c r="D105" t="s">
        <v>15</v>
      </c>
      <c r="E105">
        <v>380</v>
      </c>
      <c r="F105" s="1">
        <f>Clients_Churn[[#This Row],[Duree_Cumulee_Panne_Min]]/1440</f>
        <v>0.2638888888888889</v>
      </c>
      <c r="G105">
        <v>12.11</v>
      </c>
      <c r="H105">
        <v>0</v>
      </c>
    </row>
    <row r="106" spans="1:8" x14ac:dyDescent="0.25">
      <c r="A106" t="s">
        <v>139</v>
      </c>
      <c r="B106" t="s">
        <v>61</v>
      </c>
      <c r="C106">
        <v>21</v>
      </c>
      <c r="D106" t="s">
        <v>21</v>
      </c>
      <c r="E106">
        <v>371</v>
      </c>
      <c r="F106" s="1">
        <f>Clients_Churn[[#This Row],[Duree_Cumulee_Panne_Min]]/1440</f>
        <v>0.25763888888888886</v>
      </c>
      <c r="G106">
        <v>48.31</v>
      </c>
      <c r="H106">
        <v>0</v>
      </c>
    </row>
    <row r="107" spans="1:8" x14ac:dyDescent="0.25">
      <c r="A107" t="s">
        <v>140</v>
      </c>
      <c r="B107" t="s">
        <v>11</v>
      </c>
      <c r="C107">
        <v>7</v>
      </c>
      <c r="D107" t="s">
        <v>12</v>
      </c>
      <c r="E107">
        <v>347</v>
      </c>
      <c r="F107" s="1">
        <f>Clients_Churn[[#This Row],[Duree_Cumulee_Panne_Min]]/1440</f>
        <v>0.24097222222222223</v>
      </c>
      <c r="G107">
        <v>41.84</v>
      </c>
      <c r="H107">
        <v>2</v>
      </c>
    </row>
    <row r="108" spans="1:8" x14ac:dyDescent="0.25">
      <c r="A108" t="s">
        <v>141</v>
      </c>
      <c r="B108" t="s">
        <v>74</v>
      </c>
      <c r="C108">
        <v>102</v>
      </c>
      <c r="D108" t="s">
        <v>12</v>
      </c>
      <c r="E108">
        <v>283</v>
      </c>
      <c r="F108" s="1">
        <f>Clients_Churn[[#This Row],[Duree_Cumulee_Panne_Min]]/1440</f>
        <v>0.19652777777777777</v>
      </c>
      <c r="G108">
        <v>28.98</v>
      </c>
      <c r="H108">
        <v>3</v>
      </c>
    </row>
    <row r="109" spans="1:8" x14ac:dyDescent="0.25">
      <c r="A109" t="s">
        <v>142</v>
      </c>
      <c r="B109" t="s">
        <v>50</v>
      </c>
      <c r="C109">
        <v>87</v>
      </c>
      <c r="D109" t="s">
        <v>12</v>
      </c>
      <c r="E109">
        <v>450</v>
      </c>
      <c r="F109" s="1">
        <f>Clients_Churn[[#This Row],[Duree_Cumulee_Panne_Min]]/1440</f>
        <v>0.3125</v>
      </c>
      <c r="G109">
        <v>64.3</v>
      </c>
      <c r="H109">
        <v>2</v>
      </c>
    </row>
    <row r="110" spans="1:8" x14ac:dyDescent="0.25">
      <c r="A110" t="s">
        <v>143</v>
      </c>
      <c r="B110" t="s">
        <v>26</v>
      </c>
      <c r="C110">
        <v>76</v>
      </c>
      <c r="D110" t="s">
        <v>21</v>
      </c>
      <c r="E110">
        <v>413</v>
      </c>
      <c r="F110" s="1">
        <f>Clients_Churn[[#This Row],[Duree_Cumulee_Panne_Min]]/1440</f>
        <v>0.28680555555555554</v>
      </c>
      <c r="G110">
        <v>28.39</v>
      </c>
      <c r="H110">
        <v>3</v>
      </c>
    </row>
    <row r="111" spans="1:8" x14ac:dyDescent="0.25">
      <c r="A111" t="s">
        <v>144</v>
      </c>
      <c r="B111" t="s">
        <v>14</v>
      </c>
      <c r="C111">
        <v>2</v>
      </c>
      <c r="D111" t="s">
        <v>12</v>
      </c>
      <c r="E111">
        <v>496</v>
      </c>
      <c r="F111" s="1">
        <f>Clients_Churn[[#This Row],[Duree_Cumulee_Panne_Min]]/1440</f>
        <v>0.34444444444444444</v>
      </c>
      <c r="G111">
        <v>15.71</v>
      </c>
      <c r="H111">
        <v>3</v>
      </c>
    </row>
    <row r="112" spans="1:8" x14ac:dyDescent="0.25">
      <c r="A112" t="s">
        <v>145</v>
      </c>
      <c r="B112" t="s">
        <v>32</v>
      </c>
      <c r="C112">
        <v>47</v>
      </c>
      <c r="D112" t="s">
        <v>12</v>
      </c>
      <c r="E112">
        <v>328</v>
      </c>
      <c r="F112" s="1">
        <f>Clients_Churn[[#This Row],[Duree_Cumulee_Panne_Min]]/1440</f>
        <v>0.22777777777777777</v>
      </c>
      <c r="G112">
        <v>61.27</v>
      </c>
      <c r="H112">
        <v>3</v>
      </c>
    </row>
    <row r="113" spans="1:8" x14ac:dyDescent="0.25">
      <c r="A113" t="s">
        <v>146</v>
      </c>
      <c r="B113" t="s">
        <v>71</v>
      </c>
      <c r="C113">
        <v>37</v>
      </c>
      <c r="D113" t="s">
        <v>15</v>
      </c>
      <c r="E113">
        <v>151</v>
      </c>
      <c r="F113" s="1">
        <f>Clients_Churn[[#This Row],[Duree_Cumulee_Panne_Min]]/1440</f>
        <v>0.10486111111111111</v>
      </c>
      <c r="G113">
        <v>62.49</v>
      </c>
      <c r="H113">
        <v>3</v>
      </c>
    </row>
    <row r="114" spans="1:8" x14ac:dyDescent="0.25">
      <c r="A114" t="s">
        <v>147</v>
      </c>
      <c r="B114" t="s">
        <v>50</v>
      </c>
      <c r="C114">
        <v>89</v>
      </c>
      <c r="D114" t="s">
        <v>9</v>
      </c>
      <c r="E114">
        <v>175</v>
      </c>
      <c r="F114" s="1">
        <f>Clients_Churn[[#This Row],[Duree_Cumulee_Panne_Min]]/1440</f>
        <v>0.12152777777777778</v>
      </c>
      <c r="G114">
        <v>32.369999999999997</v>
      </c>
      <c r="H114">
        <v>1</v>
      </c>
    </row>
    <row r="115" spans="1:8" x14ac:dyDescent="0.25">
      <c r="A115" t="s">
        <v>148</v>
      </c>
      <c r="B115" t="s">
        <v>50</v>
      </c>
      <c r="C115">
        <v>6</v>
      </c>
      <c r="D115" t="s">
        <v>21</v>
      </c>
      <c r="E115">
        <v>362</v>
      </c>
      <c r="F115" s="1">
        <f>Clients_Churn[[#This Row],[Duree_Cumulee_Panne_Min]]/1440</f>
        <v>0.25138888888888888</v>
      </c>
      <c r="G115">
        <v>75.739999999999995</v>
      </c>
      <c r="H115">
        <v>4</v>
      </c>
    </row>
    <row r="116" spans="1:8" x14ac:dyDescent="0.25">
      <c r="A116" t="s">
        <v>149</v>
      </c>
      <c r="B116" t="s">
        <v>11</v>
      </c>
      <c r="C116">
        <v>113</v>
      </c>
      <c r="D116" t="s">
        <v>21</v>
      </c>
      <c r="E116">
        <v>49</v>
      </c>
      <c r="F116" s="1">
        <f>Clients_Churn[[#This Row],[Duree_Cumulee_Panne_Min]]/1440</f>
        <v>3.4027777777777775E-2</v>
      </c>
      <c r="G116">
        <v>48.91</v>
      </c>
      <c r="H116">
        <v>5</v>
      </c>
    </row>
    <row r="117" spans="1:8" x14ac:dyDescent="0.25">
      <c r="A117" t="s">
        <v>150</v>
      </c>
      <c r="B117" t="s">
        <v>44</v>
      </c>
      <c r="C117">
        <v>20</v>
      </c>
      <c r="D117" t="s">
        <v>12</v>
      </c>
      <c r="E117">
        <v>93</v>
      </c>
      <c r="F117" s="1">
        <f>Clients_Churn[[#This Row],[Duree_Cumulee_Panne_Min]]/1440</f>
        <v>6.458333333333334E-2</v>
      </c>
      <c r="G117">
        <v>84.45</v>
      </c>
      <c r="H117">
        <v>0</v>
      </c>
    </row>
    <row r="118" spans="1:8" x14ac:dyDescent="0.25">
      <c r="A118" t="s">
        <v>151</v>
      </c>
      <c r="B118" t="s">
        <v>50</v>
      </c>
      <c r="C118">
        <v>37</v>
      </c>
      <c r="D118" t="s">
        <v>21</v>
      </c>
      <c r="E118">
        <v>94</v>
      </c>
      <c r="F118" s="1">
        <f>Clients_Churn[[#This Row],[Duree_Cumulee_Panne_Min]]/1440</f>
        <v>6.5277777777777782E-2</v>
      </c>
      <c r="G118">
        <v>50.44</v>
      </c>
      <c r="H118">
        <v>4</v>
      </c>
    </row>
    <row r="119" spans="1:8" x14ac:dyDescent="0.25">
      <c r="A119" t="s">
        <v>152</v>
      </c>
      <c r="B119" t="s">
        <v>40</v>
      </c>
      <c r="C119">
        <v>67</v>
      </c>
      <c r="D119" t="s">
        <v>15</v>
      </c>
      <c r="E119">
        <v>81</v>
      </c>
      <c r="F119" s="1">
        <f>Clients_Churn[[#This Row],[Duree_Cumulee_Panne_Min]]/1440</f>
        <v>5.6250000000000001E-2</v>
      </c>
      <c r="G119">
        <v>28.52</v>
      </c>
      <c r="H119">
        <v>4</v>
      </c>
    </row>
    <row r="120" spans="1:8" x14ac:dyDescent="0.25">
      <c r="A120" t="s">
        <v>153</v>
      </c>
      <c r="B120" t="s">
        <v>14</v>
      </c>
      <c r="C120">
        <v>18</v>
      </c>
      <c r="D120" t="s">
        <v>15</v>
      </c>
      <c r="E120">
        <v>34</v>
      </c>
      <c r="F120" s="1">
        <f>Clients_Churn[[#This Row],[Duree_Cumulee_Panne_Min]]/1440</f>
        <v>2.361111111111111E-2</v>
      </c>
      <c r="G120">
        <v>43.71</v>
      </c>
      <c r="H120">
        <v>1</v>
      </c>
    </row>
    <row r="121" spans="1:8" x14ac:dyDescent="0.25">
      <c r="A121" t="s">
        <v>154</v>
      </c>
      <c r="B121" t="s">
        <v>46</v>
      </c>
      <c r="C121">
        <v>6</v>
      </c>
      <c r="D121" t="s">
        <v>15</v>
      </c>
      <c r="E121">
        <v>155</v>
      </c>
      <c r="F121" s="1">
        <f>Clients_Churn[[#This Row],[Duree_Cumulee_Panne_Min]]/1440</f>
        <v>0.1076388888888889</v>
      </c>
      <c r="G121">
        <v>40.659999999999997</v>
      </c>
      <c r="H121">
        <v>1</v>
      </c>
    </row>
    <row r="122" spans="1:8" x14ac:dyDescent="0.25">
      <c r="A122" t="s">
        <v>155</v>
      </c>
      <c r="B122" t="s">
        <v>34</v>
      </c>
      <c r="C122">
        <v>92</v>
      </c>
      <c r="D122" t="s">
        <v>12</v>
      </c>
      <c r="E122">
        <v>487</v>
      </c>
      <c r="F122" s="1">
        <f>Clients_Churn[[#This Row],[Duree_Cumulee_Panne_Min]]/1440</f>
        <v>0.33819444444444446</v>
      </c>
      <c r="G122">
        <v>58.38</v>
      </c>
      <c r="H122">
        <v>1</v>
      </c>
    </row>
    <row r="123" spans="1:8" x14ac:dyDescent="0.25">
      <c r="A123" t="s">
        <v>156</v>
      </c>
      <c r="B123" t="s">
        <v>11</v>
      </c>
      <c r="C123">
        <v>57</v>
      </c>
      <c r="D123" t="s">
        <v>21</v>
      </c>
      <c r="E123">
        <v>36</v>
      </c>
      <c r="F123" s="1">
        <f>Clients_Churn[[#This Row],[Duree_Cumulee_Panne_Min]]/1440</f>
        <v>2.5000000000000001E-2</v>
      </c>
      <c r="G123">
        <v>82.7</v>
      </c>
      <c r="H123">
        <v>2</v>
      </c>
    </row>
    <row r="124" spans="1:8" x14ac:dyDescent="0.25">
      <c r="A124" t="s">
        <v>157</v>
      </c>
      <c r="B124" t="s">
        <v>158</v>
      </c>
      <c r="C124">
        <v>16</v>
      </c>
      <c r="D124" t="s">
        <v>12</v>
      </c>
      <c r="E124">
        <v>214</v>
      </c>
      <c r="F124" s="1">
        <f>Clients_Churn[[#This Row],[Duree_Cumulee_Panne_Min]]/1440</f>
        <v>0.14861111111111111</v>
      </c>
      <c r="G124">
        <v>46.57</v>
      </c>
      <c r="H124">
        <v>5</v>
      </c>
    </row>
    <row r="125" spans="1:8" x14ac:dyDescent="0.25">
      <c r="A125" t="s">
        <v>159</v>
      </c>
      <c r="B125" t="s">
        <v>59</v>
      </c>
      <c r="C125">
        <v>24</v>
      </c>
      <c r="D125" t="s">
        <v>12</v>
      </c>
      <c r="E125">
        <v>23</v>
      </c>
      <c r="F125" s="1">
        <f>Clients_Churn[[#This Row],[Duree_Cumulee_Panne_Min]]/1440</f>
        <v>1.5972222222222221E-2</v>
      </c>
      <c r="G125">
        <v>28.55</v>
      </c>
      <c r="H125">
        <v>1</v>
      </c>
    </row>
    <row r="126" spans="1:8" x14ac:dyDescent="0.25">
      <c r="A126" t="s">
        <v>160</v>
      </c>
      <c r="B126" t="s">
        <v>46</v>
      </c>
      <c r="C126">
        <v>32</v>
      </c>
      <c r="D126" t="s">
        <v>15</v>
      </c>
      <c r="E126">
        <v>475</v>
      </c>
      <c r="F126" s="1">
        <f>Clients_Churn[[#This Row],[Duree_Cumulee_Panne_Min]]/1440</f>
        <v>0.3298611111111111</v>
      </c>
      <c r="G126">
        <v>36.54</v>
      </c>
      <c r="H126">
        <v>3</v>
      </c>
    </row>
    <row r="127" spans="1:8" x14ac:dyDescent="0.25">
      <c r="A127" t="s">
        <v>161</v>
      </c>
      <c r="B127" t="s">
        <v>50</v>
      </c>
      <c r="C127">
        <v>45</v>
      </c>
      <c r="D127" t="s">
        <v>12</v>
      </c>
      <c r="E127">
        <v>304</v>
      </c>
      <c r="F127" s="1">
        <f>Clients_Churn[[#This Row],[Duree_Cumulee_Panne_Min]]/1440</f>
        <v>0.21111111111111111</v>
      </c>
      <c r="G127">
        <v>65.540000000000006</v>
      </c>
      <c r="H127">
        <v>2</v>
      </c>
    </row>
    <row r="128" spans="1:8" x14ac:dyDescent="0.25">
      <c r="A128" t="s">
        <v>162</v>
      </c>
      <c r="B128" t="s">
        <v>36</v>
      </c>
      <c r="C128">
        <v>24</v>
      </c>
      <c r="D128" t="s">
        <v>9</v>
      </c>
      <c r="E128">
        <v>13</v>
      </c>
      <c r="F128" s="1">
        <f>Clients_Churn[[#This Row],[Duree_Cumulee_Panne_Min]]/1440</f>
        <v>9.0277777777777769E-3</v>
      </c>
      <c r="G128">
        <v>89.3</v>
      </c>
      <c r="H128">
        <v>2</v>
      </c>
    </row>
    <row r="129" spans="1:8" x14ac:dyDescent="0.25">
      <c r="A129" t="s">
        <v>163</v>
      </c>
      <c r="B129" t="s">
        <v>34</v>
      </c>
      <c r="C129">
        <v>97</v>
      </c>
      <c r="D129" t="s">
        <v>9</v>
      </c>
      <c r="E129">
        <v>40</v>
      </c>
      <c r="F129" s="1">
        <f>Clients_Churn[[#This Row],[Duree_Cumulee_Panne_Min]]/1440</f>
        <v>2.7777777777777776E-2</v>
      </c>
      <c r="G129">
        <v>85.19</v>
      </c>
      <c r="H129">
        <v>1</v>
      </c>
    </row>
    <row r="130" spans="1:8" x14ac:dyDescent="0.25">
      <c r="A130" t="s">
        <v>164</v>
      </c>
      <c r="B130" t="s">
        <v>32</v>
      </c>
      <c r="C130">
        <v>68</v>
      </c>
      <c r="D130" t="s">
        <v>9</v>
      </c>
      <c r="E130">
        <v>487</v>
      </c>
      <c r="F130" s="1">
        <f>Clients_Churn[[#This Row],[Duree_Cumulee_Panne_Min]]/1440</f>
        <v>0.33819444444444446</v>
      </c>
      <c r="G130">
        <v>69.099999999999994</v>
      </c>
      <c r="H130">
        <v>5</v>
      </c>
    </row>
    <row r="131" spans="1:8" x14ac:dyDescent="0.25">
      <c r="A131" t="s">
        <v>165</v>
      </c>
      <c r="B131" t="s">
        <v>30</v>
      </c>
      <c r="C131">
        <v>8</v>
      </c>
      <c r="D131" t="s">
        <v>9</v>
      </c>
      <c r="E131">
        <v>120</v>
      </c>
      <c r="F131" s="1">
        <f>Clients_Churn[[#This Row],[Duree_Cumulee_Panne_Min]]/1440</f>
        <v>8.3333333333333329E-2</v>
      </c>
      <c r="G131">
        <v>88.29</v>
      </c>
      <c r="H131">
        <v>5</v>
      </c>
    </row>
    <row r="132" spans="1:8" x14ac:dyDescent="0.25">
      <c r="A132" t="s">
        <v>166</v>
      </c>
      <c r="B132" t="s">
        <v>40</v>
      </c>
      <c r="C132">
        <v>75</v>
      </c>
      <c r="D132" t="s">
        <v>15</v>
      </c>
      <c r="E132">
        <v>99</v>
      </c>
      <c r="F132" s="1">
        <f>Clients_Churn[[#This Row],[Duree_Cumulee_Panne_Min]]/1440</f>
        <v>6.8750000000000006E-2</v>
      </c>
      <c r="G132">
        <v>16.93</v>
      </c>
      <c r="H132">
        <v>5</v>
      </c>
    </row>
    <row r="133" spans="1:8" x14ac:dyDescent="0.25">
      <c r="A133" t="s">
        <v>167</v>
      </c>
      <c r="B133" t="s">
        <v>158</v>
      </c>
      <c r="C133">
        <v>22</v>
      </c>
      <c r="D133" t="s">
        <v>21</v>
      </c>
      <c r="E133">
        <v>166</v>
      </c>
      <c r="F133" s="1">
        <f>Clients_Churn[[#This Row],[Duree_Cumulee_Panne_Min]]/1440</f>
        <v>0.11527777777777778</v>
      </c>
      <c r="G133">
        <v>31.8</v>
      </c>
      <c r="H133">
        <v>1</v>
      </c>
    </row>
    <row r="134" spans="1:8" x14ac:dyDescent="0.25">
      <c r="A134" t="s">
        <v>168</v>
      </c>
      <c r="B134" t="s">
        <v>74</v>
      </c>
      <c r="C134">
        <v>91</v>
      </c>
      <c r="D134" t="s">
        <v>9</v>
      </c>
      <c r="E134">
        <v>300</v>
      </c>
      <c r="F134" s="1">
        <f>Clients_Churn[[#This Row],[Duree_Cumulee_Panne_Min]]/1440</f>
        <v>0.20833333333333334</v>
      </c>
      <c r="G134">
        <v>82.19</v>
      </c>
      <c r="H134">
        <v>1</v>
      </c>
    </row>
    <row r="135" spans="1:8" x14ac:dyDescent="0.25">
      <c r="A135" t="s">
        <v>169</v>
      </c>
      <c r="B135" t="s">
        <v>59</v>
      </c>
      <c r="C135">
        <v>66</v>
      </c>
      <c r="D135" t="s">
        <v>15</v>
      </c>
      <c r="E135">
        <v>270</v>
      </c>
      <c r="F135" s="1">
        <f>Clients_Churn[[#This Row],[Duree_Cumulee_Panne_Min]]/1440</f>
        <v>0.1875</v>
      </c>
      <c r="G135">
        <v>75.88</v>
      </c>
      <c r="H135">
        <v>3</v>
      </c>
    </row>
    <row r="136" spans="1:8" x14ac:dyDescent="0.25">
      <c r="A136" t="s">
        <v>170</v>
      </c>
      <c r="B136" t="s">
        <v>107</v>
      </c>
      <c r="C136">
        <v>98</v>
      </c>
      <c r="D136" t="s">
        <v>12</v>
      </c>
      <c r="E136">
        <v>41</v>
      </c>
      <c r="F136" s="1">
        <f>Clients_Churn[[#This Row],[Duree_Cumulee_Panne_Min]]/1440</f>
        <v>2.8472222222222222E-2</v>
      </c>
      <c r="G136">
        <v>23.55</v>
      </c>
      <c r="H136">
        <v>1</v>
      </c>
    </row>
    <row r="137" spans="1:8" x14ac:dyDescent="0.25">
      <c r="A137" t="s">
        <v>171</v>
      </c>
      <c r="B137" t="s">
        <v>50</v>
      </c>
      <c r="C137">
        <v>63</v>
      </c>
      <c r="D137" t="s">
        <v>9</v>
      </c>
      <c r="E137">
        <v>263</v>
      </c>
      <c r="F137" s="1">
        <f>Clients_Churn[[#This Row],[Duree_Cumulee_Panne_Min]]/1440</f>
        <v>0.18263888888888888</v>
      </c>
      <c r="G137">
        <v>53.87</v>
      </c>
      <c r="H137">
        <v>4</v>
      </c>
    </row>
    <row r="138" spans="1:8" x14ac:dyDescent="0.25">
      <c r="A138" t="s">
        <v>172</v>
      </c>
      <c r="B138" t="s">
        <v>20</v>
      </c>
      <c r="C138">
        <v>29</v>
      </c>
      <c r="D138" t="s">
        <v>9</v>
      </c>
      <c r="E138">
        <v>173</v>
      </c>
      <c r="F138" s="1">
        <f>Clients_Churn[[#This Row],[Duree_Cumulee_Panne_Min]]/1440</f>
        <v>0.12013888888888889</v>
      </c>
      <c r="G138">
        <v>49.03</v>
      </c>
      <c r="H138">
        <v>3</v>
      </c>
    </row>
    <row r="139" spans="1:8" x14ac:dyDescent="0.25">
      <c r="A139" t="s">
        <v>173</v>
      </c>
      <c r="B139" t="s">
        <v>158</v>
      </c>
      <c r="C139">
        <v>83</v>
      </c>
      <c r="D139" t="s">
        <v>15</v>
      </c>
      <c r="E139">
        <v>30</v>
      </c>
      <c r="F139" s="1">
        <f>Clients_Churn[[#This Row],[Duree_Cumulee_Panne_Min]]/1440</f>
        <v>2.0833333333333332E-2</v>
      </c>
      <c r="G139">
        <v>33.93</v>
      </c>
      <c r="H139">
        <v>3</v>
      </c>
    </row>
    <row r="140" spans="1:8" x14ac:dyDescent="0.25">
      <c r="A140" t="s">
        <v>174</v>
      </c>
      <c r="B140" t="s">
        <v>14</v>
      </c>
      <c r="C140">
        <v>105</v>
      </c>
      <c r="D140" t="s">
        <v>15</v>
      </c>
      <c r="E140">
        <v>271</v>
      </c>
      <c r="F140" s="1">
        <f>Clients_Churn[[#This Row],[Duree_Cumulee_Panne_Min]]/1440</f>
        <v>0.18819444444444444</v>
      </c>
      <c r="G140">
        <v>45.27</v>
      </c>
      <c r="H140">
        <v>2</v>
      </c>
    </row>
    <row r="141" spans="1:8" x14ac:dyDescent="0.25">
      <c r="A141" t="s">
        <v>175</v>
      </c>
      <c r="B141" t="s">
        <v>34</v>
      </c>
      <c r="C141">
        <v>117</v>
      </c>
      <c r="D141" t="s">
        <v>21</v>
      </c>
      <c r="E141">
        <v>282</v>
      </c>
      <c r="F141" s="1">
        <f>Clients_Churn[[#This Row],[Duree_Cumulee_Panne_Min]]/1440</f>
        <v>0.19583333333333333</v>
      </c>
      <c r="G141">
        <v>95.11</v>
      </c>
      <c r="H141">
        <v>0</v>
      </c>
    </row>
    <row r="142" spans="1:8" x14ac:dyDescent="0.25">
      <c r="A142" t="s">
        <v>176</v>
      </c>
      <c r="B142" t="s">
        <v>20</v>
      </c>
      <c r="C142">
        <v>96</v>
      </c>
      <c r="D142" t="s">
        <v>21</v>
      </c>
      <c r="E142">
        <v>334</v>
      </c>
      <c r="F142" s="1">
        <f>Clients_Churn[[#This Row],[Duree_Cumulee_Panne_Min]]/1440</f>
        <v>0.23194444444444445</v>
      </c>
      <c r="G142">
        <v>64.77</v>
      </c>
      <c r="H142">
        <v>0</v>
      </c>
    </row>
    <row r="143" spans="1:8" x14ac:dyDescent="0.25">
      <c r="A143" t="s">
        <v>177</v>
      </c>
      <c r="B143" t="s">
        <v>158</v>
      </c>
      <c r="C143">
        <v>34</v>
      </c>
      <c r="D143" t="s">
        <v>21</v>
      </c>
      <c r="E143">
        <v>170</v>
      </c>
      <c r="F143" s="1">
        <f>Clients_Churn[[#This Row],[Duree_Cumulee_Panne_Min]]/1440</f>
        <v>0.11805555555555555</v>
      </c>
      <c r="G143">
        <v>91.6</v>
      </c>
      <c r="H143">
        <v>2</v>
      </c>
    </row>
    <row r="144" spans="1:8" x14ac:dyDescent="0.25">
      <c r="A144" t="s">
        <v>178</v>
      </c>
      <c r="B144" t="s">
        <v>48</v>
      </c>
      <c r="C144">
        <v>7</v>
      </c>
      <c r="D144" t="s">
        <v>12</v>
      </c>
      <c r="E144">
        <v>323</v>
      </c>
      <c r="F144" s="1">
        <f>Clients_Churn[[#This Row],[Duree_Cumulee_Panne_Min]]/1440</f>
        <v>0.22430555555555556</v>
      </c>
      <c r="G144">
        <v>82.81</v>
      </c>
      <c r="H144">
        <v>5</v>
      </c>
    </row>
    <row r="145" spans="1:8" x14ac:dyDescent="0.25">
      <c r="A145" t="s">
        <v>179</v>
      </c>
      <c r="B145" t="s">
        <v>64</v>
      </c>
      <c r="C145">
        <v>39</v>
      </c>
      <c r="D145" t="s">
        <v>21</v>
      </c>
      <c r="E145">
        <v>220</v>
      </c>
      <c r="F145" s="1">
        <f>Clients_Churn[[#This Row],[Duree_Cumulee_Panne_Min]]/1440</f>
        <v>0.15277777777777779</v>
      </c>
      <c r="G145">
        <v>52.91</v>
      </c>
      <c r="H145">
        <v>0</v>
      </c>
    </row>
    <row r="146" spans="1:8" x14ac:dyDescent="0.25">
      <c r="A146" t="s">
        <v>180</v>
      </c>
      <c r="B146" t="s">
        <v>61</v>
      </c>
      <c r="C146">
        <v>59</v>
      </c>
      <c r="D146" t="s">
        <v>15</v>
      </c>
      <c r="E146">
        <v>64</v>
      </c>
      <c r="F146" s="1">
        <f>Clients_Churn[[#This Row],[Duree_Cumulee_Panne_Min]]/1440</f>
        <v>4.4444444444444446E-2</v>
      </c>
      <c r="G146">
        <v>20.32</v>
      </c>
      <c r="H146">
        <v>0</v>
      </c>
    </row>
    <row r="147" spans="1:8" x14ac:dyDescent="0.25">
      <c r="A147" t="s">
        <v>181</v>
      </c>
      <c r="B147" t="s">
        <v>59</v>
      </c>
      <c r="C147">
        <v>28</v>
      </c>
      <c r="D147" t="s">
        <v>15</v>
      </c>
      <c r="E147">
        <v>112</v>
      </c>
      <c r="F147" s="1">
        <f>Clients_Churn[[#This Row],[Duree_Cumulee_Panne_Min]]/1440</f>
        <v>7.7777777777777779E-2</v>
      </c>
      <c r="G147">
        <v>94.51</v>
      </c>
      <c r="H147">
        <v>3</v>
      </c>
    </row>
    <row r="148" spans="1:8" x14ac:dyDescent="0.25">
      <c r="A148" t="s">
        <v>182</v>
      </c>
      <c r="B148" t="s">
        <v>20</v>
      </c>
      <c r="C148">
        <v>78</v>
      </c>
      <c r="D148" t="s">
        <v>21</v>
      </c>
      <c r="E148">
        <v>263</v>
      </c>
      <c r="F148" s="1">
        <f>Clients_Churn[[#This Row],[Duree_Cumulee_Panne_Min]]/1440</f>
        <v>0.18263888888888888</v>
      </c>
      <c r="G148">
        <v>53.58</v>
      </c>
      <c r="H148">
        <v>5</v>
      </c>
    </row>
    <row r="149" spans="1:8" x14ac:dyDescent="0.25">
      <c r="A149" t="s">
        <v>183</v>
      </c>
      <c r="B149" t="s">
        <v>34</v>
      </c>
      <c r="C149">
        <v>4</v>
      </c>
      <c r="D149" t="s">
        <v>12</v>
      </c>
      <c r="E149">
        <v>49</v>
      </c>
      <c r="F149" s="1">
        <f>Clients_Churn[[#This Row],[Duree_Cumulee_Panne_Min]]/1440</f>
        <v>3.4027777777777775E-2</v>
      </c>
      <c r="G149">
        <v>41.35</v>
      </c>
      <c r="H149">
        <v>5</v>
      </c>
    </row>
    <row r="150" spans="1:8" x14ac:dyDescent="0.25">
      <c r="A150" t="s">
        <v>184</v>
      </c>
      <c r="B150" t="s">
        <v>26</v>
      </c>
      <c r="C150">
        <v>37</v>
      </c>
      <c r="D150" t="s">
        <v>21</v>
      </c>
      <c r="E150">
        <v>213</v>
      </c>
      <c r="F150" s="1">
        <f>Clients_Churn[[#This Row],[Duree_Cumulee_Panne_Min]]/1440</f>
        <v>0.14791666666666667</v>
      </c>
      <c r="G150">
        <v>14.12</v>
      </c>
      <c r="H150">
        <v>1</v>
      </c>
    </row>
    <row r="151" spans="1:8" x14ac:dyDescent="0.25">
      <c r="A151" t="s">
        <v>185</v>
      </c>
      <c r="B151" t="s">
        <v>67</v>
      </c>
      <c r="C151">
        <v>48</v>
      </c>
      <c r="D151" t="s">
        <v>21</v>
      </c>
      <c r="E151">
        <v>416</v>
      </c>
      <c r="F151" s="1">
        <f>Clients_Churn[[#This Row],[Duree_Cumulee_Panne_Min]]/1440</f>
        <v>0.28888888888888886</v>
      </c>
      <c r="G151">
        <v>81.260000000000005</v>
      </c>
      <c r="H151">
        <v>5</v>
      </c>
    </row>
    <row r="152" spans="1:8" x14ac:dyDescent="0.25">
      <c r="A152" t="s">
        <v>186</v>
      </c>
      <c r="B152" t="s">
        <v>11</v>
      </c>
      <c r="C152">
        <v>51</v>
      </c>
      <c r="D152" t="s">
        <v>12</v>
      </c>
      <c r="E152">
        <v>336</v>
      </c>
      <c r="F152" s="1">
        <f>Clients_Churn[[#This Row],[Duree_Cumulee_Panne_Min]]/1440</f>
        <v>0.23333333333333334</v>
      </c>
      <c r="G152">
        <v>65.47</v>
      </c>
      <c r="H152">
        <v>1</v>
      </c>
    </row>
    <row r="153" spans="1:8" x14ac:dyDescent="0.25">
      <c r="A153" t="s">
        <v>187</v>
      </c>
      <c r="B153" t="s">
        <v>107</v>
      </c>
      <c r="C153">
        <v>20</v>
      </c>
      <c r="D153" t="s">
        <v>12</v>
      </c>
      <c r="E153">
        <v>31</v>
      </c>
      <c r="F153" s="1">
        <f>Clients_Churn[[#This Row],[Duree_Cumulee_Panne_Min]]/1440</f>
        <v>2.1527777777777778E-2</v>
      </c>
      <c r="G153">
        <v>52.85</v>
      </c>
      <c r="H153">
        <v>2</v>
      </c>
    </row>
    <row r="154" spans="1:8" x14ac:dyDescent="0.25">
      <c r="A154" t="s">
        <v>188</v>
      </c>
      <c r="B154" t="s">
        <v>24</v>
      </c>
      <c r="C154">
        <v>99</v>
      </c>
      <c r="D154" t="s">
        <v>21</v>
      </c>
      <c r="E154">
        <v>447</v>
      </c>
      <c r="F154" s="1">
        <f>Clients_Churn[[#This Row],[Duree_Cumulee_Panne_Min]]/1440</f>
        <v>0.31041666666666667</v>
      </c>
      <c r="G154">
        <v>38.1</v>
      </c>
      <c r="H154">
        <v>3</v>
      </c>
    </row>
    <row r="155" spans="1:8" x14ac:dyDescent="0.25">
      <c r="A155" t="s">
        <v>189</v>
      </c>
      <c r="B155" t="s">
        <v>32</v>
      </c>
      <c r="C155">
        <v>87</v>
      </c>
      <c r="D155" t="s">
        <v>9</v>
      </c>
      <c r="E155">
        <v>21</v>
      </c>
      <c r="F155" s="1">
        <f>Clients_Churn[[#This Row],[Duree_Cumulee_Panne_Min]]/1440</f>
        <v>1.4583333333333334E-2</v>
      </c>
      <c r="G155">
        <v>81.459999999999994</v>
      </c>
      <c r="H155">
        <v>3</v>
      </c>
    </row>
    <row r="156" spans="1:8" x14ac:dyDescent="0.25">
      <c r="A156" t="s">
        <v>190</v>
      </c>
      <c r="B156" t="s">
        <v>32</v>
      </c>
      <c r="C156">
        <v>96</v>
      </c>
      <c r="D156" t="s">
        <v>21</v>
      </c>
      <c r="E156">
        <v>273</v>
      </c>
      <c r="F156" s="1">
        <f>Clients_Churn[[#This Row],[Duree_Cumulee_Panne_Min]]/1440</f>
        <v>0.18958333333333333</v>
      </c>
      <c r="G156">
        <v>37.909999999999997</v>
      </c>
      <c r="H156">
        <v>2</v>
      </c>
    </row>
    <row r="157" spans="1:8" x14ac:dyDescent="0.25">
      <c r="A157" t="s">
        <v>191</v>
      </c>
      <c r="B157" t="s">
        <v>158</v>
      </c>
      <c r="C157">
        <v>103</v>
      </c>
      <c r="D157" t="s">
        <v>15</v>
      </c>
      <c r="E157">
        <v>182</v>
      </c>
      <c r="F157" s="1">
        <f>Clients_Churn[[#This Row],[Duree_Cumulee_Panne_Min]]/1440</f>
        <v>0.12638888888888888</v>
      </c>
      <c r="G157">
        <v>12.07</v>
      </c>
      <c r="H157">
        <v>5</v>
      </c>
    </row>
    <row r="158" spans="1:8" x14ac:dyDescent="0.25">
      <c r="A158" t="s">
        <v>192</v>
      </c>
      <c r="B158" t="s">
        <v>8</v>
      </c>
      <c r="C158">
        <v>18</v>
      </c>
      <c r="D158" t="s">
        <v>9</v>
      </c>
      <c r="E158">
        <v>446</v>
      </c>
      <c r="F158" s="1">
        <f>Clients_Churn[[#This Row],[Duree_Cumulee_Panne_Min]]/1440</f>
        <v>0.30972222222222223</v>
      </c>
      <c r="G158">
        <v>97.3</v>
      </c>
      <c r="H158">
        <v>5</v>
      </c>
    </row>
    <row r="159" spans="1:8" x14ac:dyDescent="0.25">
      <c r="A159" t="s">
        <v>193</v>
      </c>
      <c r="B159" t="s">
        <v>67</v>
      </c>
      <c r="C159">
        <v>28</v>
      </c>
      <c r="D159" t="s">
        <v>21</v>
      </c>
      <c r="E159">
        <v>343</v>
      </c>
      <c r="F159" s="1">
        <f>Clients_Churn[[#This Row],[Duree_Cumulee_Panne_Min]]/1440</f>
        <v>0.23819444444444443</v>
      </c>
      <c r="G159">
        <v>64.34</v>
      </c>
      <c r="H159">
        <v>5</v>
      </c>
    </row>
    <row r="160" spans="1:8" x14ac:dyDescent="0.25">
      <c r="A160" t="s">
        <v>194</v>
      </c>
      <c r="B160" t="s">
        <v>48</v>
      </c>
      <c r="C160">
        <v>60</v>
      </c>
      <c r="D160" t="s">
        <v>12</v>
      </c>
      <c r="E160">
        <v>334</v>
      </c>
      <c r="F160" s="1">
        <f>Clients_Churn[[#This Row],[Duree_Cumulee_Panne_Min]]/1440</f>
        <v>0.23194444444444445</v>
      </c>
      <c r="G160">
        <v>71.72</v>
      </c>
      <c r="H160">
        <v>3</v>
      </c>
    </row>
    <row r="161" spans="1:8" x14ac:dyDescent="0.25">
      <c r="A161" t="s">
        <v>195</v>
      </c>
      <c r="B161" t="s">
        <v>44</v>
      </c>
      <c r="C161">
        <v>36</v>
      </c>
      <c r="D161" t="s">
        <v>15</v>
      </c>
      <c r="E161">
        <v>487</v>
      </c>
      <c r="F161" s="1">
        <f>Clients_Churn[[#This Row],[Duree_Cumulee_Panne_Min]]/1440</f>
        <v>0.33819444444444446</v>
      </c>
      <c r="G161">
        <v>45.02</v>
      </c>
      <c r="H161">
        <v>2</v>
      </c>
    </row>
    <row r="162" spans="1:8" x14ac:dyDescent="0.25">
      <c r="A162" t="s">
        <v>196</v>
      </c>
      <c r="B162" t="s">
        <v>59</v>
      </c>
      <c r="C162">
        <v>106</v>
      </c>
      <c r="D162" t="s">
        <v>15</v>
      </c>
      <c r="E162">
        <v>407</v>
      </c>
      <c r="F162" s="1">
        <f>Clients_Churn[[#This Row],[Duree_Cumulee_Panne_Min]]/1440</f>
        <v>0.28263888888888888</v>
      </c>
      <c r="G162">
        <v>59.92</v>
      </c>
      <c r="H162">
        <v>4</v>
      </c>
    </row>
    <row r="163" spans="1:8" x14ac:dyDescent="0.25">
      <c r="A163" t="s">
        <v>197</v>
      </c>
      <c r="B163" t="s">
        <v>42</v>
      </c>
      <c r="C163">
        <v>40</v>
      </c>
      <c r="D163" t="s">
        <v>21</v>
      </c>
      <c r="E163">
        <v>345</v>
      </c>
      <c r="F163" s="1">
        <f>Clients_Churn[[#This Row],[Duree_Cumulee_Panne_Min]]/1440</f>
        <v>0.23958333333333334</v>
      </c>
      <c r="G163">
        <v>89.55</v>
      </c>
      <c r="H163">
        <v>3</v>
      </c>
    </row>
    <row r="164" spans="1:8" x14ac:dyDescent="0.25">
      <c r="A164" t="s">
        <v>198</v>
      </c>
      <c r="B164" t="s">
        <v>64</v>
      </c>
      <c r="C164">
        <v>120</v>
      </c>
      <c r="D164" t="s">
        <v>15</v>
      </c>
      <c r="E164">
        <v>242</v>
      </c>
      <c r="F164" s="1">
        <f>Clients_Churn[[#This Row],[Duree_Cumulee_Panne_Min]]/1440</f>
        <v>0.16805555555555557</v>
      </c>
      <c r="G164">
        <v>61.54</v>
      </c>
      <c r="H164">
        <v>1</v>
      </c>
    </row>
    <row r="165" spans="1:8" x14ac:dyDescent="0.25">
      <c r="A165" t="s">
        <v>199</v>
      </c>
      <c r="B165" t="s">
        <v>24</v>
      </c>
      <c r="C165">
        <v>81</v>
      </c>
      <c r="D165" t="s">
        <v>21</v>
      </c>
      <c r="E165">
        <v>137</v>
      </c>
      <c r="F165" s="1">
        <f>Clients_Churn[[#This Row],[Duree_Cumulee_Panne_Min]]/1440</f>
        <v>9.5138888888888884E-2</v>
      </c>
      <c r="G165">
        <v>89.05</v>
      </c>
      <c r="H165">
        <v>0</v>
      </c>
    </row>
    <row r="166" spans="1:8" x14ac:dyDescent="0.25">
      <c r="A166" t="s">
        <v>200</v>
      </c>
      <c r="B166" t="s">
        <v>46</v>
      </c>
      <c r="C166">
        <v>105</v>
      </c>
      <c r="D166" t="s">
        <v>21</v>
      </c>
      <c r="E166">
        <v>454</v>
      </c>
      <c r="F166" s="1">
        <f>Clients_Churn[[#This Row],[Duree_Cumulee_Panne_Min]]/1440</f>
        <v>0.31527777777777777</v>
      </c>
      <c r="G166">
        <v>49.47</v>
      </c>
      <c r="H166">
        <v>4</v>
      </c>
    </row>
    <row r="167" spans="1:8" x14ac:dyDescent="0.25">
      <c r="A167" t="s">
        <v>201</v>
      </c>
      <c r="B167" t="s">
        <v>158</v>
      </c>
      <c r="C167">
        <v>5</v>
      </c>
      <c r="D167" t="s">
        <v>12</v>
      </c>
      <c r="E167">
        <v>98</v>
      </c>
      <c r="F167" s="1">
        <f>Clients_Churn[[#This Row],[Duree_Cumulee_Panne_Min]]/1440</f>
        <v>6.805555555555555E-2</v>
      </c>
      <c r="G167">
        <v>71.37</v>
      </c>
      <c r="H167">
        <v>1</v>
      </c>
    </row>
    <row r="168" spans="1:8" x14ac:dyDescent="0.25">
      <c r="A168" t="s">
        <v>202</v>
      </c>
      <c r="B168" t="s">
        <v>61</v>
      </c>
      <c r="C168">
        <v>25</v>
      </c>
      <c r="D168" t="s">
        <v>21</v>
      </c>
      <c r="E168">
        <v>467</v>
      </c>
      <c r="F168" s="1">
        <f>Clients_Churn[[#This Row],[Duree_Cumulee_Panne_Min]]/1440</f>
        <v>0.32430555555555557</v>
      </c>
      <c r="G168">
        <v>97.78</v>
      </c>
      <c r="H168">
        <v>3</v>
      </c>
    </row>
    <row r="169" spans="1:8" x14ac:dyDescent="0.25">
      <c r="A169" t="s">
        <v>203</v>
      </c>
      <c r="B169" t="s">
        <v>59</v>
      </c>
      <c r="C169">
        <v>36</v>
      </c>
      <c r="D169" t="s">
        <v>21</v>
      </c>
      <c r="E169">
        <v>137</v>
      </c>
      <c r="F169" s="1">
        <f>Clients_Churn[[#This Row],[Duree_Cumulee_Panne_Min]]/1440</f>
        <v>9.5138888888888884E-2</v>
      </c>
      <c r="G169">
        <v>71.930000000000007</v>
      </c>
      <c r="H169">
        <v>0</v>
      </c>
    </row>
    <row r="170" spans="1:8" x14ac:dyDescent="0.25">
      <c r="A170" t="s">
        <v>204</v>
      </c>
      <c r="B170" t="s">
        <v>36</v>
      </c>
      <c r="C170">
        <v>81</v>
      </c>
      <c r="D170" t="s">
        <v>15</v>
      </c>
      <c r="E170">
        <v>339</v>
      </c>
      <c r="F170" s="1">
        <f>Clients_Churn[[#This Row],[Duree_Cumulee_Panne_Min]]/1440</f>
        <v>0.23541666666666666</v>
      </c>
      <c r="G170">
        <v>53.4</v>
      </c>
      <c r="H170">
        <v>2</v>
      </c>
    </row>
    <row r="171" spans="1:8" x14ac:dyDescent="0.25">
      <c r="A171" t="s">
        <v>205</v>
      </c>
      <c r="B171" t="s">
        <v>71</v>
      </c>
      <c r="C171">
        <v>21</v>
      </c>
      <c r="D171" t="s">
        <v>9</v>
      </c>
      <c r="E171">
        <v>475</v>
      </c>
      <c r="F171" s="1">
        <f>Clients_Churn[[#This Row],[Duree_Cumulee_Panne_Min]]/1440</f>
        <v>0.3298611111111111</v>
      </c>
      <c r="G171">
        <v>15.12</v>
      </c>
      <c r="H171">
        <v>2</v>
      </c>
    </row>
    <row r="172" spans="1:8" x14ac:dyDescent="0.25">
      <c r="A172" t="s">
        <v>206</v>
      </c>
      <c r="B172" t="s">
        <v>64</v>
      </c>
      <c r="C172">
        <v>19</v>
      </c>
      <c r="D172" t="s">
        <v>15</v>
      </c>
      <c r="E172">
        <v>450</v>
      </c>
      <c r="F172" s="1">
        <f>Clients_Churn[[#This Row],[Duree_Cumulee_Panne_Min]]/1440</f>
        <v>0.3125</v>
      </c>
      <c r="G172">
        <v>37.43</v>
      </c>
      <c r="H172">
        <v>2</v>
      </c>
    </row>
    <row r="173" spans="1:8" x14ac:dyDescent="0.25">
      <c r="A173" t="s">
        <v>207</v>
      </c>
      <c r="B173" t="s">
        <v>59</v>
      </c>
      <c r="C173">
        <v>64</v>
      </c>
      <c r="D173" t="s">
        <v>12</v>
      </c>
      <c r="E173">
        <v>6</v>
      </c>
      <c r="F173" s="1">
        <f>Clients_Churn[[#This Row],[Duree_Cumulee_Panne_Min]]/1440</f>
        <v>4.1666666666666666E-3</v>
      </c>
      <c r="G173">
        <v>40.58</v>
      </c>
      <c r="H173">
        <v>5</v>
      </c>
    </row>
    <row r="174" spans="1:8" x14ac:dyDescent="0.25">
      <c r="A174" t="s">
        <v>208</v>
      </c>
      <c r="B174" t="s">
        <v>11</v>
      </c>
      <c r="C174">
        <v>82</v>
      </c>
      <c r="D174" t="s">
        <v>9</v>
      </c>
      <c r="E174">
        <v>132</v>
      </c>
      <c r="F174" s="1">
        <f>Clients_Churn[[#This Row],[Duree_Cumulee_Panne_Min]]/1440</f>
        <v>9.166666666666666E-2</v>
      </c>
      <c r="G174">
        <v>50.14</v>
      </c>
      <c r="H174">
        <v>5</v>
      </c>
    </row>
    <row r="175" spans="1:8" x14ac:dyDescent="0.25">
      <c r="A175" t="s">
        <v>209</v>
      </c>
      <c r="B175" t="s">
        <v>36</v>
      </c>
      <c r="C175">
        <v>74</v>
      </c>
      <c r="D175" t="s">
        <v>12</v>
      </c>
      <c r="E175">
        <v>371</v>
      </c>
      <c r="F175" s="1">
        <f>Clients_Churn[[#This Row],[Duree_Cumulee_Panne_Min]]/1440</f>
        <v>0.25763888888888886</v>
      </c>
      <c r="G175">
        <v>53.27</v>
      </c>
      <c r="H175">
        <v>3</v>
      </c>
    </row>
    <row r="176" spans="1:8" x14ac:dyDescent="0.25">
      <c r="A176" t="s">
        <v>210</v>
      </c>
      <c r="B176" t="s">
        <v>46</v>
      </c>
      <c r="C176">
        <v>116</v>
      </c>
      <c r="D176" t="s">
        <v>12</v>
      </c>
      <c r="E176">
        <v>486</v>
      </c>
      <c r="F176" s="1">
        <f>Clients_Churn[[#This Row],[Duree_Cumulee_Panne_Min]]/1440</f>
        <v>0.33750000000000002</v>
      </c>
      <c r="G176">
        <v>92.96</v>
      </c>
      <c r="H176">
        <v>5</v>
      </c>
    </row>
    <row r="177" spans="1:8" x14ac:dyDescent="0.25">
      <c r="A177" t="s">
        <v>211</v>
      </c>
      <c r="B177" t="s">
        <v>74</v>
      </c>
      <c r="C177">
        <v>29</v>
      </c>
      <c r="D177" t="s">
        <v>12</v>
      </c>
      <c r="E177">
        <v>34</v>
      </c>
      <c r="F177" s="1">
        <f>Clients_Churn[[#This Row],[Duree_Cumulee_Panne_Min]]/1440</f>
        <v>2.361111111111111E-2</v>
      </c>
      <c r="G177">
        <v>86.68</v>
      </c>
      <c r="H177">
        <v>1</v>
      </c>
    </row>
    <row r="178" spans="1:8" x14ac:dyDescent="0.25">
      <c r="A178" t="s">
        <v>212</v>
      </c>
      <c r="B178" t="s">
        <v>40</v>
      </c>
      <c r="C178">
        <v>113</v>
      </c>
      <c r="D178" t="s">
        <v>12</v>
      </c>
      <c r="E178">
        <v>152</v>
      </c>
      <c r="F178" s="1">
        <f>Clients_Churn[[#This Row],[Duree_Cumulee_Panne_Min]]/1440</f>
        <v>0.10555555555555556</v>
      </c>
      <c r="G178">
        <v>51.28</v>
      </c>
      <c r="H178">
        <v>4</v>
      </c>
    </row>
    <row r="179" spans="1:8" x14ac:dyDescent="0.25">
      <c r="A179" t="s">
        <v>213</v>
      </c>
      <c r="B179" t="s">
        <v>40</v>
      </c>
      <c r="C179">
        <v>16</v>
      </c>
      <c r="D179" t="s">
        <v>15</v>
      </c>
      <c r="E179">
        <v>390</v>
      </c>
      <c r="F179" s="1">
        <f>Clients_Churn[[#This Row],[Duree_Cumulee_Panne_Min]]/1440</f>
        <v>0.27083333333333331</v>
      </c>
      <c r="G179">
        <v>52.64</v>
      </c>
      <c r="H179">
        <v>0</v>
      </c>
    </row>
    <row r="180" spans="1:8" x14ac:dyDescent="0.25">
      <c r="A180" t="s">
        <v>214</v>
      </c>
      <c r="B180" t="s">
        <v>40</v>
      </c>
      <c r="C180">
        <v>72</v>
      </c>
      <c r="D180" t="s">
        <v>12</v>
      </c>
      <c r="E180">
        <v>442</v>
      </c>
      <c r="F180" s="1">
        <f>Clients_Churn[[#This Row],[Duree_Cumulee_Panne_Min]]/1440</f>
        <v>0.30694444444444446</v>
      </c>
      <c r="G180">
        <v>59.2</v>
      </c>
      <c r="H180">
        <v>1</v>
      </c>
    </row>
    <row r="181" spans="1:8" x14ac:dyDescent="0.25">
      <c r="A181" t="s">
        <v>215</v>
      </c>
      <c r="B181" t="s">
        <v>36</v>
      </c>
      <c r="C181">
        <v>59</v>
      </c>
      <c r="D181" t="s">
        <v>9</v>
      </c>
      <c r="E181">
        <v>196</v>
      </c>
      <c r="F181" s="1">
        <f>Clients_Churn[[#This Row],[Duree_Cumulee_Panne_Min]]/1440</f>
        <v>0.1361111111111111</v>
      </c>
      <c r="G181">
        <v>62.53</v>
      </c>
      <c r="H181">
        <v>0</v>
      </c>
    </row>
    <row r="182" spans="1:8" x14ac:dyDescent="0.25">
      <c r="A182" t="s">
        <v>216</v>
      </c>
      <c r="B182" t="s">
        <v>36</v>
      </c>
      <c r="C182">
        <v>38</v>
      </c>
      <c r="D182" t="s">
        <v>21</v>
      </c>
      <c r="E182">
        <v>60</v>
      </c>
      <c r="F182" s="1">
        <f>Clients_Churn[[#This Row],[Duree_Cumulee_Panne_Min]]/1440</f>
        <v>4.1666666666666664E-2</v>
      </c>
      <c r="G182">
        <v>58.28</v>
      </c>
      <c r="H182">
        <v>4</v>
      </c>
    </row>
    <row r="183" spans="1:8" x14ac:dyDescent="0.25">
      <c r="A183" t="s">
        <v>217</v>
      </c>
      <c r="B183" t="s">
        <v>99</v>
      </c>
      <c r="C183">
        <v>118</v>
      </c>
      <c r="D183" t="s">
        <v>9</v>
      </c>
      <c r="E183">
        <v>186</v>
      </c>
      <c r="F183" s="1">
        <f>Clients_Churn[[#This Row],[Duree_Cumulee_Panne_Min]]/1440</f>
        <v>0.12916666666666668</v>
      </c>
      <c r="G183">
        <v>46.88</v>
      </c>
      <c r="H183">
        <v>1</v>
      </c>
    </row>
    <row r="184" spans="1:8" x14ac:dyDescent="0.25">
      <c r="A184" t="s">
        <v>218</v>
      </c>
      <c r="B184" t="s">
        <v>61</v>
      </c>
      <c r="C184">
        <v>42</v>
      </c>
      <c r="D184" t="s">
        <v>15</v>
      </c>
      <c r="E184">
        <v>453</v>
      </c>
      <c r="F184" s="1">
        <f>Clients_Churn[[#This Row],[Duree_Cumulee_Panne_Min]]/1440</f>
        <v>0.31458333333333333</v>
      </c>
      <c r="G184">
        <v>36.700000000000003</v>
      </c>
      <c r="H184">
        <v>4</v>
      </c>
    </row>
    <row r="185" spans="1:8" x14ac:dyDescent="0.25">
      <c r="A185" t="s">
        <v>219</v>
      </c>
      <c r="B185" t="s">
        <v>99</v>
      </c>
      <c r="C185">
        <v>80</v>
      </c>
      <c r="D185" t="s">
        <v>9</v>
      </c>
      <c r="E185">
        <v>260</v>
      </c>
      <c r="F185" s="1">
        <f>Clients_Churn[[#This Row],[Duree_Cumulee_Panne_Min]]/1440</f>
        <v>0.18055555555555555</v>
      </c>
      <c r="G185">
        <v>65.87</v>
      </c>
      <c r="H185">
        <v>3</v>
      </c>
    </row>
    <row r="186" spans="1:8" x14ac:dyDescent="0.25">
      <c r="A186" t="s">
        <v>220</v>
      </c>
      <c r="B186" t="s">
        <v>44</v>
      </c>
      <c r="C186">
        <v>7</v>
      </c>
      <c r="D186" t="s">
        <v>21</v>
      </c>
      <c r="E186">
        <v>303</v>
      </c>
      <c r="F186" s="1">
        <f>Clients_Churn[[#This Row],[Duree_Cumulee_Panne_Min]]/1440</f>
        <v>0.21041666666666667</v>
      </c>
      <c r="G186">
        <v>60.95</v>
      </c>
      <c r="H186">
        <v>0</v>
      </c>
    </row>
    <row r="187" spans="1:8" x14ac:dyDescent="0.25">
      <c r="A187" t="s">
        <v>221</v>
      </c>
      <c r="B187" t="s">
        <v>20</v>
      </c>
      <c r="C187">
        <v>14</v>
      </c>
      <c r="D187" t="s">
        <v>12</v>
      </c>
      <c r="E187">
        <v>345</v>
      </c>
      <c r="F187" s="1">
        <f>Clients_Churn[[#This Row],[Duree_Cumulee_Panne_Min]]/1440</f>
        <v>0.23958333333333334</v>
      </c>
      <c r="G187">
        <v>39.57</v>
      </c>
      <c r="H187">
        <v>3</v>
      </c>
    </row>
    <row r="188" spans="1:8" x14ac:dyDescent="0.25">
      <c r="A188" t="s">
        <v>222</v>
      </c>
      <c r="B188" t="s">
        <v>24</v>
      </c>
      <c r="C188">
        <v>83</v>
      </c>
      <c r="D188" t="s">
        <v>21</v>
      </c>
      <c r="E188">
        <v>284</v>
      </c>
      <c r="F188" s="1">
        <f>Clients_Churn[[#This Row],[Duree_Cumulee_Panne_Min]]/1440</f>
        <v>0.19722222222222222</v>
      </c>
      <c r="G188">
        <v>73.7</v>
      </c>
      <c r="H188">
        <v>0</v>
      </c>
    </row>
    <row r="189" spans="1:8" x14ac:dyDescent="0.25">
      <c r="A189" t="s">
        <v>223</v>
      </c>
      <c r="B189" t="s">
        <v>42</v>
      </c>
      <c r="C189">
        <v>56</v>
      </c>
      <c r="D189" t="s">
        <v>21</v>
      </c>
      <c r="E189">
        <v>123</v>
      </c>
      <c r="F189" s="1">
        <f>Clients_Churn[[#This Row],[Duree_Cumulee_Panne_Min]]/1440</f>
        <v>8.5416666666666669E-2</v>
      </c>
      <c r="G189">
        <v>29.76</v>
      </c>
      <c r="H189">
        <v>5</v>
      </c>
    </row>
    <row r="190" spans="1:8" x14ac:dyDescent="0.25">
      <c r="A190" t="s">
        <v>224</v>
      </c>
      <c r="B190" t="s">
        <v>30</v>
      </c>
      <c r="C190">
        <v>33</v>
      </c>
      <c r="D190" t="s">
        <v>12</v>
      </c>
      <c r="E190">
        <v>207</v>
      </c>
      <c r="F190" s="1">
        <f>Clients_Churn[[#This Row],[Duree_Cumulee_Panne_Min]]/1440</f>
        <v>0.14374999999999999</v>
      </c>
      <c r="G190">
        <v>38.49</v>
      </c>
      <c r="H190">
        <v>4</v>
      </c>
    </row>
    <row r="191" spans="1:8" x14ac:dyDescent="0.25">
      <c r="A191" t="s">
        <v>225</v>
      </c>
      <c r="B191" t="s">
        <v>32</v>
      </c>
      <c r="C191">
        <v>113</v>
      </c>
      <c r="D191" t="s">
        <v>21</v>
      </c>
      <c r="E191">
        <v>207</v>
      </c>
      <c r="F191" s="1">
        <f>Clients_Churn[[#This Row],[Duree_Cumulee_Panne_Min]]/1440</f>
        <v>0.14374999999999999</v>
      </c>
      <c r="G191">
        <v>21.55</v>
      </c>
      <c r="H191">
        <v>0</v>
      </c>
    </row>
    <row r="192" spans="1:8" x14ac:dyDescent="0.25">
      <c r="A192" t="s">
        <v>226</v>
      </c>
      <c r="B192" t="s">
        <v>17</v>
      </c>
      <c r="C192">
        <v>89</v>
      </c>
      <c r="D192" t="s">
        <v>15</v>
      </c>
      <c r="E192">
        <v>418</v>
      </c>
      <c r="F192" s="1">
        <f>Clients_Churn[[#This Row],[Duree_Cumulee_Panne_Min]]/1440</f>
        <v>0.2902777777777778</v>
      </c>
      <c r="G192">
        <v>86.63</v>
      </c>
      <c r="H192">
        <v>4</v>
      </c>
    </row>
    <row r="193" spans="1:8" x14ac:dyDescent="0.25">
      <c r="A193" t="s">
        <v>227</v>
      </c>
      <c r="B193" t="s">
        <v>107</v>
      </c>
      <c r="C193">
        <v>35</v>
      </c>
      <c r="D193" t="s">
        <v>12</v>
      </c>
      <c r="E193">
        <v>465</v>
      </c>
      <c r="F193" s="1">
        <f>Clients_Churn[[#This Row],[Duree_Cumulee_Panne_Min]]/1440</f>
        <v>0.32291666666666669</v>
      </c>
      <c r="G193">
        <v>58.59</v>
      </c>
      <c r="H193">
        <v>5</v>
      </c>
    </row>
    <row r="194" spans="1:8" x14ac:dyDescent="0.25">
      <c r="A194" t="s">
        <v>228</v>
      </c>
      <c r="B194" t="s">
        <v>50</v>
      </c>
      <c r="C194">
        <v>79</v>
      </c>
      <c r="D194" t="s">
        <v>15</v>
      </c>
      <c r="E194">
        <v>139</v>
      </c>
      <c r="F194" s="1">
        <f>Clients_Churn[[#This Row],[Duree_Cumulee_Panne_Min]]/1440</f>
        <v>9.6527777777777782E-2</v>
      </c>
      <c r="G194">
        <v>16.25</v>
      </c>
      <c r="H194">
        <v>4</v>
      </c>
    </row>
    <row r="195" spans="1:8" x14ac:dyDescent="0.25">
      <c r="A195" t="s">
        <v>229</v>
      </c>
      <c r="B195" t="s">
        <v>61</v>
      </c>
      <c r="C195">
        <v>82</v>
      </c>
      <c r="D195" t="s">
        <v>21</v>
      </c>
      <c r="E195">
        <v>32</v>
      </c>
      <c r="F195" s="1">
        <f>Clients_Churn[[#This Row],[Duree_Cumulee_Panne_Min]]/1440</f>
        <v>2.2222222222222223E-2</v>
      </c>
      <c r="G195">
        <v>77.63</v>
      </c>
      <c r="H195">
        <v>1</v>
      </c>
    </row>
    <row r="196" spans="1:8" x14ac:dyDescent="0.25">
      <c r="A196" t="s">
        <v>230</v>
      </c>
      <c r="B196" t="s">
        <v>158</v>
      </c>
      <c r="C196">
        <v>21</v>
      </c>
      <c r="D196" t="s">
        <v>9</v>
      </c>
      <c r="E196">
        <v>307</v>
      </c>
      <c r="F196" s="1">
        <f>Clients_Churn[[#This Row],[Duree_Cumulee_Panne_Min]]/1440</f>
        <v>0.21319444444444444</v>
      </c>
      <c r="G196">
        <v>39.81</v>
      </c>
      <c r="H196">
        <v>5</v>
      </c>
    </row>
    <row r="197" spans="1:8" x14ac:dyDescent="0.25">
      <c r="A197" t="s">
        <v>231</v>
      </c>
      <c r="B197" t="s">
        <v>46</v>
      </c>
      <c r="C197">
        <v>74</v>
      </c>
      <c r="D197" t="s">
        <v>21</v>
      </c>
      <c r="E197">
        <v>213</v>
      </c>
      <c r="F197" s="1">
        <f>Clients_Churn[[#This Row],[Duree_Cumulee_Panne_Min]]/1440</f>
        <v>0.14791666666666667</v>
      </c>
      <c r="G197">
        <v>35.54</v>
      </c>
      <c r="H197">
        <v>3</v>
      </c>
    </row>
    <row r="198" spans="1:8" x14ac:dyDescent="0.25">
      <c r="A198" t="s">
        <v>232</v>
      </c>
      <c r="B198" t="s">
        <v>44</v>
      </c>
      <c r="C198">
        <v>99</v>
      </c>
      <c r="D198" t="s">
        <v>12</v>
      </c>
      <c r="E198">
        <v>325</v>
      </c>
      <c r="F198" s="1">
        <f>Clients_Churn[[#This Row],[Duree_Cumulee_Panne_Min]]/1440</f>
        <v>0.22569444444444445</v>
      </c>
      <c r="G198">
        <v>88.35</v>
      </c>
      <c r="H198">
        <v>4</v>
      </c>
    </row>
    <row r="199" spans="1:8" x14ac:dyDescent="0.25">
      <c r="A199" t="s">
        <v>233</v>
      </c>
      <c r="B199" t="s">
        <v>71</v>
      </c>
      <c r="C199">
        <v>15</v>
      </c>
      <c r="D199" t="s">
        <v>15</v>
      </c>
      <c r="E199">
        <v>81</v>
      </c>
      <c r="F199" s="1">
        <f>Clients_Churn[[#This Row],[Duree_Cumulee_Panne_Min]]/1440</f>
        <v>5.6250000000000001E-2</v>
      </c>
      <c r="G199">
        <v>97.5</v>
      </c>
      <c r="H199">
        <v>4</v>
      </c>
    </row>
    <row r="200" spans="1:8" x14ac:dyDescent="0.25">
      <c r="A200" t="s">
        <v>234</v>
      </c>
      <c r="B200" t="s">
        <v>48</v>
      </c>
      <c r="C200">
        <v>36</v>
      </c>
      <c r="D200" t="s">
        <v>9</v>
      </c>
      <c r="E200">
        <v>303</v>
      </c>
      <c r="F200" s="1">
        <f>Clients_Churn[[#This Row],[Duree_Cumulee_Panne_Min]]/1440</f>
        <v>0.21041666666666667</v>
      </c>
      <c r="G200">
        <v>89.56</v>
      </c>
      <c r="H200">
        <v>1</v>
      </c>
    </row>
    <row r="201" spans="1:8" x14ac:dyDescent="0.25">
      <c r="A201" t="s">
        <v>235</v>
      </c>
      <c r="B201" t="s">
        <v>40</v>
      </c>
      <c r="C201">
        <v>15</v>
      </c>
      <c r="D201" t="s">
        <v>12</v>
      </c>
      <c r="E201">
        <v>203</v>
      </c>
      <c r="F201" s="1">
        <f>Clients_Churn[[#This Row],[Duree_Cumulee_Panne_Min]]/1440</f>
        <v>0.14097222222222222</v>
      </c>
      <c r="G201">
        <v>55.29</v>
      </c>
      <c r="H201">
        <v>2</v>
      </c>
    </row>
    <row r="202" spans="1:8" x14ac:dyDescent="0.25">
      <c r="A202" t="s">
        <v>236</v>
      </c>
      <c r="B202" t="s">
        <v>24</v>
      </c>
      <c r="C202">
        <v>25</v>
      </c>
      <c r="D202" t="s">
        <v>12</v>
      </c>
      <c r="E202">
        <v>218</v>
      </c>
      <c r="F202" s="1">
        <f>Clients_Churn[[#This Row],[Duree_Cumulee_Panne_Min]]/1440</f>
        <v>0.15138888888888888</v>
      </c>
      <c r="G202">
        <v>68.790000000000006</v>
      </c>
      <c r="H202">
        <v>0</v>
      </c>
    </row>
    <row r="203" spans="1:8" x14ac:dyDescent="0.25">
      <c r="A203" t="s">
        <v>237</v>
      </c>
      <c r="B203" t="s">
        <v>34</v>
      </c>
      <c r="C203">
        <v>49</v>
      </c>
      <c r="D203" t="s">
        <v>9</v>
      </c>
      <c r="E203">
        <v>288</v>
      </c>
      <c r="F203" s="1">
        <f>Clients_Churn[[#This Row],[Duree_Cumulee_Panne_Min]]/1440</f>
        <v>0.2</v>
      </c>
      <c r="G203">
        <v>91.32</v>
      </c>
      <c r="H203">
        <v>4</v>
      </c>
    </row>
    <row r="204" spans="1:8" x14ac:dyDescent="0.25">
      <c r="A204" t="s">
        <v>238</v>
      </c>
      <c r="B204" t="s">
        <v>30</v>
      </c>
      <c r="C204">
        <v>58</v>
      </c>
      <c r="D204" t="s">
        <v>12</v>
      </c>
      <c r="E204">
        <v>352</v>
      </c>
      <c r="F204" s="1">
        <f>Clients_Churn[[#This Row],[Duree_Cumulee_Panne_Min]]/1440</f>
        <v>0.24444444444444444</v>
      </c>
      <c r="G204">
        <v>72.94</v>
      </c>
      <c r="H204">
        <v>0</v>
      </c>
    </row>
    <row r="205" spans="1:8" x14ac:dyDescent="0.25">
      <c r="A205" t="s">
        <v>239</v>
      </c>
      <c r="B205" t="s">
        <v>11</v>
      </c>
      <c r="C205">
        <v>102</v>
      </c>
      <c r="D205" t="s">
        <v>15</v>
      </c>
      <c r="E205">
        <v>240</v>
      </c>
      <c r="F205" s="1">
        <f>Clients_Churn[[#This Row],[Duree_Cumulee_Panne_Min]]/1440</f>
        <v>0.16666666666666666</v>
      </c>
      <c r="G205">
        <v>12.52</v>
      </c>
      <c r="H205">
        <v>2</v>
      </c>
    </row>
    <row r="206" spans="1:8" x14ac:dyDescent="0.25">
      <c r="A206" t="s">
        <v>240</v>
      </c>
      <c r="B206" t="s">
        <v>44</v>
      </c>
      <c r="C206">
        <v>99</v>
      </c>
      <c r="D206" t="s">
        <v>9</v>
      </c>
      <c r="E206">
        <v>369</v>
      </c>
      <c r="F206" s="1">
        <f>Clients_Churn[[#This Row],[Duree_Cumulee_Panne_Min]]/1440</f>
        <v>0.25624999999999998</v>
      </c>
      <c r="G206">
        <v>67.209999999999994</v>
      </c>
      <c r="H206">
        <v>3</v>
      </c>
    </row>
    <row r="207" spans="1:8" x14ac:dyDescent="0.25">
      <c r="A207" t="s">
        <v>241</v>
      </c>
      <c r="B207" t="s">
        <v>74</v>
      </c>
      <c r="C207">
        <v>82</v>
      </c>
      <c r="D207" t="s">
        <v>21</v>
      </c>
      <c r="E207">
        <v>264</v>
      </c>
      <c r="F207" s="1">
        <f>Clients_Churn[[#This Row],[Duree_Cumulee_Panne_Min]]/1440</f>
        <v>0.18333333333333332</v>
      </c>
      <c r="G207">
        <v>88.03</v>
      </c>
      <c r="H207">
        <v>1</v>
      </c>
    </row>
    <row r="208" spans="1:8" x14ac:dyDescent="0.25">
      <c r="A208" t="s">
        <v>242</v>
      </c>
      <c r="B208" t="s">
        <v>30</v>
      </c>
      <c r="C208">
        <v>72</v>
      </c>
      <c r="D208" t="s">
        <v>15</v>
      </c>
      <c r="E208">
        <v>51</v>
      </c>
      <c r="F208" s="1">
        <f>Clients_Churn[[#This Row],[Duree_Cumulee_Panne_Min]]/1440</f>
        <v>3.5416666666666666E-2</v>
      </c>
      <c r="G208">
        <v>95.09</v>
      </c>
      <c r="H208">
        <v>0</v>
      </c>
    </row>
    <row r="209" spans="1:8" x14ac:dyDescent="0.25">
      <c r="A209" t="s">
        <v>243</v>
      </c>
      <c r="B209" t="s">
        <v>64</v>
      </c>
      <c r="C209">
        <v>110</v>
      </c>
      <c r="D209" t="s">
        <v>12</v>
      </c>
      <c r="E209">
        <v>423</v>
      </c>
      <c r="F209" s="1">
        <f>Clients_Churn[[#This Row],[Duree_Cumulee_Panne_Min]]/1440</f>
        <v>0.29375000000000001</v>
      </c>
      <c r="G209">
        <v>37.35</v>
      </c>
      <c r="H209">
        <v>4</v>
      </c>
    </row>
    <row r="210" spans="1:8" x14ac:dyDescent="0.25">
      <c r="A210" t="s">
        <v>244</v>
      </c>
      <c r="B210" t="s">
        <v>30</v>
      </c>
      <c r="C210">
        <v>104</v>
      </c>
      <c r="D210" t="s">
        <v>12</v>
      </c>
      <c r="E210">
        <v>60</v>
      </c>
      <c r="F210" s="1">
        <f>Clients_Churn[[#This Row],[Duree_Cumulee_Panne_Min]]/1440</f>
        <v>4.1666666666666664E-2</v>
      </c>
      <c r="G210">
        <v>45.51</v>
      </c>
      <c r="H210">
        <v>1</v>
      </c>
    </row>
    <row r="211" spans="1:8" x14ac:dyDescent="0.25">
      <c r="A211" t="s">
        <v>245</v>
      </c>
      <c r="B211" t="s">
        <v>32</v>
      </c>
      <c r="C211">
        <v>96</v>
      </c>
      <c r="D211" t="s">
        <v>15</v>
      </c>
      <c r="E211">
        <v>290</v>
      </c>
      <c r="F211" s="1">
        <f>Clients_Churn[[#This Row],[Duree_Cumulee_Panne_Min]]/1440</f>
        <v>0.2013888888888889</v>
      </c>
      <c r="G211">
        <v>29</v>
      </c>
      <c r="H211">
        <v>3</v>
      </c>
    </row>
    <row r="212" spans="1:8" x14ac:dyDescent="0.25">
      <c r="A212" t="s">
        <v>246</v>
      </c>
      <c r="B212" t="s">
        <v>30</v>
      </c>
      <c r="C212">
        <v>17</v>
      </c>
      <c r="D212" t="s">
        <v>15</v>
      </c>
      <c r="E212">
        <v>483</v>
      </c>
      <c r="F212" s="1">
        <f>Clients_Churn[[#This Row],[Duree_Cumulee_Panne_Min]]/1440</f>
        <v>0.33541666666666664</v>
      </c>
      <c r="G212">
        <v>77.08</v>
      </c>
      <c r="H212">
        <v>0</v>
      </c>
    </row>
    <row r="213" spans="1:8" x14ac:dyDescent="0.25">
      <c r="A213" t="s">
        <v>247</v>
      </c>
      <c r="B213" t="s">
        <v>61</v>
      </c>
      <c r="C213">
        <v>43</v>
      </c>
      <c r="D213" t="s">
        <v>21</v>
      </c>
      <c r="E213">
        <v>193</v>
      </c>
      <c r="F213" s="1">
        <f>Clients_Churn[[#This Row],[Duree_Cumulee_Panne_Min]]/1440</f>
        <v>0.13402777777777777</v>
      </c>
      <c r="G213">
        <v>35.81</v>
      </c>
      <c r="H213">
        <v>0</v>
      </c>
    </row>
    <row r="214" spans="1:8" x14ac:dyDescent="0.25">
      <c r="A214" t="s">
        <v>248</v>
      </c>
      <c r="B214" t="s">
        <v>14</v>
      </c>
      <c r="C214">
        <v>104</v>
      </c>
      <c r="D214" t="s">
        <v>12</v>
      </c>
      <c r="E214">
        <v>125</v>
      </c>
      <c r="F214" s="1">
        <f>Clients_Churn[[#This Row],[Duree_Cumulee_Panne_Min]]/1440</f>
        <v>8.6805555555555552E-2</v>
      </c>
      <c r="G214">
        <v>29.7</v>
      </c>
      <c r="H214">
        <v>2</v>
      </c>
    </row>
    <row r="215" spans="1:8" x14ac:dyDescent="0.25">
      <c r="A215" t="s">
        <v>249</v>
      </c>
      <c r="B215" t="s">
        <v>71</v>
      </c>
      <c r="C215">
        <v>6</v>
      </c>
      <c r="D215" t="s">
        <v>12</v>
      </c>
      <c r="E215">
        <v>342</v>
      </c>
      <c r="F215" s="1">
        <f>Clients_Churn[[#This Row],[Duree_Cumulee_Panne_Min]]/1440</f>
        <v>0.23749999999999999</v>
      </c>
      <c r="G215">
        <v>50.55</v>
      </c>
      <c r="H215">
        <v>5</v>
      </c>
    </row>
    <row r="216" spans="1:8" x14ac:dyDescent="0.25">
      <c r="A216" t="s">
        <v>250</v>
      </c>
      <c r="B216" t="s">
        <v>64</v>
      </c>
      <c r="C216">
        <v>109</v>
      </c>
      <c r="D216" t="s">
        <v>15</v>
      </c>
      <c r="E216">
        <v>347</v>
      </c>
      <c r="F216" s="1">
        <f>Clients_Churn[[#This Row],[Duree_Cumulee_Panne_Min]]/1440</f>
        <v>0.24097222222222223</v>
      </c>
      <c r="G216">
        <v>43.06</v>
      </c>
      <c r="H216">
        <v>4</v>
      </c>
    </row>
    <row r="217" spans="1:8" x14ac:dyDescent="0.25">
      <c r="A217" t="s">
        <v>251</v>
      </c>
      <c r="B217" t="s">
        <v>61</v>
      </c>
      <c r="C217">
        <v>110</v>
      </c>
      <c r="D217" t="s">
        <v>21</v>
      </c>
      <c r="E217">
        <v>321</v>
      </c>
      <c r="F217" s="1">
        <f>Clients_Churn[[#This Row],[Duree_Cumulee_Panne_Min]]/1440</f>
        <v>0.22291666666666668</v>
      </c>
      <c r="G217">
        <v>81.569999999999993</v>
      </c>
      <c r="H217">
        <v>2</v>
      </c>
    </row>
    <row r="218" spans="1:8" x14ac:dyDescent="0.25">
      <c r="A218" t="s">
        <v>252</v>
      </c>
      <c r="B218" t="s">
        <v>36</v>
      </c>
      <c r="C218">
        <v>17</v>
      </c>
      <c r="D218" t="s">
        <v>15</v>
      </c>
      <c r="E218">
        <v>310</v>
      </c>
      <c r="F218" s="1">
        <f>Clients_Churn[[#This Row],[Duree_Cumulee_Panne_Min]]/1440</f>
        <v>0.21527777777777779</v>
      </c>
      <c r="G218">
        <v>19.68</v>
      </c>
      <c r="H218">
        <v>5</v>
      </c>
    </row>
    <row r="219" spans="1:8" x14ac:dyDescent="0.25">
      <c r="A219" t="s">
        <v>253</v>
      </c>
      <c r="B219" t="s">
        <v>20</v>
      </c>
      <c r="C219">
        <v>75</v>
      </c>
      <c r="D219" t="s">
        <v>9</v>
      </c>
      <c r="E219">
        <v>370</v>
      </c>
      <c r="F219" s="1">
        <f>Clients_Churn[[#This Row],[Duree_Cumulee_Panne_Min]]/1440</f>
        <v>0.25694444444444442</v>
      </c>
      <c r="G219">
        <v>21.67</v>
      </c>
      <c r="H219">
        <v>0</v>
      </c>
    </row>
    <row r="220" spans="1:8" x14ac:dyDescent="0.25">
      <c r="A220" t="s">
        <v>254</v>
      </c>
      <c r="B220" t="s">
        <v>11</v>
      </c>
      <c r="C220">
        <v>12</v>
      </c>
      <c r="D220" t="s">
        <v>9</v>
      </c>
      <c r="E220">
        <v>62</v>
      </c>
      <c r="F220" s="1">
        <f>Clients_Churn[[#This Row],[Duree_Cumulee_Panne_Min]]/1440</f>
        <v>4.3055555555555555E-2</v>
      </c>
      <c r="G220">
        <v>36.1</v>
      </c>
      <c r="H220">
        <v>5</v>
      </c>
    </row>
    <row r="221" spans="1:8" x14ac:dyDescent="0.25">
      <c r="A221" t="s">
        <v>255</v>
      </c>
      <c r="B221" t="s">
        <v>40</v>
      </c>
      <c r="C221">
        <v>71</v>
      </c>
      <c r="D221" t="s">
        <v>12</v>
      </c>
      <c r="E221">
        <v>111</v>
      </c>
      <c r="F221" s="1">
        <f>Clients_Churn[[#This Row],[Duree_Cumulee_Panne_Min]]/1440</f>
        <v>7.7083333333333337E-2</v>
      </c>
      <c r="G221">
        <v>95.53</v>
      </c>
      <c r="H221">
        <v>3</v>
      </c>
    </row>
    <row r="222" spans="1:8" x14ac:dyDescent="0.25">
      <c r="A222" t="s">
        <v>256</v>
      </c>
      <c r="B222" t="s">
        <v>46</v>
      </c>
      <c r="C222">
        <v>67</v>
      </c>
      <c r="D222" t="s">
        <v>21</v>
      </c>
      <c r="E222">
        <v>241</v>
      </c>
      <c r="F222" s="1">
        <f>Clients_Churn[[#This Row],[Duree_Cumulee_Panne_Min]]/1440</f>
        <v>0.1673611111111111</v>
      </c>
      <c r="G222">
        <v>47.72</v>
      </c>
      <c r="H222">
        <v>0</v>
      </c>
    </row>
    <row r="223" spans="1:8" x14ac:dyDescent="0.25">
      <c r="A223" t="s">
        <v>257</v>
      </c>
      <c r="B223" t="s">
        <v>99</v>
      </c>
      <c r="C223">
        <v>79</v>
      </c>
      <c r="D223" t="s">
        <v>21</v>
      </c>
      <c r="E223">
        <v>226</v>
      </c>
      <c r="F223" s="1">
        <f>Clients_Churn[[#This Row],[Duree_Cumulee_Panne_Min]]/1440</f>
        <v>0.15694444444444444</v>
      </c>
      <c r="G223">
        <v>94.38</v>
      </c>
      <c r="H223">
        <v>3</v>
      </c>
    </row>
    <row r="224" spans="1:8" x14ac:dyDescent="0.25">
      <c r="A224" t="s">
        <v>258</v>
      </c>
      <c r="B224" t="s">
        <v>59</v>
      </c>
      <c r="C224">
        <v>53</v>
      </c>
      <c r="D224" t="s">
        <v>12</v>
      </c>
      <c r="E224">
        <v>27</v>
      </c>
      <c r="F224" s="1">
        <f>Clients_Churn[[#This Row],[Duree_Cumulee_Panne_Min]]/1440</f>
        <v>1.8749999999999999E-2</v>
      </c>
      <c r="G224">
        <v>18.77</v>
      </c>
      <c r="H224">
        <v>0</v>
      </c>
    </row>
    <row r="225" spans="1:8" x14ac:dyDescent="0.25">
      <c r="A225" t="s">
        <v>259</v>
      </c>
      <c r="B225" t="s">
        <v>71</v>
      </c>
      <c r="C225">
        <v>101</v>
      </c>
      <c r="D225" t="s">
        <v>9</v>
      </c>
      <c r="E225">
        <v>262</v>
      </c>
      <c r="F225" s="1">
        <f>Clients_Churn[[#This Row],[Duree_Cumulee_Panne_Min]]/1440</f>
        <v>0.18194444444444444</v>
      </c>
      <c r="G225">
        <v>83.74</v>
      </c>
      <c r="H225">
        <v>5</v>
      </c>
    </row>
    <row r="226" spans="1:8" x14ac:dyDescent="0.25">
      <c r="A226" t="s">
        <v>260</v>
      </c>
      <c r="B226" t="s">
        <v>8</v>
      </c>
      <c r="C226">
        <v>83</v>
      </c>
      <c r="D226" t="s">
        <v>12</v>
      </c>
      <c r="E226">
        <v>420</v>
      </c>
      <c r="F226" s="1">
        <f>Clients_Churn[[#This Row],[Duree_Cumulee_Panne_Min]]/1440</f>
        <v>0.29166666666666669</v>
      </c>
      <c r="G226">
        <v>94.9</v>
      </c>
      <c r="H226">
        <v>1</v>
      </c>
    </row>
    <row r="227" spans="1:8" x14ac:dyDescent="0.25">
      <c r="A227" t="s">
        <v>261</v>
      </c>
      <c r="B227" t="s">
        <v>14</v>
      </c>
      <c r="C227">
        <v>23</v>
      </c>
      <c r="D227" t="s">
        <v>21</v>
      </c>
      <c r="E227">
        <v>268</v>
      </c>
      <c r="F227" s="1">
        <f>Clients_Churn[[#This Row],[Duree_Cumulee_Panne_Min]]/1440</f>
        <v>0.18611111111111112</v>
      </c>
      <c r="G227">
        <v>26.75</v>
      </c>
      <c r="H227">
        <v>3</v>
      </c>
    </row>
    <row r="228" spans="1:8" x14ac:dyDescent="0.25">
      <c r="A228" t="s">
        <v>262</v>
      </c>
      <c r="B228" t="s">
        <v>8</v>
      </c>
      <c r="C228">
        <v>67</v>
      </c>
      <c r="D228" t="s">
        <v>21</v>
      </c>
      <c r="E228">
        <v>262</v>
      </c>
      <c r="F228" s="1">
        <f>Clients_Churn[[#This Row],[Duree_Cumulee_Panne_Min]]/1440</f>
        <v>0.18194444444444444</v>
      </c>
      <c r="G228">
        <v>28.46</v>
      </c>
      <c r="H228">
        <v>3</v>
      </c>
    </row>
    <row r="229" spans="1:8" x14ac:dyDescent="0.25">
      <c r="A229" t="s">
        <v>263</v>
      </c>
      <c r="B229" t="s">
        <v>8</v>
      </c>
      <c r="C229">
        <v>2</v>
      </c>
      <c r="D229" t="s">
        <v>12</v>
      </c>
      <c r="E229">
        <v>142</v>
      </c>
      <c r="F229" s="1">
        <f>Clients_Churn[[#This Row],[Duree_Cumulee_Panne_Min]]/1440</f>
        <v>9.8611111111111108E-2</v>
      </c>
      <c r="G229">
        <v>37.799999999999997</v>
      </c>
      <c r="H229">
        <v>0</v>
      </c>
    </row>
    <row r="230" spans="1:8" x14ac:dyDescent="0.25">
      <c r="A230" t="s">
        <v>264</v>
      </c>
      <c r="B230" t="s">
        <v>11</v>
      </c>
      <c r="C230">
        <v>109</v>
      </c>
      <c r="D230" t="s">
        <v>12</v>
      </c>
      <c r="E230">
        <v>480</v>
      </c>
      <c r="F230" s="1">
        <f>Clients_Churn[[#This Row],[Duree_Cumulee_Panne_Min]]/1440</f>
        <v>0.33333333333333331</v>
      </c>
      <c r="G230">
        <v>31.36</v>
      </c>
      <c r="H230">
        <v>0</v>
      </c>
    </row>
    <row r="231" spans="1:8" x14ac:dyDescent="0.25">
      <c r="A231" t="s">
        <v>265</v>
      </c>
      <c r="B231" t="s">
        <v>59</v>
      </c>
      <c r="C231">
        <v>54</v>
      </c>
      <c r="D231" t="s">
        <v>9</v>
      </c>
      <c r="E231">
        <v>99</v>
      </c>
      <c r="F231" s="1">
        <f>Clients_Churn[[#This Row],[Duree_Cumulee_Panne_Min]]/1440</f>
        <v>6.8750000000000006E-2</v>
      </c>
      <c r="G231">
        <v>39.58</v>
      </c>
      <c r="H231">
        <v>0</v>
      </c>
    </row>
    <row r="232" spans="1:8" x14ac:dyDescent="0.25">
      <c r="A232" t="s">
        <v>266</v>
      </c>
      <c r="B232" t="s">
        <v>24</v>
      </c>
      <c r="C232">
        <v>118</v>
      </c>
      <c r="D232" t="s">
        <v>9</v>
      </c>
      <c r="E232">
        <v>461</v>
      </c>
      <c r="F232" s="1">
        <f>Clients_Churn[[#This Row],[Duree_Cumulee_Panne_Min]]/1440</f>
        <v>0.32013888888888886</v>
      </c>
      <c r="G232">
        <v>47.82</v>
      </c>
      <c r="H232">
        <v>5</v>
      </c>
    </row>
    <row r="233" spans="1:8" x14ac:dyDescent="0.25">
      <c r="A233" t="s">
        <v>267</v>
      </c>
      <c r="B233" t="s">
        <v>107</v>
      </c>
      <c r="C233">
        <v>86</v>
      </c>
      <c r="D233" t="s">
        <v>12</v>
      </c>
      <c r="E233">
        <v>237</v>
      </c>
      <c r="F233" s="1">
        <f>Clients_Churn[[#This Row],[Duree_Cumulee_Panne_Min]]/1440</f>
        <v>0.16458333333333333</v>
      </c>
      <c r="G233">
        <v>85.82</v>
      </c>
      <c r="H233">
        <v>5</v>
      </c>
    </row>
    <row r="234" spans="1:8" x14ac:dyDescent="0.25">
      <c r="A234" t="s">
        <v>268</v>
      </c>
      <c r="B234" t="s">
        <v>61</v>
      </c>
      <c r="C234">
        <v>14</v>
      </c>
      <c r="D234" t="s">
        <v>12</v>
      </c>
      <c r="E234">
        <v>316</v>
      </c>
      <c r="F234" s="1">
        <f>Clients_Churn[[#This Row],[Duree_Cumulee_Panne_Min]]/1440</f>
        <v>0.21944444444444444</v>
      </c>
      <c r="G234">
        <v>62.34</v>
      </c>
      <c r="H234">
        <v>4</v>
      </c>
    </row>
    <row r="235" spans="1:8" x14ac:dyDescent="0.25">
      <c r="A235" t="s">
        <v>269</v>
      </c>
      <c r="B235" t="s">
        <v>11</v>
      </c>
      <c r="C235">
        <v>41</v>
      </c>
      <c r="D235" t="s">
        <v>15</v>
      </c>
      <c r="E235">
        <v>404</v>
      </c>
      <c r="F235" s="1">
        <f>Clients_Churn[[#This Row],[Duree_Cumulee_Panne_Min]]/1440</f>
        <v>0.28055555555555556</v>
      </c>
      <c r="G235">
        <v>98.67</v>
      </c>
      <c r="H235">
        <v>5</v>
      </c>
    </row>
    <row r="236" spans="1:8" x14ac:dyDescent="0.25">
      <c r="A236" t="s">
        <v>270</v>
      </c>
      <c r="B236" t="s">
        <v>71</v>
      </c>
      <c r="C236">
        <v>79</v>
      </c>
      <c r="D236" t="s">
        <v>15</v>
      </c>
      <c r="E236">
        <v>403</v>
      </c>
      <c r="F236" s="1">
        <f>Clients_Churn[[#This Row],[Duree_Cumulee_Panne_Min]]/1440</f>
        <v>0.27986111111111112</v>
      </c>
      <c r="G236">
        <v>21.49</v>
      </c>
      <c r="H236">
        <v>0</v>
      </c>
    </row>
    <row r="237" spans="1:8" x14ac:dyDescent="0.25">
      <c r="A237" t="s">
        <v>271</v>
      </c>
      <c r="B237" t="s">
        <v>30</v>
      </c>
      <c r="C237">
        <v>89</v>
      </c>
      <c r="D237" t="s">
        <v>12</v>
      </c>
      <c r="E237">
        <v>203</v>
      </c>
      <c r="F237" s="1">
        <f>Clients_Churn[[#This Row],[Duree_Cumulee_Panne_Min]]/1440</f>
        <v>0.14097222222222222</v>
      </c>
      <c r="G237">
        <v>80.680000000000007</v>
      </c>
      <c r="H237">
        <v>5</v>
      </c>
    </row>
    <row r="238" spans="1:8" x14ac:dyDescent="0.25">
      <c r="A238" t="s">
        <v>272</v>
      </c>
      <c r="B238" t="s">
        <v>40</v>
      </c>
      <c r="C238">
        <v>18</v>
      </c>
      <c r="D238" t="s">
        <v>9</v>
      </c>
      <c r="E238">
        <v>291</v>
      </c>
      <c r="F238" s="1">
        <f>Clients_Churn[[#This Row],[Duree_Cumulee_Panne_Min]]/1440</f>
        <v>0.20208333333333334</v>
      </c>
      <c r="G238">
        <v>97.98</v>
      </c>
      <c r="H238">
        <v>1</v>
      </c>
    </row>
    <row r="239" spans="1:8" x14ac:dyDescent="0.25">
      <c r="A239" t="s">
        <v>273</v>
      </c>
      <c r="B239" t="s">
        <v>50</v>
      </c>
      <c r="C239">
        <v>12</v>
      </c>
      <c r="D239" t="s">
        <v>15</v>
      </c>
      <c r="E239">
        <v>138</v>
      </c>
      <c r="F239" s="1">
        <f>Clients_Churn[[#This Row],[Duree_Cumulee_Panne_Min]]/1440</f>
        <v>9.583333333333334E-2</v>
      </c>
      <c r="G239">
        <v>17</v>
      </c>
      <c r="H239">
        <v>2</v>
      </c>
    </row>
    <row r="240" spans="1:8" x14ac:dyDescent="0.25">
      <c r="A240" t="s">
        <v>274</v>
      </c>
      <c r="B240" t="s">
        <v>20</v>
      </c>
      <c r="C240">
        <v>96</v>
      </c>
      <c r="D240" t="s">
        <v>15</v>
      </c>
      <c r="E240">
        <v>381</v>
      </c>
      <c r="F240" s="1">
        <f>Clients_Churn[[#This Row],[Duree_Cumulee_Panne_Min]]/1440</f>
        <v>0.26458333333333334</v>
      </c>
      <c r="G240">
        <v>90.78</v>
      </c>
      <c r="H240">
        <v>2</v>
      </c>
    </row>
    <row r="241" spans="1:8" x14ac:dyDescent="0.25">
      <c r="A241" t="s">
        <v>275</v>
      </c>
      <c r="B241" t="s">
        <v>14</v>
      </c>
      <c r="C241">
        <v>120</v>
      </c>
      <c r="D241" t="s">
        <v>9</v>
      </c>
      <c r="E241">
        <v>27</v>
      </c>
      <c r="F241" s="1">
        <f>Clients_Churn[[#This Row],[Duree_Cumulee_Panne_Min]]/1440</f>
        <v>1.8749999999999999E-2</v>
      </c>
      <c r="G241">
        <v>24.46</v>
      </c>
      <c r="H241">
        <v>3</v>
      </c>
    </row>
    <row r="242" spans="1:8" x14ac:dyDescent="0.25">
      <c r="A242" t="s">
        <v>276</v>
      </c>
      <c r="B242" t="s">
        <v>34</v>
      </c>
      <c r="C242">
        <v>65</v>
      </c>
      <c r="D242" t="s">
        <v>9</v>
      </c>
      <c r="E242">
        <v>118</v>
      </c>
      <c r="F242" s="1">
        <f>Clients_Churn[[#This Row],[Duree_Cumulee_Panne_Min]]/1440</f>
        <v>8.1944444444444445E-2</v>
      </c>
      <c r="G242">
        <v>72.430000000000007</v>
      </c>
      <c r="H242">
        <v>1</v>
      </c>
    </row>
    <row r="243" spans="1:8" x14ac:dyDescent="0.25">
      <c r="A243" t="s">
        <v>277</v>
      </c>
      <c r="B243" t="s">
        <v>44</v>
      </c>
      <c r="C243">
        <v>13</v>
      </c>
      <c r="D243" t="s">
        <v>12</v>
      </c>
      <c r="E243">
        <v>347</v>
      </c>
      <c r="F243" s="1">
        <f>Clients_Churn[[#This Row],[Duree_Cumulee_Panne_Min]]/1440</f>
        <v>0.24097222222222223</v>
      </c>
      <c r="G243">
        <v>32.35</v>
      </c>
      <c r="H243">
        <v>2</v>
      </c>
    </row>
    <row r="244" spans="1:8" x14ac:dyDescent="0.25">
      <c r="A244" t="s">
        <v>278</v>
      </c>
      <c r="B244" t="s">
        <v>59</v>
      </c>
      <c r="C244">
        <v>120</v>
      </c>
      <c r="D244" t="s">
        <v>12</v>
      </c>
      <c r="E244">
        <v>72</v>
      </c>
      <c r="F244" s="1">
        <f>Clients_Churn[[#This Row],[Duree_Cumulee_Panne_Min]]/1440</f>
        <v>0.05</v>
      </c>
      <c r="G244">
        <v>29.07</v>
      </c>
      <c r="H244">
        <v>3</v>
      </c>
    </row>
    <row r="245" spans="1:8" x14ac:dyDescent="0.25">
      <c r="A245" t="s">
        <v>279</v>
      </c>
      <c r="B245" t="s">
        <v>48</v>
      </c>
      <c r="C245">
        <v>114</v>
      </c>
      <c r="D245" t="s">
        <v>21</v>
      </c>
      <c r="E245">
        <v>283</v>
      </c>
      <c r="F245" s="1">
        <f>Clients_Churn[[#This Row],[Duree_Cumulee_Panne_Min]]/1440</f>
        <v>0.19652777777777777</v>
      </c>
      <c r="G245">
        <v>29.15</v>
      </c>
      <c r="H245">
        <v>3</v>
      </c>
    </row>
    <row r="246" spans="1:8" x14ac:dyDescent="0.25">
      <c r="A246" t="s">
        <v>280</v>
      </c>
      <c r="B246" t="s">
        <v>46</v>
      </c>
      <c r="C246">
        <v>58</v>
      </c>
      <c r="D246" t="s">
        <v>9</v>
      </c>
      <c r="E246">
        <v>405</v>
      </c>
      <c r="F246" s="1">
        <f>Clients_Churn[[#This Row],[Duree_Cumulee_Panne_Min]]/1440</f>
        <v>0.28125</v>
      </c>
      <c r="G246">
        <v>18.39</v>
      </c>
      <c r="H246">
        <v>0</v>
      </c>
    </row>
    <row r="247" spans="1:8" x14ac:dyDescent="0.25">
      <c r="A247" t="s">
        <v>281</v>
      </c>
      <c r="B247" t="s">
        <v>59</v>
      </c>
      <c r="C247">
        <v>94</v>
      </c>
      <c r="D247" t="s">
        <v>15</v>
      </c>
      <c r="E247">
        <v>261</v>
      </c>
      <c r="F247" s="1">
        <f>Clients_Churn[[#This Row],[Duree_Cumulee_Panne_Min]]/1440</f>
        <v>0.18124999999999999</v>
      </c>
      <c r="G247">
        <v>70.09</v>
      </c>
      <c r="H247">
        <v>3</v>
      </c>
    </row>
    <row r="248" spans="1:8" x14ac:dyDescent="0.25">
      <c r="A248" t="s">
        <v>282</v>
      </c>
      <c r="B248" t="s">
        <v>46</v>
      </c>
      <c r="C248">
        <v>74</v>
      </c>
      <c r="D248" t="s">
        <v>15</v>
      </c>
      <c r="E248">
        <v>253</v>
      </c>
      <c r="F248" s="1">
        <f>Clients_Churn[[#This Row],[Duree_Cumulee_Panne_Min]]/1440</f>
        <v>0.17569444444444443</v>
      </c>
      <c r="G248">
        <v>36.94</v>
      </c>
      <c r="H248">
        <v>5</v>
      </c>
    </row>
    <row r="249" spans="1:8" x14ac:dyDescent="0.25">
      <c r="A249" t="s">
        <v>283</v>
      </c>
      <c r="B249" t="s">
        <v>14</v>
      </c>
      <c r="C249">
        <v>50</v>
      </c>
      <c r="D249" t="s">
        <v>15</v>
      </c>
      <c r="E249">
        <v>177</v>
      </c>
      <c r="F249" s="1">
        <f>Clients_Churn[[#This Row],[Duree_Cumulee_Panne_Min]]/1440</f>
        <v>0.12291666666666666</v>
      </c>
      <c r="G249">
        <v>74.569999999999993</v>
      </c>
      <c r="H249">
        <v>4</v>
      </c>
    </row>
    <row r="250" spans="1:8" x14ac:dyDescent="0.25">
      <c r="A250" t="s">
        <v>284</v>
      </c>
      <c r="B250" t="s">
        <v>30</v>
      </c>
      <c r="C250">
        <v>26</v>
      </c>
      <c r="D250" t="s">
        <v>15</v>
      </c>
      <c r="E250">
        <v>378</v>
      </c>
      <c r="F250" s="1">
        <f>Clients_Churn[[#This Row],[Duree_Cumulee_Panne_Min]]/1440</f>
        <v>0.26250000000000001</v>
      </c>
      <c r="G250">
        <v>88.59</v>
      </c>
      <c r="H250">
        <v>4</v>
      </c>
    </row>
    <row r="251" spans="1:8" x14ac:dyDescent="0.25">
      <c r="A251" t="s">
        <v>285</v>
      </c>
      <c r="B251" t="s">
        <v>44</v>
      </c>
      <c r="C251">
        <v>26</v>
      </c>
      <c r="D251" t="s">
        <v>21</v>
      </c>
      <c r="E251">
        <v>391</v>
      </c>
      <c r="F251" s="1">
        <f>Clients_Churn[[#This Row],[Duree_Cumulee_Panne_Min]]/1440</f>
        <v>0.27152777777777776</v>
      </c>
      <c r="G251">
        <v>18.28</v>
      </c>
      <c r="H251">
        <v>3</v>
      </c>
    </row>
    <row r="252" spans="1:8" x14ac:dyDescent="0.25">
      <c r="A252" t="s">
        <v>286</v>
      </c>
      <c r="B252" t="s">
        <v>17</v>
      </c>
      <c r="C252">
        <v>104</v>
      </c>
      <c r="D252" t="s">
        <v>12</v>
      </c>
      <c r="E252">
        <v>421</v>
      </c>
      <c r="F252" s="1">
        <f>Clients_Churn[[#This Row],[Duree_Cumulee_Panne_Min]]/1440</f>
        <v>0.29236111111111113</v>
      </c>
      <c r="G252">
        <v>26.24</v>
      </c>
      <c r="H252">
        <v>3</v>
      </c>
    </row>
    <row r="253" spans="1:8" x14ac:dyDescent="0.25">
      <c r="A253" t="s">
        <v>287</v>
      </c>
      <c r="B253" t="s">
        <v>26</v>
      </c>
      <c r="C253">
        <v>108</v>
      </c>
      <c r="D253" t="s">
        <v>21</v>
      </c>
      <c r="E253">
        <v>230</v>
      </c>
      <c r="F253" s="1">
        <f>Clients_Churn[[#This Row],[Duree_Cumulee_Panne_Min]]/1440</f>
        <v>0.15972222222222221</v>
      </c>
      <c r="G253">
        <v>16.3</v>
      </c>
      <c r="H253">
        <v>5</v>
      </c>
    </row>
    <row r="254" spans="1:8" x14ac:dyDescent="0.25">
      <c r="A254" t="s">
        <v>288</v>
      </c>
      <c r="B254" t="s">
        <v>26</v>
      </c>
      <c r="C254">
        <v>103</v>
      </c>
      <c r="D254" t="s">
        <v>12</v>
      </c>
      <c r="E254">
        <v>270</v>
      </c>
      <c r="F254" s="1">
        <f>Clients_Churn[[#This Row],[Duree_Cumulee_Panne_Min]]/1440</f>
        <v>0.1875</v>
      </c>
      <c r="G254">
        <v>67.87</v>
      </c>
      <c r="H254">
        <v>3</v>
      </c>
    </row>
    <row r="255" spans="1:8" x14ac:dyDescent="0.25">
      <c r="A255" t="s">
        <v>289</v>
      </c>
      <c r="B255" t="s">
        <v>99</v>
      </c>
      <c r="C255">
        <v>93</v>
      </c>
      <c r="D255" t="s">
        <v>12</v>
      </c>
      <c r="E255">
        <v>56</v>
      </c>
      <c r="F255" s="1">
        <f>Clients_Churn[[#This Row],[Duree_Cumulee_Panne_Min]]/1440</f>
        <v>3.888888888888889E-2</v>
      </c>
      <c r="G255">
        <v>96.31</v>
      </c>
      <c r="H255">
        <v>4</v>
      </c>
    </row>
    <row r="256" spans="1:8" x14ac:dyDescent="0.25">
      <c r="A256" t="s">
        <v>290</v>
      </c>
      <c r="B256" t="s">
        <v>32</v>
      </c>
      <c r="C256">
        <v>86</v>
      </c>
      <c r="D256" t="s">
        <v>21</v>
      </c>
      <c r="E256">
        <v>452</v>
      </c>
      <c r="F256" s="1">
        <f>Clients_Churn[[#This Row],[Duree_Cumulee_Panne_Min]]/1440</f>
        <v>0.31388888888888888</v>
      </c>
      <c r="G256">
        <v>75.680000000000007</v>
      </c>
      <c r="H256">
        <v>0</v>
      </c>
    </row>
    <row r="257" spans="1:8" x14ac:dyDescent="0.25">
      <c r="A257" t="s">
        <v>291</v>
      </c>
      <c r="B257" t="s">
        <v>59</v>
      </c>
      <c r="C257">
        <v>47</v>
      </c>
      <c r="D257" t="s">
        <v>15</v>
      </c>
      <c r="E257">
        <v>385</v>
      </c>
      <c r="F257" s="1">
        <f>Clients_Churn[[#This Row],[Duree_Cumulee_Panne_Min]]/1440</f>
        <v>0.2673611111111111</v>
      </c>
      <c r="G257">
        <v>41.33</v>
      </c>
      <c r="H257">
        <v>0</v>
      </c>
    </row>
    <row r="258" spans="1:8" x14ac:dyDescent="0.25">
      <c r="A258" t="s">
        <v>292</v>
      </c>
      <c r="B258" t="s">
        <v>11</v>
      </c>
      <c r="C258">
        <v>83</v>
      </c>
      <c r="D258" t="s">
        <v>21</v>
      </c>
      <c r="E258">
        <v>105</v>
      </c>
      <c r="F258" s="1">
        <f>Clients_Churn[[#This Row],[Duree_Cumulee_Panne_Min]]/1440</f>
        <v>7.2916666666666671E-2</v>
      </c>
      <c r="G258">
        <v>20.46</v>
      </c>
      <c r="H258">
        <v>1</v>
      </c>
    </row>
    <row r="259" spans="1:8" x14ac:dyDescent="0.25">
      <c r="A259" t="s">
        <v>293</v>
      </c>
      <c r="B259" t="s">
        <v>48</v>
      </c>
      <c r="C259">
        <v>84</v>
      </c>
      <c r="D259" t="s">
        <v>9</v>
      </c>
      <c r="E259">
        <v>317</v>
      </c>
      <c r="F259" s="1">
        <f>Clients_Churn[[#This Row],[Duree_Cumulee_Panne_Min]]/1440</f>
        <v>0.22013888888888888</v>
      </c>
      <c r="G259">
        <v>36.200000000000003</v>
      </c>
      <c r="H259">
        <v>3</v>
      </c>
    </row>
    <row r="260" spans="1:8" x14ac:dyDescent="0.25">
      <c r="A260" t="s">
        <v>294</v>
      </c>
      <c r="B260" t="s">
        <v>67</v>
      </c>
      <c r="C260">
        <v>6</v>
      </c>
      <c r="D260" t="s">
        <v>21</v>
      </c>
      <c r="E260">
        <v>207</v>
      </c>
      <c r="F260" s="1">
        <f>Clients_Churn[[#This Row],[Duree_Cumulee_Panne_Min]]/1440</f>
        <v>0.14374999999999999</v>
      </c>
      <c r="G260">
        <v>61.55</v>
      </c>
      <c r="H260">
        <v>0</v>
      </c>
    </row>
    <row r="261" spans="1:8" x14ac:dyDescent="0.25">
      <c r="A261" t="s">
        <v>295</v>
      </c>
      <c r="B261" t="s">
        <v>32</v>
      </c>
      <c r="C261">
        <v>40</v>
      </c>
      <c r="D261" t="s">
        <v>21</v>
      </c>
      <c r="E261">
        <v>102</v>
      </c>
      <c r="F261" s="1">
        <f>Clients_Churn[[#This Row],[Duree_Cumulee_Panne_Min]]/1440</f>
        <v>7.0833333333333331E-2</v>
      </c>
      <c r="G261">
        <v>96.59</v>
      </c>
      <c r="H261">
        <v>5</v>
      </c>
    </row>
    <row r="262" spans="1:8" x14ac:dyDescent="0.25">
      <c r="A262" t="s">
        <v>296</v>
      </c>
      <c r="B262" t="s">
        <v>14</v>
      </c>
      <c r="C262">
        <v>42</v>
      </c>
      <c r="D262" t="s">
        <v>15</v>
      </c>
      <c r="E262">
        <v>173</v>
      </c>
      <c r="F262" s="1">
        <f>Clients_Churn[[#This Row],[Duree_Cumulee_Panne_Min]]/1440</f>
        <v>0.12013888888888889</v>
      </c>
      <c r="G262">
        <v>69.19</v>
      </c>
      <c r="H262">
        <v>4</v>
      </c>
    </row>
    <row r="263" spans="1:8" x14ac:dyDescent="0.25">
      <c r="A263" t="s">
        <v>297</v>
      </c>
      <c r="B263" t="s">
        <v>34</v>
      </c>
      <c r="C263">
        <v>51</v>
      </c>
      <c r="D263" t="s">
        <v>9</v>
      </c>
      <c r="E263">
        <v>337</v>
      </c>
      <c r="F263" s="1">
        <f>Clients_Churn[[#This Row],[Duree_Cumulee_Panne_Min]]/1440</f>
        <v>0.23402777777777778</v>
      </c>
      <c r="G263">
        <v>68.67</v>
      </c>
      <c r="H263">
        <v>5</v>
      </c>
    </row>
    <row r="264" spans="1:8" x14ac:dyDescent="0.25">
      <c r="A264" t="s">
        <v>298</v>
      </c>
      <c r="B264" t="s">
        <v>11</v>
      </c>
      <c r="C264">
        <v>108</v>
      </c>
      <c r="D264" t="s">
        <v>15</v>
      </c>
      <c r="E264">
        <v>123</v>
      </c>
      <c r="F264" s="1">
        <f>Clients_Churn[[#This Row],[Duree_Cumulee_Panne_Min]]/1440</f>
        <v>8.5416666666666669E-2</v>
      </c>
      <c r="G264">
        <v>83.1</v>
      </c>
      <c r="H264">
        <v>1</v>
      </c>
    </row>
    <row r="265" spans="1:8" x14ac:dyDescent="0.25">
      <c r="A265" t="s">
        <v>299</v>
      </c>
      <c r="B265" t="s">
        <v>40</v>
      </c>
      <c r="C265">
        <v>113</v>
      </c>
      <c r="D265" t="s">
        <v>21</v>
      </c>
      <c r="E265">
        <v>89</v>
      </c>
      <c r="F265" s="1">
        <f>Clients_Churn[[#This Row],[Duree_Cumulee_Panne_Min]]/1440</f>
        <v>6.1805555555555558E-2</v>
      </c>
      <c r="G265">
        <v>54.28</v>
      </c>
      <c r="H265">
        <v>0</v>
      </c>
    </row>
    <row r="266" spans="1:8" x14ac:dyDescent="0.25">
      <c r="A266" t="s">
        <v>300</v>
      </c>
      <c r="B266" t="s">
        <v>26</v>
      </c>
      <c r="C266">
        <v>101</v>
      </c>
      <c r="D266" t="s">
        <v>9</v>
      </c>
      <c r="E266">
        <v>416</v>
      </c>
      <c r="F266" s="1">
        <f>Clients_Churn[[#This Row],[Duree_Cumulee_Panne_Min]]/1440</f>
        <v>0.28888888888888886</v>
      </c>
      <c r="G266">
        <v>83.49</v>
      </c>
      <c r="H266">
        <v>2</v>
      </c>
    </row>
    <row r="267" spans="1:8" x14ac:dyDescent="0.25">
      <c r="A267" t="s">
        <v>301</v>
      </c>
      <c r="B267" t="s">
        <v>67</v>
      </c>
      <c r="C267">
        <v>74</v>
      </c>
      <c r="D267" t="s">
        <v>21</v>
      </c>
      <c r="E267">
        <v>208</v>
      </c>
      <c r="F267" s="1">
        <f>Clients_Churn[[#This Row],[Duree_Cumulee_Panne_Min]]/1440</f>
        <v>0.14444444444444443</v>
      </c>
      <c r="G267">
        <v>39.56</v>
      </c>
      <c r="H267">
        <v>0</v>
      </c>
    </row>
    <row r="268" spans="1:8" x14ac:dyDescent="0.25">
      <c r="A268" t="s">
        <v>302</v>
      </c>
      <c r="B268" t="s">
        <v>46</v>
      </c>
      <c r="C268">
        <v>10</v>
      </c>
      <c r="D268" t="s">
        <v>9</v>
      </c>
      <c r="E268">
        <v>93</v>
      </c>
      <c r="F268" s="1">
        <f>Clients_Churn[[#This Row],[Duree_Cumulee_Panne_Min]]/1440</f>
        <v>6.458333333333334E-2</v>
      </c>
      <c r="G268">
        <v>78.12</v>
      </c>
      <c r="H268">
        <v>4</v>
      </c>
    </row>
    <row r="269" spans="1:8" x14ac:dyDescent="0.25">
      <c r="A269" t="s">
        <v>303</v>
      </c>
      <c r="B269" t="s">
        <v>8</v>
      </c>
      <c r="C269">
        <v>16</v>
      </c>
      <c r="D269" t="s">
        <v>21</v>
      </c>
      <c r="E269">
        <v>391</v>
      </c>
      <c r="F269" s="1">
        <f>Clients_Churn[[#This Row],[Duree_Cumulee_Panne_Min]]/1440</f>
        <v>0.27152777777777776</v>
      </c>
      <c r="G269">
        <v>90.12</v>
      </c>
      <c r="H269">
        <v>5</v>
      </c>
    </row>
    <row r="270" spans="1:8" x14ac:dyDescent="0.25">
      <c r="A270" t="s">
        <v>304</v>
      </c>
      <c r="B270" t="s">
        <v>42</v>
      </c>
      <c r="C270">
        <v>59</v>
      </c>
      <c r="D270" t="s">
        <v>12</v>
      </c>
      <c r="E270">
        <v>72</v>
      </c>
      <c r="F270" s="1">
        <f>Clients_Churn[[#This Row],[Duree_Cumulee_Panne_Min]]/1440</f>
        <v>0.05</v>
      </c>
      <c r="G270">
        <v>94.51</v>
      </c>
      <c r="H270">
        <v>2</v>
      </c>
    </row>
    <row r="271" spans="1:8" x14ac:dyDescent="0.25">
      <c r="A271" t="s">
        <v>305</v>
      </c>
      <c r="B271" t="s">
        <v>30</v>
      </c>
      <c r="C271">
        <v>41</v>
      </c>
      <c r="D271" t="s">
        <v>12</v>
      </c>
      <c r="E271">
        <v>474</v>
      </c>
      <c r="F271" s="1">
        <f>Clients_Churn[[#This Row],[Duree_Cumulee_Panne_Min]]/1440</f>
        <v>0.32916666666666666</v>
      </c>
      <c r="G271">
        <v>54.03</v>
      </c>
      <c r="H271">
        <v>4</v>
      </c>
    </row>
    <row r="272" spans="1:8" x14ac:dyDescent="0.25">
      <c r="A272" t="s">
        <v>306</v>
      </c>
      <c r="B272" t="s">
        <v>34</v>
      </c>
      <c r="C272">
        <v>5</v>
      </c>
      <c r="D272" t="s">
        <v>15</v>
      </c>
      <c r="E272">
        <v>337</v>
      </c>
      <c r="F272" s="1">
        <f>Clients_Churn[[#This Row],[Duree_Cumulee_Panne_Min]]/1440</f>
        <v>0.23402777777777778</v>
      </c>
      <c r="G272">
        <v>21.07</v>
      </c>
      <c r="H272">
        <v>4</v>
      </c>
    </row>
    <row r="273" spans="1:8" x14ac:dyDescent="0.25">
      <c r="A273" t="s">
        <v>307</v>
      </c>
      <c r="B273" t="s">
        <v>74</v>
      </c>
      <c r="C273">
        <v>118</v>
      </c>
      <c r="D273" t="s">
        <v>15</v>
      </c>
      <c r="E273">
        <v>430</v>
      </c>
      <c r="F273" s="1">
        <f>Clients_Churn[[#This Row],[Duree_Cumulee_Panne_Min]]/1440</f>
        <v>0.2986111111111111</v>
      </c>
      <c r="G273">
        <v>36.97</v>
      </c>
      <c r="H273">
        <v>2</v>
      </c>
    </row>
    <row r="274" spans="1:8" x14ac:dyDescent="0.25">
      <c r="A274" t="s">
        <v>308</v>
      </c>
      <c r="B274" t="s">
        <v>11</v>
      </c>
      <c r="C274">
        <v>53</v>
      </c>
      <c r="D274" t="s">
        <v>21</v>
      </c>
      <c r="E274">
        <v>243</v>
      </c>
      <c r="F274" s="1">
        <f>Clients_Churn[[#This Row],[Duree_Cumulee_Panne_Min]]/1440</f>
        <v>0.16875000000000001</v>
      </c>
      <c r="G274">
        <v>55.19</v>
      </c>
      <c r="H274">
        <v>4</v>
      </c>
    </row>
    <row r="275" spans="1:8" x14ac:dyDescent="0.25">
      <c r="A275" t="s">
        <v>309</v>
      </c>
      <c r="B275" t="s">
        <v>99</v>
      </c>
      <c r="C275">
        <v>95</v>
      </c>
      <c r="D275" t="s">
        <v>12</v>
      </c>
      <c r="E275">
        <v>95</v>
      </c>
      <c r="F275" s="1">
        <f>Clients_Churn[[#This Row],[Duree_Cumulee_Panne_Min]]/1440</f>
        <v>6.5972222222222224E-2</v>
      </c>
      <c r="G275">
        <v>82.65</v>
      </c>
      <c r="H275">
        <v>2</v>
      </c>
    </row>
    <row r="276" spans="1:8" x14ac:dyDescent="0.25">
      <c r="A276" t="s">
        <v>310</v>
      </c>
      <c r="B276" t="s">
        <v>99</v>
      </c>
      <c r="C276">
        <v>83</v>
      </c>
      <c r="D276" t="s">
        <v>15</v>
      </c>
      <c r="E276">
        <v>14</v>
      </c>
      <c r="F276" s="1">
        <f>Clients_Churn[[#This Row],[Duree_Cumulee_Panne_Min]]/1440</f>
        <v>9.7222222222222224E-3</v>
      </c>
      <c r="G276">
        <v>58.07</v>
      </c>
      <c r="H276">
        <v>3</v>
      </c>
    </row>
    <row r="277" spans="1:8" x14ac:dyDescent="0.25">
      <c r="A277" t="s">
        <v>311</v>
      </c>
      <c r="B277" t="s">
        <v>34</v>
      </c>
      <c r="C277">
        <v>4</v>
      </c>
      <c r="D277" t="s">
        <v>9</v>
      </c>
      <c r="E277">
        <v>21</v>
      </c>
      <c r="F277" s="1">
        <f>Clients_Churn[[#This Row],[Duree_Cumulee_Panne_Min]]/1440</f>
        <v>1.4583333333333334E-2</v>
      </c>
      <c r="G277">
        <v>45.8</v>
      </c>
      <c r="H277">
        <v>1</v>
      </c>
    </row>
    <row r="278" spans="1:8" x14ac:dyDescent="0.25">
      <c r="A278" t="s">
        <v>312</v>
      </c>
      <c r="B278" t="s">
        <v>24</v>
      </c>
      <c r="C278">
        <v>35</v>
      </c>
      <c r="D278" t="s">
        <v>12</v>
      </c>
      <c r="E278">
        <v>299</v>
      </c>
      <c r="F278" s="1">
        <f>Clients_Churn[[#This Row],[Duree_Cumulee_Panne_Min]]/1440</f>
        <v>0.2076388888888889</v>
      </c>
      <c r="G278">
        <v>96.32</v>
      </c>
      <c r="H278">
        <v>4</v>
      </c>
    </row>
    <row r="279" spans="1:8" x14ac:dyDescent="0.25">
      <c r="A279" t="s">
        <v>313</v>
      </c>
      <c r="B279" t="s">
        <v>50</v>
      </c>
      <c r="C279">
        <v>97</v>
      </c>
      <c r="D279" t="s">
        <v>9</v>
      </c>
      <c r="E279">
        <v>484</v>
      </c>
      <c r="F279" s="1">
        <f>Clients_Churn[[#This Row],[Duree_Cumulee_Panne_Min]]/1440</f>
        <v>0.33611111111111114</v>
      </c>
      <c r="G279">
        <v>61.98</v>
      </c>
      <c r="H279">
        <v>1</v>
      </c>
    </row>
    <row r="280" spans="1:8" x14ac:dyDescent="0.25">
      <c r="A280" t="s">
        <v>314</v>
      </c>
      <c r="B280" t="s">
        <v>59</v>
      </c>
      <c r="C280">
        <v>76</v>
      </c>
      <c r="D280" t="s">
        <v>15</v>
      </c>
      <c r="E280">
        <v>383</v>
      </c>
      <c r="F280" s="1">
        <f>Clients_Churn[[#This Row],[Duree_Cumulee_Panne_Min]]/1440</f>
        <v>0.26597222222222222</v>
      </c>
      <c r="G280">
        <v>53.73</v>
      </c>
      <c r="H280">
        <v>2</v>
      </c>
    </row>
    <row r="281" spans="1:8" x14ac:dyDescent="0.25">
      <c r="A281" t="s">
        <v>315</v>
      </c>
      <c r="B281" t="s">
        <v>34</v>
      </c>
      <c r="C281">
        <v>10</v>
      </c>
      <c r="D281" t="s">
        <v>21</v>
      </c>
      <c r="E281">
        <v>425</v>
      </c>
      <c r="F281" s="1">
        <f>Clients_Churn[[#This Row],[Duree_Cumulee_Panne_Min]]/1440</f>
        <v>0.2951388888888889</v>
      </c>
      <c r="G281">
        <v>85.75</v>
      </c>
      <c r="H281">
        <v>0</v>
      </c>
    </row>
    <row r="282" spans="1:8" x14ac:dyDescent="0.25">
      <c r="A282" t="s">
        <v>316</v>
      </c>
      <c r="B282" t="s">
        <v>48</v>
      </c>
      <c r="C282">
        <v>68</v>
      </c>
      <c r="D282" t="s">
        <v>12</v>
      </c>
      <c r="E282">
        <v>462</v>
      </c>
      <c r="F282" s="1">
        <f>Clients_Churn[[#This Row],[Duree_Cumulee_Panne_Min]]/1440</f>
        <v>0.32083333333333336</v>
      </c>
      <c r="G282">
        <v>41.91</v>
      </c>
      <c r="H282">
        <v>1</v>
      </c>
    </row>
    <row r="283" spans="1:8" x14ac:dyDescent="0.25">
      <c r="A283" t="s">
        <v>317</v>
      </c>
      <c r="B283" t="s">
        <v>32</v>
      </c>
      <c r="C283">
        <v>16</v>
      </c>
      <c r="D283" t="s">
        <v>9</v>
      </c>
      <c r="E283">
        <v>43</v>
      </c>
      <c r="F283" s="1">
        <f>Clients_Churn[[#This Row],[Duree_Cumulee_Panne_Min]]/1440</f>
        <v>2.9861111111111113E-2</v>
      </c>
      <c r="G283">
        <v>56.48</v>
      </c>
      <c r="H283">
        <v>0</v>
      </c>
    </row>
    <row r="284" spans="1:8" x14ac:dyDescent="0.25">
      <c r="A284" t="s">
        <v>318</v>
      </c>
      <c r="B284" t="s">
        <v>74</v>
      </c>
      <c r="C284">
        <v>109</v>
      </c>
      <c r="D284" t="s">
        <v>12</v>
      </c>
      <c r="E284">
        <v>397</v>
      </c>
      <c r="F284" s="1">
        <f>Clients_Churn[[#This Row],[Duree_Cumulee_Panne_Min]]/1440</f>
        <v>0.27569444444444446</v>
      </c>
      <c r="G284">
        <v>63.92</v>
      </c>
      <c r="H284">
        <v>1</v>
      </c>
    </row>
    <row r="285" spans="1:8" x14ac:dyDescent="0.25">
      <c r="A285" t="s">
        <v>319</v>
      </c>
      <c r="B285" t="s">
        <v>59</v>
      </c>
      <c r="C285">
        <v>61</v>
      </c>
      <c r="D285" t="s">
        <v>21</v>
      </c>
      <c r="E285">
        <v>140</v>
      </c>
      <c r="F285" s="1">
        <f>Clients_Churn[[#This Row],[Duree_Cumulee_Panne_Min]]/1440</f>
        <v>9.7222222222222224E-2</v>
      </c>
      <c r="G285">
        <v>76.3</v>
      </c>
      <c r="H285">
        <v>4</v>
      </c>
    </row>
    <row r="286" spans="1:8" x14ac:dyDescent="0.25">
      <c r="A286" t="s">
        <v>320</v>
      </c>
      <c r="B286" t="s">
        <v>74</v>
      </c>
      <c r="C286">
        <v>96</v>
      </c>
      <c r="D286" t="s">
        <v>12</v>
      </c>
      <c r="E286">
        <v>280</v>
      </c>
      <c r="F286" s="1">
        <f>Clients_Churn[[#This Row],[Duree_Cumulee_Panne_Min]]/1440</f>
        <v>0.19444444444444445</v>
      </c>
      <c r="G286">
        <v>80.36</v>
      </c>
      <c r="H286">
        <v>5</v>
      </c>
    </row>
    <row r="287" spans="1:8" x14ac:dyDescent="0.25">
      <c r="A287" t="s">
        <v>321</v>
      </c>
      <c r="B287" t="s">
        <v>74</v>
      </c>
      <c r="C287">
        <v>25</v>
      </c>
      <c r="D287" t="s">
        <v>9</v>
      </c>
      <c r="E287">
        <v>33</v>
      </c>
      <c r="F287" s="1">
        <f>Clients_Churn[[#This Row],[Duree_Cumulee_Panne_Min]]/1440</f>
        <v>2.2916666666666665E-2</v>
      </c>
      <c r="G287">
        <v>30.93</v>
      </c>
      <c r="H287">
        <v>1</v>
      </c>
    </row>
    <row r="288" spans="1:8" x14ac:dyDescent="0.25">
      <c r="A288" t="s">
        <v>322</v>
      </c>
      <c r="B288" t="s">
        <v>107</v>
      </c>
      <c r="C288">
        <v>45</v>
      </c>
      <c r="D288" t="s">
        <v>15</v>
      </c>
      <c r="E288">
        <v>43</v>
      </c>
      <c r="F288" s="1">
        <f>Clients_Churn[[#This Row],[Duree_Cumulee_Panne_Min]]/1440</f>
        <v>2.9861111111111113E-2</v>
      </c>
      <c r="G288">
        <v>12.31</v>
      </c>
      <c r="H288">
        <v>0</v>
      </c>
    </row>
    <row r="289" spans="1:8" x14ac:dyDescent="0.25">
      <c r="A289" t="s">
        <v>323</v>
      </c>
      <c r="B289" t="s">
        <v>34</v>
      </c>
      <c r="C289">
        <v>63</v>
      </c>
      <c r="D289" t="s">
        <v>15</v>
      </c>
      <c r="E289">
        <v>109</v>
      </c>
      <c r="F289" s="1">
        <f>Clients_Churn[[#This Row],[Duree_Cumulee_Panne_Min]]/1440</f>
        <v>7.5694444444444439E-2</v>
      </c>
      <c r="G289">
        <v>10.33</v>
      </c>
      <c r="H289">
        <v>3</v>
      </c>
    </row>
    <row r="290" spans="1:8" x14ac:dyDescent="0.25">
      <c r="A290" t="s">
        <v>324</v>
      </c>
      <c r="B290" t="s">
        <v>71</v>
      </c>
      <c r="C290">
        <v>41</v>
      </c>
      <c r="D290" t="s">
        <v>15</v>
      </c>
      <c r="E290">
        <v>90</v>
      </c>
      <c r="F290" s="1">
        <f>Clients_Churn[[#This Row],[Duree_Cumulee_Panne_Min]]/1440</f>
        <v>6.25E-2</v>
      </c>
      <c r="G290">
        <v>97.26</v>
      </c>
      <c r="H290">
        <v>1</v>
      </c>
    </row>
    <row r="291" spans="1:8" x14ac:dyDescent="0.25">
      <c r="A291" t="s">
        <v>325</v>
      </c>
      <c r="B291" t="s">
        <v>17</v>
      </c>
      <c r="C291">
        <v>35</v>
      </c>
      <c r="D291" t="s">
        <v>15</v>
      </c>
      <c r="E291">
        <v>107</v>
      </c>
      <c r="F291" s="1">
        <f>Clients_Churn[[#This Row],[Duree_Cumulee_Panne_Min]]/1440</f>
        <v>7.4305555555555555E-2</v>
      </c>
      <c r="G291">
        <v>66.69</v>
      </c>
      <c r="H291">
        <v>4</v>
      </c>
    </row>
    <row r="292" spans="1:8" x14ac:dyDescent="0.25">
      <c r="A292" t="s">
        <v>326</v>
      </c>
      <c r="B292" t="s">
        <v>44</v>
      </c>
      <c r="C292">
        <v>106</v>
      </c>
      <c r="D292" t="s">
        <v>9</v>
      </c>
      <c r="E292">
        <v>400</v>
      </c>
      <c r="F292" s="1">
        <f>Clients_Churn[[#This Row],[Duree_Cumulee_Panne_Min]]/1440</f>
        <v>0.27777777777777779</v>
      </c>
      <c r="G292">
        <v>70.02</v>
      </c>
      <c r="H292">
        <v>4</v>
      </c>
    </row>
    <row r="293" spans="1:8" x14ac:dyDescent="0.25">
      <c r="A293" t="s">
        <v>327</v>
      </c>
      <c r="B293" t="s">
        <v>34</v>
      </c>
      <c r="C293">
        <v>16</v>
      </c>
      <c r="D293" t="s">
        <v>9</v>
      </c>
      <c r="E293">
        <v>390</v>
      </c>
      <c r="F293" s="1">
        <f>Clients_Churn[[#This Row],[Duree_Cumulee_Panne_Min]]/1440</f>
        <v>0.27083333333333331</v>
      </c>
      <c r="G293">
        <v>98.17</v>
      </c>
      <c r="H293">
        <v>5</v>
      </c>
    </row>
    <row r="294" spans="1:8" x14ac:dyDescent="0.25">
      <c r="A294" t="s">
        <v>328</v>
      </c>
      <c r="B294" t="s">
        <v>61</v>
      </c>
      <c r="C294">
        <v>92</v>
      </c>
      <c r="D294" t="s">
        <v>9</v>
      </c>
      <c r="E294">
        <v>472</v>
      </c>
      <c r="F294" s="1">
        <f>Clients_Churn[[#This Row],[Duree_Cumulee_Panne_Min]]/1440</f>
        <v>0.32777777777777778</v>
      </c>
      <c r="G294">
        <v>78.44</v>
      </c>
      <c r="H294">
        <v>1</v>
      </c>
    </row>
    <row r="295" spans="1:8" x14ac:dyDescent="0.25">
      <c r="A295" t="s">
        <v>329</v>
      </c>
      <c r="B295" t="s">
        <v>17</v>
      </c>
      <c r="C295">
        <v>115</v>
      </c>
      <c r="D295" t="s">
        <v>9</v>
      </c>
      <c r="E295">
        <v>236</v>
      </c>
      <c r="F295" s="1">
        <f>Clients_Churn[[#This Row],[Duree_Cumulee_Panne_Min]]/1440</f>
        <v>0.16388888888888889</v>
      </c>
      <c r="G295">
        <v>50.64</v>
      </c>
      <c r="H295">
        <v>1</v>
      </c>
    </row>
    <row r="296" spans="1:8" x14ac:dyDescent="0.25">
      <c r="A296" t="s">
        <v>330</v>
      </c>
      <c r="B296" t="s">
        <v>20</v>
      </c>
      <c r="C296">
        <v>63</v>
      </c>
      <c r="D296" t="s">
        <v>15</v>
      </c>
      <c r="E296">
        <v>95</v>
      </c>
      <c r="F296" s="1">
        <f>Clients_Churn[[#This Row],[Duree_Cumulee_Panne_Min]]/1440</f>
        <v>6.5972222222222224E-2</v>
      </c>
      <c r="G296">
        <v>56.81</v>
      </c>
      <c r="H296">
        <v>0</v>
      </c>
    </row>
    <row r="297" spans="1:8" x14ac:dyDescent="0.25">
      <c r="A297" t="s">
        <v>331</v>
      </c>
      <c r="B297" t="s">
        <v>64</v>
      </c>
      <c r="C297">
        <v>119</v>
      </c>
      <c r="D297" t="s">
        <v>9</v>
      </c>
      <c r="E297">
        <v>133</v>
      </c>
      <c r="F297" s="1">
        <f>Clients_Churn[[#This Row],[Duree_Cumulee_Panne_Min]]/1440</f>
        <v>9.2361111111111116E-2</v>
      </c>
      <c r="G297">
        <v>30.27</v>
      </c>
      <c r="H297">
        <v>5</v>
      </c>
    </row>
    <row r="298" spans="1:8" x14ac:dyDescent="0.25">
      <c r="A298" t="s">
        <v>332</v>
      </c>
      <c r="B298" t="s">
        <v>99</v>
      </c>
      <c r="C298">
        <v>14</v>
      </c>
      <c r="D298" t="s">
        <v>15</v>
      </c>
      <c r="E298">
        <v>304</v>
      </c>
      <c r="F298" s="1">
        <f>Clients_Churn[[#This Row],[Duree_Cumulee_Panne_Min]]/1440</f>
        <v>0.21111111111111111</v>
      </c>
      <c r="G298">
        <v>48.13</v>
      </c>
      <c r="H298">
        <v>2</v>
      </c>
    </row>
    <row r="299" spans="1:8" x14ac:dyDescent="0.25">
      <c r="A299" t="s">
        <v>333</v>
      </c>
      <c r="B299" t="s">
        <v>64</v>
      </c>
      <c r="C299">
        <v>18</v>
      </c>
      <c r="D299" t="s">
        <v>9</v>
      </c>
      <c r="E299">
        <v>463</v>
      </c>
      <c r="F299" s="1">
        <f>Clients_Churn[[#This Row],[Duree_Cumulee_Panne_Min]]/1440</f>
        <v>0.3215277777777778</v>
      </c>
      <c r="G299">
        <v>41.66</v>
      </c>
      <c r="H299">
        <v>4</v>
      </c>
    </row>
    <row r="300" spans="1:8" x14ac:dyDescent="0.25">
      <c r="A300" t="s">
        <v>334</v>
      </c>
      <c r="B300" t="s">
        <v>20</v>
      </c>
      <c r="C300">
        <v>76</v>
      </c>
      <c r="D300" t="s">
        <v>15</v>
      </c>
      <c r="E300">
        <v>332</v>
      </c>
      <c r="F300" s="1">
        <f>Clients_Churn[[#This Row],[Duree_Cumulee_Panne_Min]]/1440</f>
        <v>0.23055555555555557</v>
      </c>
      <c r="G300">
        <v>68.010000000000005</v>
      </c>
      <c r="H300">
        <v>4</v>
      </c>
    </row>
    <row r="301" spans="1:8" x14ac:dyDescent="0.25">
      <c r="A301" t="s">
        <v>335</v>
      </c>
      <c r="B301" t="s">
        <v>50</v>
      </c>
      <c r="C301">
        <v>48</v>
      </c>
      <c r="D301" t="s">
        <v>9</v>
      </c>
      <c r="E301">
        <v>436</v>
      </c>
      <c r="F301" s="1">
        <f>Clients_Churn[[#This Row],[Duree_Cumulee_Panne_Min]]/1440</f>
        <v>0.30277777777777776</v>
      </c>
      <c r="G301">
        <v>15.17</v>
      </c>
      <c r="H301">
        <v>0</v>
      </c>
    </row>
    <row r="302" spans="1:8" x14ac:dyDescent="0.25">
      <c r="A302" t="s">
        <v>336</v>
      </c>
      <c r="B302" t="s">
        <v>14</v>
      </c>
      <c r="C302">
        <v>34</v>
      </c>
      <c r="D302" t="s">
        <v>12</v>
      </c>
      <c r="E302">
        <v>453</v>
      </c>
      <c r="F302" s="1">
        <f>Clients_Churn[[#This Row],[Duree_Cumulee_Panne_Min]]/1440</f>
        <v>0.31458333333333333</v>
      </c>
      <c r="G302">
        <v>56.84</v>
      </c>
      <c r="H302">
        <v>0</v>
      </c>
    </row>
    <row r="303" spans="1:8" x14ac:dyDescent="0.25">
      <c r="A303" t="s">
        <v>337</v>
      </c>
      <c r="B303" t="s">
        <v>59</v>
      </c>
      <c r="C303">
        <v>31</v>
      </c>
      <c r="D303" t="s">
        <v>9</v>
      </c>
      <c r="E303">
        <v>160</v>
      </c>
      <c r="F303" s="1">
        <f>Clients_Churn[[#This Row],[Duree_Cumulee_Panne_Min]]/1440</f>
        <v>0.1111111111111111</v>
      </c>
      <c r="G303">
        <v>59.76</v>
      </c>
      <c r="H303">
        <v>4</v>
      </c>
    </row>
    <row r="304" spans="1:8" x14ac:dyDescent="0.25">
      <c r="A304" t="s">
        <v>338</v>
      </c>
      <c r="B304" t="s">
        <v>32</v>
      </c>
      <c r="C304">
        <v>74</v>
      </c>
      <c r="D304" t="s">
        <v>15</v>
      </c>
      <c r="E304">
        <v>9</v>
      </c>
      <c r="F304" s="1">
        <f>Clients_Churn[[#This Row],[Duree_Cumulee_Panne_Min]]/1440</f>
        <v>6.2500000000000003E-3</v>
      </c>
      <c r="G304">
        <v>99.89</v>
      </c>
      <c r="H304">
        <v>0</v>
      </c>
    </row>
    <row r="305" spans="1:8" x14ac:dyDescent="0.25">
      <c r="A305" t="s">
        <v>339</v>
      </c>
      <c r="B305" t="s">
        <v>24</v>
      </c>
      <c r="C305">
        <v>88</v>
      </c>
      <c r="D305" t="s">
        <v>15</v>
      </c>
      <c r="E305">
        <v>319</v>
      </c>
      <c r="F305" s="1">
        <f>Clients_Churn[[#This Row],[Duree_Cumulee_Panne_Min]]/1440</f>
        <v>0.22152777777777777</v>
      </c>
      <c r="G305">
        <v>56.18</v>
      </c>
      <c r="H305">
        <v>0</v>
      </c>
    </row>
    <row r="306" spans="1:8" x14ac:dyDescent="0.25">
      <c r="A306" t="s">
        <v>340</v>
      </c>
      <c r="B306" t="s">
        <v>71</v>
      </c>
      <c r="C306">
        <v>81</v>
      </c>
      <c r="D306" t="s">
        <v>15</v>
      </c>
      <c r="E306">
        <v>64</v>
      </c>
      <c r="F306" s="1">
        <f>Clients_Churn[[#This Row],[Duree_Cumulee_Panne_Min]]/1440</f>
        <v>4.4444444444444446E-2</v>
      </c>
      <c r="G306">
        <v>43.45</v>
      </c>
      <c r="H306">
        <v>2</v>
      </c>
    </row>
    <row r="307" spans="1:8" x14ac:dyDescent="0.25">
      <c r="A307" t="s">
        <v>341</v>
      </c>
      <c r="B307" t="s">
        <v>40</v>
      </c>
      <c r="C307">
        <v>74</v>
      </c>
      <c r="D307" t="s">
        <v>15</v>
      </c>
      <c r="E307">
        <v>16</v>
      </c>
      <c r="F307" s="1">
        <f>Clients_Churn[[#This Row],[Duree_Cumulee_Panne_Min]]/1440</f>
        <v>1.1111111111111112E-2</v>
      </c>
      <c r="G307">
        <v>93.01</v>
      </c>
      <c r="H307">
        <v>3</v>
      </c>
    </row>
    <row r="308" spans="1:8" x14ac:dyDescent="0.25">
      <c r="A308" t="s">
        <v>342</v>
      </c>
      <c r="B308" t="s">
        <v>46</v>
      </c>
      <c r="C308">
        <v>108</v>
      </c>
      <c r="D308" t="s">
        <v>9</v>
      </c>
      <c r="E308">
        <v>460</v>
      </c>
      <c r="F308" s="1">
        <f>Clients_Churn[[#This Row],[Duree_Cumulee_Panne_Min]]/1440</f>
        <v>0.31944444444444442</v>
      </c>
      <c r="G308">
        <v>88.95</v>
      </c>
      <c r="H308">
        <v>3</v>
      </c>
    </row>
    <row r="309" spans="1:8" x14ac:dyDescent="0.25">
      <c r="A309" t="s">
        <v>343</v>
      </c>
      <c r="B309" t="s">
        <v>107</v>
      </c>
      <c r="C309">
        <v>91</v>
      </c>
      <c r="D309" t="s">
        <v>15</v>
      </c>
      <c r="E309">
        <v>63</v>
      </c>
      <c r="F309" s="1">
        <f>Clients_Churn[[#This Row],[Duree_Cumulee_Panne_Min]]/1440</f>
        <v>4.3749999999999997E-2</v>
      </c>
      <c r="G309">
        <v>57.76</v>
      </c>
      <c r="H309">
        <v>5</v>
      </c>
    </row>
    <row r="310" spans="1:8" x14ac:dyDescent="0.25">
      <c r="A310" t="s">
        <v>344</v>
      </c>
      <c r="B310" t="s">
        <v>36</v>
      </c>
      <c r="C310">
        <v>7</v>
      </c>
      <c r="D310" t="s">
        <v>15</v>
      </c>
      <c r="E310">
        <v>94</v>
      </c>
      <c r="F310" s="1">
        <f>Clients_Churn[[#This Row],[Duree_Cumulee_Panne_Min]]/1440</f>
        <v>6.5277777777777782E-2</v>
      </c>
      <c r="G310">
        <v>68.38</v>
      </c>
      <c r="H310">
        <v>3</v>
      </c>
    </row>
    <row r="311" spans="1:8" x14ac:dyDescent="0.25">
      <c r="A311" t="s">
        <v>345</v>
      </c>
      <c r="B311" t="s">
        <v>74</v>
      </c>
      <c r="C311">
        <v>47</v>
      </c>
      <c r="D311" t="s">
        <v>21</v>
      </c>
      <c r="E311">
        <v>49</v>
      </c>
      <c r="F311" s="1">
        <f>Clients_Churn[[#This Row],[Duree_Cumulee_Panne_Min]]/1440</f>
        <v>3.4027777777777775E-2</v>
      </c>
      <c r="G311">
        <v>55.88</v>
      </c>
      <c r="H311">
        <v>3</v>
      </c>
    </row>
    <row r="312" spans="1:8" x14ac:dyDescent="0.25">
      <c r="A312" t="s">
        <v>346</v>
      </c>
      <c r="B312" t="s">
        <v>34</v>
      </c>
      <c r="C312">
        <v>54</v>
      </c>
      <c r="D312" t="s">
        <v>15</v>
      </c>
      <c r="E312">
        <v>215</v>
      </c>
      <c r="F312" s="1">
        <f>Clients_Churn[[#This Row],[Duree_Cumulee_Panne_Min]]/1440</f>
        <v>0.14930555555555555</v>
      </c>
      <c r="G312">
        <v>54.69</v>
      </c>
      <c r="H312">
        <v>0</v>
      </c>
    </row>
    <row r="313" spans="1:8" x14ac:dyDescent="0.25">
      <c r="A313" t="s">
        <v>347</v>
      </c>
      <c r="B313" t="s">
        <v>14</v>
      </c>
      <c r="C313">
        <v>80</v>
      </c>
      <c r="D313" t="s">
        <v>12</v>
      </c>
      <c r="E313">
        <v>458</v>
      </c>
      <c r="F313" s="1">
        <f>Clients_Churn[[#This Row],[Duree_Cumulee_Panne_Min]]/1440</f>
        <v>0.31805555555555554</v>
      </c>
      <c r="G313">
        <v>98.11</v>
      </c>
      <c r="H313">
        <v>0</v>
      </c>
    </row>
    <row r="314" spans="1:8" x14ac:dyDescent="0.25">
      <c r="A314" t="s">
        <v>348</v>
      </c>
      <c r="B314" t="s">
        <v>36</v>
      </c>
      <c r="C314">
        <v>115</v>
      </c>
      <c r="D314" t="s">
        <v>15</v>
      </c>
      <c r="E314">
        <v>467</v>
      </c>
      <c r="F314" s="1">
        <f>Clients_Churn[[#This Row],[Duree_Cumulee_Panne_Min]]/1440</f>
        <v>0.32430555555555557</v>
      </c>
      <c r="G314">
        <v>24.57</v>
      </c>
      <c r="H314">
        <v>3</v>
      </c>
    </row>
    <row r="315" spans="1:8" x14ac:dyDescent="0.25">
      <c r="A315" t="s">
        <v>349</v>
      </c>
      <c r="B315" t="s">
        <v>34</v>
      </c>
      <c r="C315">
        <v>104</v>
      </c>
      <c r="D315" t="s">
        <v>15</v>
      </c>
      <c r="E315">
        <v>50</v>
      </c>
      <c r="F315" s="1">
        <f>Clients_Churn[[#This Row],[Duree_Cumulee_Panne_Min]]/1440</f>
        <v>3.4722222222222224E-2</v>
      </c>
      <c r="G315">
        <v>90.99</v>
      </c>
      <c r="H315">
        <v>4</v>
      </c>
    </row>
    <row r="316" spans="1:8" x14ac:dyDescent="0.25">
      <c r="A316" t="s">
        <v>350</v>
      </c>
      <c r="B316" t="s">
        <v>24</v>
      </c>
      <c r="C316">
        <v>103</v>
      </c>
      <c r="D316" t="s">
        <v>21</v>
      </c>
      <c r="E316">
        <v>310</v>
      </c>
      <c r="F316" s="1">
        <f>Clients_Churn[[#This Row],[Duree_Cumulee_Panne_Min]]/1440</f>
        <v>0.21527777777777779</v>
      </c>
      <c r="G316">
        <v>49.25</v>
      </c>
      <c r="H316">
        <v>2</v>
      </c>
    </row>
    <row r="317" spans="1:8" x14ac:dyDescent="0.25">
      <c r="A317" t="s">
        <v>351</v>
      </c>
      <c r="B317" t="s">
        <v>48</v>
      </c>
      <c r="C317">
        <v>32</v>
      </c>
      <c r="D317" t="s">
        <v>12</v>
      </c>
      <c r="E317">
        <v>4</v>
      </c>
      <c r="F317" s="1">
        <f>Clients_Churn[[#This Row],[Duree_Cumulee_Panne_Min]]/1440</f>
        <v>2.7777777777777779E-3</v>
      </c>
      <c r="G317">
        <v>39</v>
      </c>
      <c r="H317">
        <v>0</v>
      </c>
    </row>
    <row r="318" spans="1:8" x14ac:dyDescent="0.25">
      <c r="A318" t="s">
        <v>352</v>
      </c>
      <c r="B318" t="s">
        <v>46</v>
      </c>
      <c r="C318">
        <v>54</v>
      </c>
      <c r="D318" t="s">
        <v>9</v>
      </c>
      <c r="E318">
        <v>450</v>
      </c>
      <c r="F318" s="1">
        <f>Clients_Churn[[#This Row],[Duree_Cumulee_Panne_Min]]/1440</f>
        <v>0.3125</v>
      </c>
      <c r="G318">
        <v>90.85</v>
      </c>
      <c r="H318">
        <v>1</v>
      </c>
    </row>
    <row r="319" spans="1:8" x14ac:dyDescent="0.25">
      <c r="A319" t="s">
        <v>353</v>
      </c>
      <c r="B319" t="s">
        <v>26</v>
      </c>
      <c r="C319">
        <v>63</v>
      </c>
      <c r="D319" t="s">
        <v>12</v>
      </c>
      <c r="E319">
        <v>205</v>
      </c>
      <c r="F319" s="1">
        <f>Clients_Churn[[#This Row],[Duree_Cumulee_Panne_Min]]/1440</f>
        <v>0.1423611111111111</v>
      </c>
      <c r="G319">
        <v>89.19</v>
      </c>
      <c r="H319">
        <v>0</v>
      </c>
    </row>
    <row r="320" spans="1:8" x14ac:dyDescent="0.25">
      <c r="A320" t="s">
        <v>354</v>
      </c>
      <c r="B320" t="s">
        <v>46</v>
      </c>
      <c r="C320">
        <v>16</v>
      </c>
      <c r="D320" t="s">
        <v>21</v>
      </c>
      <c r="E320">
        <v>274</v>
      </c>
      <c r="F320" s="1">
        <f>Clients_Churn[[#This Row],[Duree_Cumulee_Panne_Min]]/1440</f>
        <v>0.19027777777777777</v>
      </c>
      <c r="G320">
        <v>27.97</v>
      </c>
      <c r="H320">
        <v>4</v>
      </c>
    </row>
    <row r="321" spans="1:8" x14ac:dyDescent="0.25">
      <c r="A321" t="s">
        <v>355</v>
      </c>
      <c r="B321" t="s">
        <v>158</v>
      </c>
      <c r="C321">
        <v>95</v>
      </c>
      <c r="D321" t="s">
        <v>21</v>
      </c>
      <c r="E321">
        <v>313</v>
      </c>
      <c r="F321" s="1">
        <f>Clients_Churn[[#This Row],[Duree_Cumulee_Panne_Min]]/1440</f>
        <v>0.21736111111111112</v>
      </c>
      <c r="G321">
        <v>32.49</v>
      </c>
      <c r="H321">
        <v>1</v>
      </c>
    </row>
    <row r="322" spans="1:8" x14ac:dyDescent="0.25">
      <c r="A322" t="s">
        <v>356</v>
      </c>
      <c r="B322" t="s">
        <v>8</v>
      </c>
      <c r="C322">
        <v>48</v>
      </c>
      <c r="D322" t="s">
        <v>12</v>
      </c>
      <c r="E322">
        <v>76</v>
      </c>
      <c r="F322" s="1">
        <f>Clients_Churn[[#This Row],[Duree_Cumulee_Panne_Min]]/1440</f>
        <v>5.2777777777777778E-2</v>
      </c>
      <c r="G322">
        <v>39.35</v>
      </c>
      <c r="H322">
        <v>2</v>
      </c>
    </row>
    <row r="323" spans="1:8" x14ac:dyDescent="0.25">
      <c r="A323" t="s">
        <v>357</v>
      </c>
      <c r="B323" t="s">
        <v>46</v>
      </c>
      <c r="C323">
        <v>83</v>
      </c>
      <c r="D323" t="s">
        <v>9</v>
      </c>
      <c r="E323">
        <v>126</v>
      </c>
      <c r="F323" s="1">
        <f>Clients_Churn[[#This Row],[Duree_Cumulee_Panne_Min]]/1440</f>
        <v>8.7499999999999994E-2</v>
      </c>
      <c r="G323">
        <v>67.17</v>
      </c>
      <c r="H323">
        <v>1</v>
      </c>
    </row>
    <row r="324" spans="1:8" x14ac:dyDescent="0.25">
      <c r="A324" t="s">
        <v>358</v>
      </c>
      <c r="B324" t="s">
        <v>14</v>
      </c>
      <c r="C324">
        <v>96</v>
      </c>
      <c r="D324" t="s">
        <v>15</v>
      </c>
      <c r="E324">
        <v>155</v>
      </c>
      <c r="F324" s="1">
        <f>Clients_Churn[[#This Row],[Duree_Cumulee_Panne_Min]]/1440</f>
        <v>0.1076388888888889</v>
      </c>
      <c r="G324">
        <v>69.16</v>
      </c>
      <c r="H324">
        <v>4</v>
      </c>
    </row>
    <row r="325" spans="1:8" x14ac:dyDescent="0.25">
      <c r="A325" t="s">
        <v>359</v>
      </c>
      <c r="B325" t="s">
        <v>34</v>
      </c>
      <c r="C325">
        <v>13</v>
      </c>
      <c r="D325" t="s">
        <v>15</v>
      </c>
      <c r="E325">
        <v>482</v>
      </c>
      <c r="F325" s="1">
        <f>Clients_Churn[[#This Row],[Duree_Cumulee_Panne_Min]]/1440</f>
        <v>0.3347222222222222</v>
      </c>
      <c r="G325">
        <v>50.15</v>
      </c>
      <c r="H325">
        <v>0</v>
      </c>
    </row>
    <row r="326" spans="1:8" x14ac:dyDescent="0.25">
      <c r="A326" t="s">
        <v>360</v>
      </c>
      <c r="B326" t="s">
        <v>26</v>
      </c>
      <c r="C326">
        <v>4</v>
      </c>
      <c r="D326" t="s">
        <v>9</v>
      </c>
      <c r="E326">
        <v>227</v>
      </c>
      <c r="F326" s="1">
        <f>Clients_Churn[[#This Row],[Duree_Cumulee_Panne_Min]]/1440</f>
        <v>0.15763888888888888</v>
      </c>
      <c r="G326">
        <v>83.32</v>
      </c>
      <c r="H326">
        <v>2</v>
      </c>
    </row>
    <row r="327" spans="1:8" x14ac:dyDescent="0.25">
      <c r="A327" t="s">
        <v>361</v>
      </c>
      <c r="B327" t="s">
        <v>42</v>
      </c>
      <c r="C327">
        <v>49</v>
      </c>
      <c r="D327" t="s">
        <v>15</v>
      </c>
      <c r="E327">
        <v>6</v>
      </c>
      <c r="F327" s="1">
        <f>Clients_Churn[[#This Row],[Duree_Cumulee_Panne_Min]]/1440</f>
        <v>4.1666666666666666E-3</v>
      </c>
      <c r="G327">
        <v>44.41</v>
      </c>
      <c r="H327">
        <v>3</v>
      </c>
    </row>
    <row r="328" spans="1:8" x14ac:dyDescent="0.25">
      <c r="A328" t="s">
        <v>362</v>
      </c>
      <c r="B328" t="s">
        <v>32</v>
      </c>
      <c r="C328">
        <v>37</v>
      </c>
      <c r="D328" t="s">
        <v>21</v>
      </c>
      <c r="E328">
        <v>420</v>
      </c>
      <c r="F328" s="1">
        <f>Clients_Churn[[#This Row],[Duree_Cumulee_Panne_Min]]/1440</f>
        <v>0.29166666666666669</v>
      </c>
      <c r="G328">
        <v>67.260000000000005</v>
      </c>
      <c r="H328">
        <v>4</v>
      </c>
    </row>
    <row r="329" spans="1:8" x14ac:dyDescent="0.25">
      <c r="A329" t="s">
        <v>363</v>
      </c>
      <c r="B329" t="s">
        <v>24</v>
      </c>
      <c r="C329">
        <v>88</v>
      </c>
      <c r="D329" t="s">
        <v>9</v>
      </c>
      <c r="E329">
        <v>246</v>
      </c>
      <c r="F329" s="1">
        <f>Clients_Churn[[#This Row],[Duree_Cumulee_Panne_Min]]/1440</f>
        <v>0.17083333333333334</v>
      </c>
      <c r="G329">
        <v>90.7</v>
      </c>
      <c r="H329">
        <v>3</v>
      </c>
    </row>
    <row r="330" spans="1:8" x14ac:dyDescent="0.25">
      <c r="A330" t="s">
        <v>364</v>
      </c>
      <c r="B330" t="s">
        <v>71</v>
      </c>
      <c r="C330">
        <v>26</v>
      </c>
      <c r="D330" t="s">
        <v>9</v>
      </c>
      <c r="E330">
        <v>413</v>
      </c>
      <c r="F330" s="1">
        <f>Clients_Churn[[#This Row],[Duree_Cumulee_Panne_Min]]/1440</f>
        <v>0.28680555555555554</v>
      </c>
      <c r="G330">
        <v>10.9</v>
      </c>
      <c r="H330">
        <v>5</v>
      </c>
    </row>
    <row r="331" spans="1:8" x14ac:dyDescent="0.25">
      <c r="A331" t="s">
        <v>365</v>
      </c>
      <c r="B331" t="s">
        <v>46</v>
      </c>
      <c r="C331">
        <v>86</v>
      </c>
      <c r="D331" t="s">
        <v>12</v>
      </c>
      <c r="E331">
        <v>353</v>
      </c>
      <c r="F331" s="1">
        <f>Clients_Churn[[#This Row],[Duree_Cumulee_Panne_Min]]/1440</f>
        <v>0.24513888888888888</v>
      </c>
      <c r="G331">
        <v>25.37</v>
      </c>
      <c r="H331">
        <v>1</v>
      </c>
    </row>
    <row r="332" spans="1:8" x14ac:dyDescent="0.25">
      <c r="A332" t="s">
        <v>366</v>
      </c>
      <c r="B332" t="s">
        <v>30</v>
      </c>
      <c r="C332">
        <v>101</v>
      </c>
      <c r="D332" t="s">
        <v>12</v>
      </c>
      <c r="E332">
        <v>108</v>
      </c>
      <c r="F332" s="1">
        <f>Clients_Churn[[#This Row],[Duree_Cumulee_Panne_Min]]/1440</f>
        <v>7.4999999999999997E-2</v>
      </c>
      <c r="G332">
        <v>76.05</v>
      </c>
      <c r="H332">
        <v>3</v>
      </c>
    </row>
    <row r="333" spans="1:8" x14ac:dyDescent="0.25">
      <c r="A333" t="s">
        <v>367</v>
      </c>
      <c r="B333" t="s">
        <v>71</v>
      </c>
      <c r="C333">
        <v>105</v>
      </c>
      <c r="D333" t="s">
        <v>21</v>
      </c>
      <c r="E333">
        <v>17</v>
      </c>
      <c r="F333" s="1">
        <f>Clients_Churn[[#This Row],[Duree_Cumulee_Panne_Min]]/1440</f>
        <v>1.1805555555555555E-2</v>
      </c>
      <c r="G333">
        <v>60.05</v>
      </c>
      <c r="H333">
        <v>4</v>
      </c>
    </row>
    <row r="334" spans="1:8" x14ac:dyDescent="0.25">
      <c r="A334" t="s">
        <v>368</v>
      </c>
      <c r="B334" t="s">
        <v>64</v>
      </c>
      <c r="C334">
        <v>61</v>
      </c>
      <c r="D334" t="s">
        <v>15</v>
      </c>
      <c r="E334">
        <v>87</v>
      </c>
      <c r="F334" s="1">
        <f>Clients_Churn[[#This Row],[Duree_Cumulee_Panne_Min]]/1440</f>
        <v>6.0416666666666667E-2</v>
      </c>
      <c r="G334">
        <v>68.319999999999993</v>
      </c>
      <c r="H334">
        <v>2</v>
      </c>
    </row>
    <row r="335" spans="1:8" x14ac:dyDescent="0.25">
      <c r="A335" t="s">
        <v>369</v>
      </c>
      <c r="B335" t="s">
        <v>67</v>
      </c>
      <c r="C335">
        <v>94</v>
      </c>
      <c r="D335" t="s">
        <v>15</v>
      </c>
      <c r="E335">
        <v>6</v>
      </c>
      <c r="F335" s="1">
        <f>Clients_Churn[[#This Row],[Duree_Cumulee_Panne_Min]]/1440</f>
        <v>4.1666666666666666E-3</v>
      </c>
      <c r="G335">
        <v>67.459999999999994</v>
      </c>
      <c r="H335">
        <v>5</v>
      </c>
    </row>
    <row r="336" spans="1:8" x14ac:dyDescent="0.25">
      <c r="A336" t="s">
        <v>370</v>
      </c>
      <c r="B336" t="s">
        <v>50</v>
      </c>
      <c r="C336">
        <v>6</v>
      </c>
      <c r="D336" t="s">
        <v>12</v>
      </c>
      <c r="E336">
        <v>109</v>
      </c>
      <c r="F336" s="1">
        <f>Clients_Churn[[#This Row],[Duree_Cumulee_Panne_Min]]/1440</f>
        <v>7.5694444444444439E-2</v>
      </c>
      <c r="G336">
        <v>39.880000000000003</v>
      </c>
      <c r="H336">
        <v>4</v>
      </c>
    </row>
    <row r="337" spans="1:8" x14ac:dyDescent="0.25">
      <c r="A337" t="s">
        <v>371</v>
      </c>
      <c r="B337" t="s">
        <v>99</v>
      </c>
      <c r="C337">
        <v>62</v>
      </c>
      <c r="D337" t="s">
        <v>15</v>
      </c>
      <c r="E337">
        <v>136</v>
      </c>
      <c r="F337" s="1">
        <f>Clients_Churn[[#This Row],[Duree_Cumulee_Panne_Min]]/1440</f>
        <v>9.4444444444444442E-2</v>
      </c>
      <c r="G337">
        <v>88.61</v>
      </c>
      <c r="H337">
        <v>2</v>
      </c>
    </row>
    <row r="338" spans="1:8" x14ac:dyDescent="0.25">
      <c r="A338" t="s">
        <v>372</v>
      </c>
      <c r="B338" t="s">
        <v>107</v>
      </c>
      <c r="C338">
        <v>34</v>
      </c>
      <c r="D338" t="s">
        <v>15</v>
      </c>
      <c r="E338">
        <v>181</v>
      </c>
      <c r="F338" s="1">
        <f>Clients_Churn[[#This Row],[Duree_Cumulee_Panne_Min]]/1440</f>
        <v>0.12569444444444444</v>
      </c>
      <c r="G338">
        <v>35.92</v>
      </c>
      <c r="H338">
        <v>2</v>
      </c>
    </row>
    <row r="339" spans="1:8" x14ac:dyDescent="0.25">
      <c r="A339" t="s">
        <v>373</v>
      </c>
      <c r="B339" t="s">
        <v>14</v>
      </c>
      <c r="C339">
        <v>99</v>
      </c>
      <c r="D339" t="s">
        <v>12</v>
      </c>
      <c r="E339">
        <v>138</v>
      </c>
      <c r="F339" s="1">
        <f>Clients_Churn[[#This Row],[Duree_Cumulee_Panne_Min]]/1440</f>
        <v>9.583333333333334E-2</v>
      </c>
      <c r="G339">
        <v>54.64</v>
      </c>
      <c r="H339">
        <v>5</v>
      </c>
    </row>
    <row r="340" spans="1:8" x14ac:dyDescent="0.25">
      <c r="A340" t="s">
        <v>374</v>
      </c>
      <c r="B340" t="s">
        <v>64</v>
      </c>
      <c r="C340">
        <v>59</v>
      </c>
      <c r="D340" t="s">
        <v>21</v>
      </c>
      <c r="E340">
        <v>352</v>
      </c>
      <c r="F340" s="1">
        <f>Clients_Churn[[#This Row],[Duree_Cumulee_Panne_Min]]/1440</f>
        <v>0.24444444444444444</v>
      </c>
      <c r="G340">
        <v>74.239999999999995</v>
      </c>
      <c r="H340">
        <v>0</v>
      </c>
    </row>
    <row r="341" spans="1:8" x14ac:dyDescent="0.25">
      <c r="A341" t="s">
        <v>375</v>
      </c>
      <c r="B341" t="s">
        <v>11</v>
      </c>
      <c r="C341">
        <v>19</v>
      </c>
      <c r="D341" t="s">
        <v>9</v>
      </c>
      <c r="E341">
        <v>71</v>
      </c>
      <c r="F341" s="1">
        <f>Clients_Churn[[#This Row],[Duree_Cumulee_Panne_Min]]/1440</f>
        <v>4.9305555555555554E-2</v>
      </c>
      <c r="G341">
        <v>68.2</v>
      </c>
      <c r="H341">
        <v>0</v>
      </c>
    </row>
    <row r="342" spans="1:8" x14ac:dyDescent="0.25">
      <c r="A342" t="s">
        <v>376</v>
      </c>
      <c r="B342" t="s">
        <v>61</v>
      </c>
      <c r="C342">
        <v>56</v>
      </c>
      <c r="D342" t="s">
        <v>12</v>
      </c>
      <c r="E342">
        <v>55</v>
      </c>
      <c r="F342" s="1">
        <f>Clients_Churn[[#This Row],[Duree_Cumulee_Panne_Min]]/1440</f>
        <v>3.8194444444444448E-2</v>
      </c>
      <c r="G342">
        <v>82.56</v>
      </c>
      <c r="H342">
        <v>2</v>
      </c>
    </row>
    <row r="343" spans="1:8" x14ac:dyDescent="0.25">
      <c r="A343" t="s">
        <v>377</v>
      </c>
      <c r="B343" t="s">
        <v>8</v>
      </c>
      <c r="C343">
        <v>94</v>
      </c>
      <c r="D343" t="s">
        <v>12</v>
      </c>
      <c r="E343">
        <v>247</v>
      </c>
      <c r="F343" s="1">
        <f>Clients_Churn[[#This Row],[Duree_Cumulee_Panne_Min]]/1440</f>
        <v>0.17152777777777778</v>
      </c>
      <c r="G343">
        <v>96.57</v>
      </c>
      <c r="H343">
        <v>0</v>
      </c>
    </row>
    <row r="344" spans="1:8" x14ac:dyDescent="0.25">
      <c r="A344" t="s">
        <v>378</v>
      </c>
      <c r="B344" t="s">
        <v>99</v>
      </c>
      <c r="C344">
        <v>14</v>
      </c>
      <c r="D344" t="s">
        <v>12</v>
      </c>
      <c r="E344">
        <v>236</v>
      </c>
      <c r="F344" s="1">
        <f>Clients_Churn[[#This Row],[Duree_Cumulee_Panne_Min]]/1440</f>
        <v>0.16388888888888889</v>
      </c>
      <c r="G344">
        <v>54.43</v>
      </c>
      <c r="H344">
        <v>3</v>
      </c>
    </row>
    <row r="345" spans="1:8" x14ac:dyDescent="0.25">
      <c r="A345" t="s">
        <v>379</v>
      </c>
      <c r="B345" t="s">
        <v>99</v>
      </c>
      <c r="C345">
        <v>63</v>
      </c>
      <c r="D345" t="s">
        <v>12</v>
      </c>
      <c r="E345">
        <v>121</v>
      </c>
      <c r="F345" s="1">
        <f>Clients_Churn[[#This Row],[Duree_Cumulee_Panne_Min]]/1440</f>
        <v>8.4027777777777785E-2</v>
      </c>
      <c r="G345">
        <v>39.18</v>
      </c>
      <c r="H345">
        <v>2</v>
      </c>
    </row>
    <row r="346" spans="1:8" x14ac:dyDescent="0.25">
      <c r="A346" t="s">
        <v>380</v>
      </c>
      <c r="B346" t="s">
        <v>32</v>
      </c>
      <c r="C346">
        <v>111</v>
      </c>
      <c r="D346" t="s">
        <v>9</v>
      </c>
      <c r="E346">
        <v>194</v>
      </c>
      <c r="F346" s="1">
        <f>Clients_Churn[[#This Row],[Duree_Cumulee_Panne_Min]]/1440</f>
        <v>0.13472222222222222</v>
      </c>
      <c r="G346">
        <v>48.55</v>
      </c>
      <c r="H346">
        <v>2</v>
      </c>
    </row>
    <row r="347" spans="1:8" x14ac:dyDescent="0.25">
      <c r="A347" t="s">
        <v>381</v>
      </c>
      <c r="B347" t="s">
        <v>11</v>
      </c>
      <c r="C347">
        <v>25</v>
      </c>
      <c r="D347" t="s">
        <v>12</v>
      </c>
      <c r="E347">
        <v>66</v>
      </c>
      <c r="F347" s="1">
        <f>Clients_Churn[[#This Row],[Duree_Cumulee_Panne_Min]]/1440</f>
        <v>4.583333333333333E-2</v>
      </c>
      <c r="G347">
        <v>90.14</v>
      </c>
      <c r="H347">
        <v>5</v>
      </c>
    </row>
    <row r="348" spans="1:8" x14ac:dyDescent="0.25">
      <c r="A348" t="s">
        <v>382</v>
      </c>
      <c r="B348" t="s">
        <v>74</v>
      </c>
      <c r="C348">
        <v>37</v>
      </c>
      <c r="D348" t="s">
        <v>12</v>
      </c>
      <c r="E348">
        <v>88</v>
      </c>
      <c r="F348" s="1">
        <f>Clients_Churn[[#This Row],[Duree_Cumulee_Panne_Min]]/1440</f>
        <v>6.1111111111111109E-2</v>
      </c>
      <c r="G348">
        <v>77.77</v>
      </c>
      <c r="H348">
        <v>1</v>
      </c>
    </row>
    <row r="349" spans="1:8" x14ac:dyDescent="0.25">
      <c r="A349" t="s">
        <v>383</v>
      </c>
      <c r="B349" t="s">
        <v>24</v>
      </c>
      <c r="C349">
        <v>29</v>
      </c>
      <c r="D349" t="s">
        <v>9</v>
      </c>
      <c r="E349">
        <v>306</v>
      </c>
      <c r="F349" s="1">
        <f>Clients_Churn[[#This Row],[Duree_Cumulee_Panne_Min]]/1440</f>
        <v>0.21249999999999999</v>
      </c>
      <c r="G349">
        <v>82.16</v>
      </c>
      <c r="H349">
        <v>1</v>
      </c>
    </row>
    <row r="350" spans="1:8" x14ac:dyDescent="0.25">
      <c r="A350" t="s">
        <v>384</v>
      </c>
      <c r="B350" t="s">
        <v>36</v>
      </c>
      <c r="C350">
        <v>13</v>
      </c>
      <c r="D350" t="s">
        <v>12</v>
      </c>
      <c r="E350">
        <v>87</v>
      </c>
      <c r="F350" s="1">
        <f>Clients_Churn[[#This Row],[Duree_Cumulee_Panne_Min]]/1440</f>
        <v>6.0416666666666667E-2</v>
      </c>
      <c r="G350">
        <v>66.36</v>
      </c>
      <c r="H350">
        <v>0</v>
      </c>
    </row>
    <row r="351" spans="1:8" x14ac:dyDescent="0.25">
      <c r="A351" t="s">
        <v>385</v>
      </c>
      <c r="B351" t="s">
        <v>30</v>
      </c>
      <c r="C351">
        <v>27</v>
      </c>
      <c r="D351" t="s">
        <v>21</v>
      </c>
      <c r="E351">
        <v>369</v>
      </c>
      <c r="F351" s="1">
        <f>Clients_Churn[[#This Row],[Duree_Cumulee_Panne_Min]]/1440</f>
        <v>0.25624999999999998</v>
      </c>
      <c r="G351">
        <v>19.78</v>
      </c>
      <c r="H351">
        <v>1</v>
      </c>
    </row>
    <row r="352" spans="1:8" x14ac:dyDescent="0.25">
      <c r="A352" t="s">
        <v>386</v>
      </c>
      <c r="B352" t="s">
        <v>42</v>
      </c>
      <c r="C352">
        <v>110</v>
      </c>
      <c r="D352" t="s">
        <v>21</v>
      </c>
      <c r="E352">
        <v>289</v>
      </c>
      <c r="F352" s="1">
        <f>Clients_Churn[[#This Row],[Duree_Cumulee_Panne_Min]]/1440</f>
        <v>0.20069444444444445</v>
      </c>
      <c r="G352">
        <v>83.67</v>
      </c>
      <c r="H352">
        <v>4</v>
      </c>
    </row>
    <row r="353" spans="1:8" x14ac:dyDescent="0.25">
      <c r="A353" t="s">
        <v>387</v>
      </c>
      <c r="B353" t="s">
        <v>17</v>
      </c>
      <c r="C353">
        <v>82</v>
      </c>
      <c r="D353" t="s">
        <v>12</v>
      </c>
      <c r="E353">
        <v>312</v>
      </c>
      <c r="F353" s="1">
        <f>Clients_Churn[[#This Row],[Duree_Cumulee_Panne_Min]]/1440</f>
        <v>0.21666666666666667</v>
      </c>
      <c r="G353">
        <v>40.880000000000003</v>
      </c>
      <c r="H353">
        <v>0</v>
      </c>
    </row>
    <row r="354" spans="1:8" x14ac:dyDescent="0.25">
      <c r="A354" t="s">
        <v>388</v>
      </c>
      <c r="B354" t="s">
        <v>74</v>
      </c>
      <c r="C354">
        <v>1</v>
      </c>
      <c r="D354" t="s">
        <v>12</v>
      </c>
      <c r="E354">
        <v>424</v>
      </c>
      <c r="F354" s="1">
        <f>Clients_Churn[[#This Row],[Duree_Cumulee_Panne_Min]]/1440</f>
        <v>0.29444444444444445</v>
      </c>
      <c r="G354">
        <v>59.2</v>
      </c>
      <c r="H354">
        <v>2</v>
      </c>
    </row>
    <row r="355" spans="1:8" x14ac:dyDescent="0.25">
      <c r="A355" t="s">
        <v>389</v>
      </c>
      <c r="B355" t="s">
        <v>40</v>
      </c>
      <c r="C355">
        <v>72</v>
      </c>
      <c r="D355" t="s">
        <v>21</v>
      </c>
      <c r="E355">
        <v>5</v>
      </c>
      <c r="F355" s="1">
        <f>Clients_Churn[[#This Row],[Duree_Cumulee_Panne_Min]]/1440</f>
        <v>3.472222222222222E-3</v>
      </c>
      <c r="G355">
        <v>68.650000000000006</v>
      </c>
      <c r="H355">
        <v>0</v>
      </c>
    </row>
    <row r="356" spans="1:8" x14ac:dyDescent="0.25">
      <c r="A356" t="s">
        <v>390</v>
      </c>
      <c r="B356" t="s">
        <v>99</v>
      </c>
      <c r="C356">
        <v>7</v>
      </c>
      <c r="D356" t="s">
        <v>21</v>
      </c>
      <c r="E356">
        <v>317</v>
      </c>
      <c r="F356" s="1">
        <f>Clients_Churn[[#This Row],[Duree_Cumulee_Panne_Min]]/1440</f>
        <v>0.22013888888888888</v>
      </c>
      <c r="G356">
        <v>97.32</v>
      </c>
      <c r="H356">
        <v>1</v>
      </c>
    </row>
    <row r="357" spans="1:8" x14ac:dyDescent="0.25">
      <c r="A357" t="s">
        <v>391</v>
      </c>
      <c r="B357" t="s">
        <v>42</v>
      </c>
      <c r="C357">
        <v>65</v>
      </c>
      <c r="D357" t="s">
        <v>12</v>
      </c>
      <c r="E357">
        <v>274</v>
      </c>
      <c r="F357" s="1">
        <f>Clients_Churn[[#This Row],[Duree_Cumulee_Panne_Min]]/1440</f>
        <v>0.19027777777777777</v>
      </c>
      <c r="G357">
        <v>88.1</v>
      </c>
      <c r="H357">
        <v>4</v>
      </c>
    </row>
    <row r="358" spans="1:8" x14ac:dyDescent="0.25">
      <c r="A358" t="s">
        <v>392</v>
      </c>
      <c r="B358" t="s">
        <v>11</v>
      </c>
      <c r="C358">
        <v>16</v>
      </c>
      <c r="D358" t="s">
        <v>21</v>
      </c>
      <c r="E358">
        <v>96</v>
      </c>
      <c r="F358" s="1">
        <f>Clients_Churn[[#This Row],[Duree_Cumulee_Panne_Min]]/1440</f>
        <v>6.6666666666666666E-2</v>
      </c>
      <c r="G358">
        <v>86.78</v>
      </c>
      <c r="H358">
        <v>1</v>
      </c>
    </row>
    <row r="359" spans="1:8" x14ac:dyDescent="0.25">
      <c r="A359" t="s">
        <v>393</v>
      </c>
      <c r="B359" t="s">
        <v>26</v>
      </c>
      <c r="C359">
        <v>74</v>
      </c>
      <c r="D359" t="s">
        <v>9</v>
      </c>
      <c r="E359">
        <v>265</v>
      </c>
      <c r="F359" s="1">
        <f>Clients_Churn[[#This Row],[Duree_Cumulee_Panne_Min]]/1440</f>
        <v>0.18402777777777779</v>
      </c>
      <c r="G359">
        <v>90.81</v>
      </c>
      <c r="H359">
        <v>3</v>
      </c>
    </row>
    <row r="360" spans="1:8" x14ac:dyDescent="0.25">
      <c r="A360" t="s">
        <v>394</v>
      </c>
      <c r="B360" t="s">
        <v>158</v>
      </c>
      <c r="C360">
        <v>106</v>
      </c>
      <c r="D360" t="s">
        <v>15</v>
      </c>
      <c r="E360">
        <v>128</v>
      </c>
      <c r="F360" s="1">
        <f>Clients_Churn[[#This Row],[Duree_Cumulee_Panne_Min]]/1440</f>
        <v>8.8888888888888892E-2</v>
      </c>
      <c r="G360">
        <v>35.96</v>
      </c>
      <c r="H360">
        <v>2</v>
      </c>
    </row>
    <row r="361" spans="1:8" x14ac:dyDescent="0.25">
      <c r="A361" t="s">
        <v>395</v>
      </c>
      <c r="B361" t="s">
        <v>64</v>
      </c>
      <c r="C361">
        <v>50</v>
      </c>
      <c r="D361" t="s">
        <v>15</v>
      </c>
      <c r="E361">
        <v>357</v>
      </c>
      <c r="F361" s="1">
        <f>Clients_Churn[[#This Row],[Duree_Cumulee_Panne_Min]]/1440</f>
        <v>0.24791666666666667</v>
      </c>
      <c r="G361">
        <v>17</v>
      </c>
      <c r="H361">
        <v>3</v>
      </c>
    </row>
    <row r="362" spans="1:8" x14ac:dyDescent="0.25">
      <c r="A362" t="s">
        <v>396</v>
      </c>
      <c r="B362" t="s">
        <v>44</v>
      </c>
      <c r="C362">
        <v>37</v>
      </c>
      <c r="D362" t="s">
        <v>15</v>
      </c>
      <c r="E362">
        <v>3</v>
      </c>
      <c r="F362" s="1">
        <f>Clients_Churn[[#This Row],[Duree_Cumulee_Panne_Min]]/1440</f>
        <v>2.0833333333333333E-3</v>
      </c>
      <c r="G362">
        <v>20.89</v>
      </c>
      <c r="H362">
        <v>5</v>
      </c>
    </row>
    <row r="363" spans="1:8" x14ac:dyDescent="0.25">
      <c r="A363" t="s">
        <v>397</v>
      </c>
      <c r="B363" t="s">
        <v>8</v>
      </c>
      <c r="C363">
        <v>71</v>
      </c>
      <c r="D363" t="s">
        <v>15</v>
      </c>
      <c r="E363">
        <v>68</v>
      </c>
      <c r="F363" s="1">
        <f>Clients_Churn[[#This Row],[Duree_Cumulee_Panne_Min]]/1440</f>
        <v>4.7222222222222221E-2</v>
      </c>
      <c r="G363">
        <v>53.11</v>
      </c>
      <c r="H363">
        <v>2</v>
      </c>
    </row>
    <row r="364" spans="1:8" x14ac:dyDescent="0.25">
      <c r="A364" t="s">
        <v>398</v>
      </c>
      <c r="B364" t="s">
        <v>11</v>
      </c>
      <c r="C364">
        <v>119</v>
      </c>
      <c r="D364" t="s">
        <v>15</v>
      </c>
      <c r="E364">
        <v>228</v>
      </c>
      <c r="F364" s="1">
        <f>Clients_Churn[[#This Row],[Duree_Cumulee_Panne_Min]]/1440</f>
        <v>0.15833333333333333</v>
      </c>
      <c r="G364">
        <v>94.72</v>
      </c>
      <c r="H364">
        <v>3</v>
      </c>
    </row>
    <row r="365" spans="1:8" x14ac:dyDescent="0.25">
      <c r="A365" t="s">
        <v>399</v>
      </c>
      <c r="B365" t="s">
        <v>20</v>
      </c>
      <c r="C365">
        <v>20</v>
      </c>
      <c r="D365" t="s">
        <v>9</v>
      </c>
      <c r="E365">
        <v>297</v>
      </c>
      <c r="F365" s="1">
        <f>Clients_Churn[[#This Row],[Duree_Cumulee_Panne_Min]]/1440</f>
        <v>0.20624999999999999</v>
      </c>
      <c r="G365">
        <v>14.77</v>
      </c>
      <c r="H365">
        <v>0</v>
      </c>
    </row>
    <row r="366" spans="1:8" x14ac:dyDescent="0.25">
      <c r="A366" t="s">
        <v>400</v>
      </c>
      <c r="B366" t="s">
        <v>44</v>
      </c>
      <c r="C366">
        <v>109</v>
      </c>
      <c r="D366" t="s">
        <v>15</v>
      </c>
      <c r="E366">
        <v>104</v>
      </c>
      <c r="F366" s="1">
        <f>Clients_Churn[[#This Row],[Duree_Cumulee_Panne_Min]]/1440</f>
        <v>7.2222222222222215E-2</v>
      </c>
      <c r="G366">
        <v>12.37</v>
      </c>
      <c r="H366">
        <v>5</v>
      </c>
    </row>
    <row r="367" spans="1:8" x14ac:dyDescent="0.25">
      <c r="A367" t="s">
        <v>401</v>
      </c>
      <c r="B367" t="s">
        <v>67</v>
      </c>
      <c r="C367">
        <v>78</v>
      </c>
      <c r="D367" t="s">
        <v>21</v>
      </c>
      <c r="E367">
        <v>387</v>
      </c>
      <c r="F367" s="1">
        <f>Clients_Churn[[#This Row],[Duree_Cumulee_Panne_Min]]/1440</f>
        <v>0.26874999999999999</v>
      </c>
      <c r="G367">
        <v>11.63</v>
      </c>
      <c r="H367">
        <v>2</v>
      </c>
    </row>
    <row r="368" spans="1:8" x14ac:dyDescent="0.25">
      <c r="A368" t="s">
        <v>402</v>
      </c>
      <c r="B368" t="s">
        <v>64</v>
      </c>
      <c r="C368">
        <v>11</v>
      </c>
      <c r="D368" t="s">
        <v>12</v>
      </c>
      <c r="E368">
        <v>214</v>
      </c>
      <c r="F368" s="1">
        <f>Clients_Churn[[#This Row],[Duree_Cumulee_Panne_Min]]/1440</f>
        <v>0.14861111111111111</v>
      </c>
      <c r="G368">
        <v>11.46</v>
      </c>
      <c r="H368">
        <v>5</v>
      </c>
    </row>
    <row r="369" spans="1:8" x14ac:dyDescent="0.25">
      <c r="A369" t="s">
        <v>403</v>
      </c>
      <c r="B369" t="s">
        <v>158</v>
      </c>
      <c r="C369">
        <v>80</v>
      </c>
      <c r="D369" t="s">
        <v>15</v>
      </c>
      <c r="E369">
        <v>155</v>
      </c>
      <c r="F369" s="1">
        <f>Clients_Churn[[#This Row],[Duree_Cumulee_Panne_Min]]/1440</f>
        <v>0.1076388888888889</v>
      </c>
      <c r="G369">
        <v>28.96</v>
      </c>
      <c r="H369">
        <v>2</v>
      </c>
    </row>
    <row r="370" spans="1:8" x14ac:dyDescent="0.25">
      <c r="A370" t="s">
        <v>404</v>
      </c>
      <c r="B370" t="s">
        <v>74</v>
      </c>
      <c r="C370">
        <v>110</v>
      </c>
      <c r="D370" t="s">
        <v>15</v>
      </c>
      <c r="E370">
        <v>47</v>
      </c>
      <c r="F370" s="1">
        <f>Clients_Churn[[#This Row],[Duree_Cumulee_Panne_Min]]/1440</f>
        <v>3.2638888888888891E-2</v>
      </c>
      <c r="G370">
        <v>29.68</v>
      </c>
      <c r="H370">
        <v>0</v>
      </c>
    </row>
    <row r="371" spans="1:8" x14ac:dyDescent="0.25">
      <c r="A371" t="s">
        <v>405</v>
      </c>
      <c r="B371" t="s">
        <v>59</v>
      </c>
      <c r="C371">
        <v>5</v>
      </c>
      <c r="D371" t="s">
        <v>9</v>
      </c>
      <c r="E371">
        <v>239</v>
      </c>
      <c r="F371" s="1">
        <f>Clients_Churn[[#This Row],[Duree_Cumulee_Panne_Min]]/1440</f>
        <v>0.16597222222222222</v>
      </c>
      <c r="G371">
        <v>26.95</v>
      </c>
      <c r="H371">
        <v>2</v>
      </c>
    </row>
    <row r="372" spans="1:8" x14ac:dyDescent="0.25">
      <c r="A372" t="s">
        <v>406</v>
      </c>
      <c r="B372" t="s">
        <v>30</v>
      </c>
      <c r="C372">
        <v>90</v>
      </c>
      <c r="D372" t="s">
        <v>9</v>
      </c>
      <c r="E372">
        <v>216</v>
      </c>
      <c r="F372" s="1">
        <f>Clients_Churn[[#This Row],[Duree_Cumulee_Panne_Min]]/1440</f>
        <v>0.15</v>
      </c>
      <c r="G372">
        <v>45.58</v>
      </c>
      <c r="H372">
        <v>0</v>
      </c>
    </row>
    <row r="373" spans="1:8" x14ac:dyDescent="0.25">
      <c r="A373" t="s">
        <v>407</v>
      </c>
      <c r="B373" t="s">
        <v>20</v>
      </c>
      <c r="C373">
        <v>105</v>
      </c>
      <c r="D373" t="s">
        <v>15</v>
      </c>
      <c r="E373">
        <v>3</v>
      </c>
      <c r="F373" s="1">
        <f>Clients_Churn[[#This Row],[Duree_Cumulee_Panne_Min]]/1440</f>
        <v>2.0833333333333333E-3</v>
      </c>
      <c r="G373">
        <v>71.010000000000005</v>
      </c>
      <c r="H373">
        <v>1</v>
      </c>
    </row>
    <row r="374" spans="1:8" x14ac:dyDescent="0.25">
      <c r="A374" t="s">
        <v>408</v>
      </c>
      <c r="B374" t="s">
        <v>64</v>
      </c>
      <c r="C374">
        <v>39</v>
      </c>
      <c r="D374" t="s">
        <v>15</v>
      </c>
      <c r="E374">
        <v>327</v>
      </c>
      <c r="F374" s="1">
        <f>Clients_Churn[[#This Row],[Duree_Cumulee_Panne_Min]]/1440</f>
        <v>0.22708333333333333</v>
      </c>
      <c r="G374">
        <v>87.24</v>
      </c>
      <c r="H374">
        <v>4</v>
      </c>
    </row>
    <row r="375" spans="1:8" x14ac:dyDescent="0.25">
      <c r="A375" t="s">
        <v>409</v>
      </c>
      <c r="B375" t="s">
        <v>46</v>
      </c>
      <c r="C375">
        <v>21</v>
      </c>
      <c r="D375" t="s">
        <v>9</v>
      </c>
      <c r="E375">
        <v>267</v>
      </c>
      <c r="F375" s="1">
        <f>Clients_Churn[[#This Row],[Duree_Cumulee_Panne_Min]]/1440</f>
        <v>0.18541666666666667</v>
      </c>
      <c r="G375">
        <v>74.989999999999995</v>
      </c>
      <c r="H375">
        <v>1</v>
      </c>
    </row>
    <row r="376" spans="1:8" x14ac:dyDescent="0.25">
      <c r="A376" t="s">
        <v>410</v>
      </c>
      <c r="B376" t="s">
        <v>14</v>
      </c>
      <c r="C376">
        <v>9</v>
      </c>
      <c r="D376" t="s">
        <v>15</v>
      </c>
      <c r="E376">
        <v>102</v>
      </c>
      <c r="F376" s="1">
        <f>Clients_Churn[[#This Row],[Duree_Cumulee_Panne_Min]]/1440</f>
        <v>7.0833333333333331E-2</v>
      </c>
      <c r="G376">
        <v>41.52</v>
      </c>
      <c r="H376">
        <v>0</v>
      </c>
    </row>
    <row r="377" spans="1:8" x14ac:dyDescent="0.25">
      <c r="A377" t="s">
        <v>411</v>
      </c>
      <c r="B377" t="s">
        <v>46</v>
      </c>
      <c r="C377">
        <v>53</v>
      </c>
      <c r="D377" t="s">
        <v>12</v>
      </c>
      <c r="E377">
        <v>385</v>
      </c>
      <c r="F377" s="1">
        <f>Clients_Churn[[#This Row],[Duree_Cumulee_Panne_Min]]/1440</f>
        <v>0.2673611111111111</v>
      </c>
      <c r="G377">
        <v>68.78</v>
      </c>
      <c r="H377">
        <v>3</v>
      </c>
    </row>
    <row r="378" spans="1:8" x14ac:dyDescent="0.25">
      <c r="A378" t="s">
        <v>412</v>
      </c>
      <c r="B378" t="s">
        <v>71</v>
      </c>
      <c r="C378">
        <v>64</v>
      </c>
      <c r="D378" t="s">
        <v>12</v>
      </c>
      <c r="E378">
        <v>15</v>
      </c>
      <c r="F378" s="1">
        <f>Clients_Churn[[#This Row],[Duree_Cumulee_Panne_Min]]/1440</f>
        <v>1.0416666666666666E-2</v>
      </c>
      <c r="G378">
        <v>56.94</v>
      </c>
      <c r="H378">
        <v>4</v>
      </c>
    </row>
    <row r="379" spans="1:8" x14ac:dyDescent="0.25">
      <c r="A379" t="s">
        <v>413</v>
      </c>
      <c r="B379" t="s">
        <v>64</v>
      </c>
      <c r="C379">
        <v>45</v>
      </c>
      <c r="D379" t="s">
        <v>9</v>
      </c>
      <c r="E379">
        <v>439</v>
      </c>
      <c r="F379" s="1">
        <f>Clients_Churn[[#This Row],[Duree_Cumulee_Panne_Min]]/1440</f>
        <v>0.30486111111111114</v>
      </c>
      <c r="G379">
        <v>13.62</v>
      </c>
      <c r="H379">
        <v>4</v>
      </c>
    </row>
    <row r="380" spans="1:8" x14ac:dyDescent="0.25">
      <c r="A380" t="s">
        <v>414</v>
      </c>
      <c r="B380" t="s">
        <v>17</v>
      </c>
      <c r="C380">
        <v>86</v>
      </c>
      <c r="D380" t="s">
        <v>9</v>
      </c>
      <c r="E380">
        <v>460</v>
      </c>
      <c r="F380" s="1">
        <f>Clients_Churn[[#This Row],[Duree_Cumulee_Panne_Min]]/1440</f>
        <v>0.31944444444444442</v>
      </c>
      <c r="G380">
        <v>22.81</v>
      </c>
      <c r="H380">
        <v>4</v>
      </c>
    </row>
    <row r="381" spans="1:8" x14ac:dyDescent="0.25">
      <c r="A381" t="s">
        <v>415</v>
      </c>
      <c r="B381" t="s">
        <v>59</v>
      </c>
      <c r="C381">
        <v>45</v>
      </c>
      <c r="D381" t="s">
        <v>15</v>
      </c>
      <c r="E381">
        <v>26</v>
      </c>
      <c r="F381" s="1">
        <f>Clients_Churn[[#This Row],[Duree_Cumulee_Panne_Min]]/1440</f>
        <v>1.8055555555555554E-2</v>
      </c>
      <c r="G381">
        <v>30.35</v>
      </c>
      <c r="H381">
        <v>1</v>
      </c>
    </row>
    <row r="382" spans="1:8" x14ac:dyDescent="0.25">
      <c r="A382" t="s">
        <v>416</v>
      </c>
      <c r="B382" t="s">
        <v>36</v>
      </c>
      <c r="C382">
        <v>101</v>
      </c>
      <c r="D382" t="s">
        <v>21</v>
      </c>
      <c r="E382">
        <v>476</v>
      </c>
      <c r="F382" s="1">
        <f>Clients_Churn[[#This Row],[Duree_Cumulee_Panne_Min]]/1440</f>
        <v>0.33055555555555555</v>
      </c>
      <c r="G382">
        <v>41.85</v>
      </c>
      <c r="H382">
        <v>4</v>
      </c>
    </row>
    <row r="383" spans="1:8" x14ac:dyDescent="0.25">
      <c r="A383" t="s">
        <v>417</v>
      </c>
      <c r="B383" t="s">
        <v>24</v>
      </c>
      <c r="C383">
        <v>21</v>
      </c>
      <c r="D383" t="s">
        <v>15</v>
      </c>
      <c r="E383">
        <v>107</v>
      </c>
      <c r="F383" s="1">
        <f>Clients_Churn[[#This Row],[Duree_Cumulee_Panne_Min]]/1440</f>
        <v>7.4305555555555555E-2</v>
      </c>
      <c r="G383">
        <v>30.97</v>
      </c>
      <c r="H383">
        <v>4</v>
      </c>
    </row>
    <row r="384" spans="1:8" x14ac:dyDescent="0.25">
      <c r="A384" t="s">
        <v>418</v>
      </c>
      <c r="B384" t="s">
        <v>158</v>
      </c>
      <c r="C384">
        <v>56</v>
      </c>
      <c r="D384" t="s">
        <v>15</v>
      </c>
      <c r="E384">
        <v>41</v>
      </c>
      <c r="F384" s="1">
        <f>Clients_Churn[[#This Row],[Duree_Cumulee_Panne_Min]]/1440</f>
        <v>2.8472222222222222E-2</v>
      </c>
      <c r="G384">
        <v>15.1</v>
      </c>
      <c r="H384">
        <v>5</v>
      </c>
    </row>
    <row r="385" spans="1:8" x14ac:dyDescent="0.25">
      <c r="A385" t="s">
        <v>419</v>
      </c>
      <c r="B385" t="s">
        <v>61</v>
      </c>
      <c r="C385">
        <v>55</v>
      </c>
      <c r="D385" t="s">
        <v>15</v>
      </c>
      <c r="E385">
        <v>494</v>
      </c>
      <c r="F385" s="1">
        <f>Clients_Churn[[#This Row],[Duree_Cumulee_Panne_Min]]/1440</f>
        <v>0.34305555555555556</v>
      </c>
      <c r="G385">
        <v>77.599999999999994</v>
      </c>
      <c r="H385">
        <v>4</v>
      </c>
    </row>
    <row r="386" spans="1:8" x14ac:dyDescent="0.25">
      <c r="A386" t="s">
        <v>420</v>
      </c>
      <c r="B386" t="s">
        <v>32</v>
      </c>
      <c r="C386">
        <v>2</v>
      </c>
      <c r="D386" t="s">
        <v>12</v>
      </c>
      <c r="E386">
        <v>481</v>
      </c>
      <c r="F386" s="1">
        <f>Clients_Churn[[#This Row],[Duree_Cumulee_Panne_Min]]/1440</f>
        <v>0.33402777777777776</v>
      </c>
      <c r="G386">
        <v>29.37</v>
      </c>
      <c r="H386">
        <v>4</v>
      </c>
    </row>
    <row r="387" spans="1:8" x14ac:dyDescent="0.25">
      <c r="A387" t="s">
        <v>421</v>
      </c>
      <c r="B387" t="s">
        <v>46</v>
      </c>
      <c r="C387">
        <v>41</v>
      </c>
      <c r="D387" t="s">
        <v>21</v>
      </c>
      <c r="E387">
        <v>178</v>
      </c>
      <c r="F387" s="1">
        <f>Clients_Churn[[#This Row],[Duree_Cumulee_Panne_Min]]/1440</f>
        <v>0.12361111111111112</v>
      </c>
      <c r="G387">
        <v>11.29</v>
      </c>
      <c r="H387">
        <v>4</v>
      </c>
    </row>
    <row r="388" spans="1:8" x14ac:dyDescent="0.25">
      <c r="A388" t="s">
        <v>422</v>
      </c>
      <c r="B388" t="s">
        <v>32</v>
      </c>
      <c r="C388">
        <v>82</v>
      </c>
      <c r="D388" t="s">
        <v>15</v>
      </c>
      <c r="E388">
        <v>175</v>
      </c>
      <c r="F388" s="1">
        <f>Clients_Churn[[#This Row],[Duree_Cumulee_Panne_Min]]/1440</f>
        <v>0.12152777777777778</v>
      </c>
      <c r="G388">
        <v>86.14</v>
      </c>
      <c r="H388">
        <v>1</v>
      </c>
    </row>
    <row r="389" spans="1:8" x14ac:dyDescent="0.25">
      <c r="A389" t="s">
        <v>423</v>
      </c>
      <c r="B389" t="s">
        <v>107</v>
      </c>
      <c r="C389">
        <v>86</v>
      </c>
      <c r="D389" t="s">
        <v>21</v>
      </c>
      <c r="E389">
        <v>111</v>
      </c>
      <c r="F389" s="1">
        <f>Clients_Churn[[#This Row],[Duree_Cumulee_Panne_Min]]/1440</f>
        <v>7.7083333333333337E-2</v>
      </c>
      <c r="G389">
        <v>23.65</v>
      </c>
      <c r="H389">
        <v>0</v>
      </c>
    </row>
    <row r="390" spans="1:8" x14ac:dyDescent="0.25">
      <c r="A390" t="s">
        <v>424</v>
      </c>
      <c r="B390" t="s">
        <v>24</v>
      </c>
      <c r="C390">
        <v>45</v>
      </c>
      <c r="D390" t="s">
        <v>15</v>
      </c>
      <c r="E390">
        <v>356</v>
      </c>
      <c r="F390" s="1">
        <f>Clients_Churn[[#This Row],[Duree_Cumulee_Panne_Min]]/1440</f>
        <v>0.24722222222222223</v>
      </c>
      <c r="G390">
        <v>33.76</v>
      </c>
      <c r="H390">
        <v>0</v>
      </c>
    </row>
    <row r="391" spans="1:8" x14ac:dyDescent="0.25">
      <c r="A391" t="s">
        <v>425</v>
      </c>
      <c r="B391" t="s">
        <v>11</v>
      </c>
      <c r="C391">
        <v>111</v>
      </c>
      <c r="D391" t="s">
        <v>21</v>
      </c>
      <c r="E391">
        <v>103</v>
      </c>
      <c r="F391" s="1">
        <f>Clients_Churn[[#This Row],[Duree_Cumulee_Panne_Min]]/1440</f>
        <v>7.1527777777777773E-2</v>
      </c>
      <c r="G391">
        <v>32.06</v>
      </c>
      <c r="H391">
        <v>0</v>
      </c>
    </row>
    <row r="392" spans="1:8" x14ac:dyDescent="0.25">
      <c r="A392" t="s">
        <v>426</v>
      </c>
      <c r="B392" t="s">
        <v>59</v>
      </c>
      <c r="C392">
        <v>34</v>
      </c>
      <c r="D392" t="s">
        <v>12</v>
      </c>
      <c r="E392">
        <v>58</v>
      </c>
      <c r="F392" s="1">
        <f>Clients_Churn[[#This Row],[Duree_Cumulee_Panne_Min]]/1440</f>
        <v>4.027777777777778E-2</v>
      </c>
      <c r="G392">
        <v>64.349999999999994</v>
      </c>
      <c r="H392">
        <v>0</v>
      </c>
    </row>
    <row r="393" spans="1:8" x14ac:dyDescent="0.25">
      <c r="A393" t="s">
        <v>427</v>
      </c>
      <c r="B393" t="s">
        <v>36</v>
      </c>
      <c r="C393">
        <v>91</v>
      </c>
      <c r="D393" t="s">
        <v>9</v>
      </c>
      <c r="E393">
        <v>62</v>
      </c>
      <c r="F393" s="1">
        <f>Clients_Churn[[#This Row],[Duree_Cumulee_Panne_Min]]/1440</f>
        <v>4.3055555555555555E-2</v>
      </c>
      <c r="G393">
        <v>34.450000000000003</v>
      </c>
      <c r="H393">
        <v>5</v>
      </c>
    </row>
    <row r="394" spans="1:8" x14ac:dyDescent="0.25">
      <c r="A394" t="s">
        <v>428</v>
      </c>
      <c r="B394" t="s">
        <v>24</v>
      </c>
      <c r="C394">
        <v>86</v>
      </c>
      <c r="D394" t="s">
        <v>12</v>
      </c>
      <c r="E394">
        <v>252</v>
      </c>
      <c r="F394" s="1">
        <f>Clients_Churn[[#This Row],[Duree_Cumulee_Panne_Min]]/1440</f>
        <v>0.17499999999999999</v>
      </c>
      <c r="G394">
        <v>96.5</v>
      </c>
      <c r="H394">
        <v>5</v>
      </c>
    </row>
    <row r="395" spans="1:8" x14ac:dyDescent="0.25">
      <c r="A395" t="s">
        <v>429</v>
      </c>
      <c r="B395" t="s">
        <v>59</v>
      </c>
      <c r="C395">
        <v>95</v>
      </c>
      <c r="D395" t="s">
        <v>21</v>
      </c>
      <c r="E395">
        <v>51</v>
      </c>
      <c r="F395" s="1">
        <f>Clients_Churn[[#This Row],[Duree_Cumulee_Panne_Min]]/1440</f>
        <v>3.5416666666666666E-2</v>
      </c>
      <c r="G395">
        <v>94.77</v>
      </c>
      <c r="H395">
        <v>5</v>
      </c>
    </row>
    <row r="396" spans="1:8" x14ac:dyDescent="0.25">
      <c r="A396" t="s">
        <v>430</v>
      </c>
      <c r="B396" t="s">
        <v>67</v>
      </c>
      <c r="C396">
        <v>37</v>
      </c>
      <c r="D396" t="s">
        <v>12</v>
      </c>
      <c r="E396">
        <v>37</v>
      </c>
      <c r="F396" s="1">
        <f>Clients_Churn[[#This Row],[Duree_Cumulee_Panne_Min]]/1440</f>
        <v>2.5694444444444443E-2</v>
      </c>
      <c r="G396">
        <v>92.72</v>
      </c>
      <c r="H396">
        <v>0</v>
      </c>
    </row>
    <row r="397" spans="1:8" x14ac:dyDescent="0.25">
      <c r="A397" t="s">
        <v>431</v>
      </c>
      <c r="B397" t="s">
        <v>71</v>
      </c>
      <c r="C397">
        <v>56</v>
      </c>
      <c r="D397" t="s">
        <v>9</v>
      </c>
      <c r="E397">
        <v>379</v>
      </c>
      <c r="F397" s="1">
        <f>Clients_Churn[[#This Row],[Duree_Cumulee_Panne_Min]]/1440</f>
        <v>0.26319444444444445</v>
      </c>
      <c r="G397">
        <v>49.01</v>
      </c>
      <c r="H397">
        <v>0</v>
      </c>
    </row>
    <row r="398" spans="1:8" x14ac:dyDescent="0.25">
      <c r="A398" t="s">
        <v>432</v>
      </c>
      <c r="B398" t="s">
        <v>8</v>
      </c>
      <c r="C398">
        <v>4</v>
      </c>
      <c r="D398" t="s">
        <v>12</v>
      </c>
      <c r="E398">
        <v>449</v>
      </c>
      <c r="F398" s="1">
        <f>Clients_Churn[[#This Row],[Duree_Cumulee_Panne_Min]]/1440</f>
        <v>0.31180555555555556</v>
      </c>
      <c r="G398">
        <v>43.95</v>
      </c>
      <c r="H398">
        <v>2</v>
      </c>
    </row>
    <row r="399" spans="1:8" x14ac:dyDescent="0.25">
      <c r="A399" t="s">
        <v>433</v>
      </c>
      <c r="B399" t="s">
        <v>64</v>
      </c>
      <c r="C399">
        <v>13</v>
      </c>
      <c r="D399" t="s">
        <v>12</v>
      </c>
      <c r="E399">
        <v>173</v>
      </c>
      <c r="F399" s="1">
        <f>Clients_Churn[[#This Row],[Duree_Cumulee_Panne_Min]]/1440</f>
        <v>0.12013888888888889</v>
      </c>
      <c r="G399">
        <v>85.54</v>
      </c>
      <c r="H399">
        <v>3</v>
      </c>
    </row>
    <row r="400" spans="1:8" x14ac:dyDescent="0.25">
      <c r="A400" t="s">
        <v>434</v>
      </c>
      <c r="B400" t="s">
        <v>59</v>
      </c>
      <c r="C400">
        <v>70</v>
      </c>
      <c r="D400" t="s">
        <v>12</v>
      </c>
      <c r="E400">
        <v>290</v>
      </c>
      <c r="F400" s="1">
        <f>Clients_Churn[[#This Row],[Duree_Cumulee_Panne_Min]]/1440</f>
        <v>0.2013888888888889</v>
      </c>
      <c r="G400">
        <v>96.31</v>
      </c>
      <c r="H400">
        <v>1</v>
      </c>
    </row>
    <row r="401" spans="1:8" x14ac:dyDescent="0.25">
      <c r="A401" t="s">
        <v>435</v>
      </c>
      <c r="B401" t="s">
        <v>107</v>
      </c>
      <c r="C401">
        <v>49</v>
      </c>
      <c r="D401" t="s">
        <v>15</v>
      </c>
      <c r="E401">
        <v>25</v>
      </c>
      <c r="F401" s="1">
        <f>Clients_Churn[[#This Row],[Duree_Cumulee_Panne_Min]]/1440</f>
        <v>1.7361111111111112E-2</v>
      </c>
      <c r="G401">
        <v>22.77</v>
      </c>
      <c r="H401">
        <v>3</v>
      </c>
    </row>
    <row r="402" spans="1:8" x14ac:dyDescent="0.25">
      <c r="A402" t="s">
        <v>436</v>
      </c>
      <c r="B402" t="s">
        <v>20</v>
      </c>
      <c r="C402">
        <v>11</v>
      </c>
      <c r="D402" t="s">
        <v>9</v>
      </c>
      <c r="E402">
        <v>215</v>
      </c>
      <c r="F402" s="1">
        <f>Clients_Churn[[#This Row],[Duree_Cumulee_Panne_Min]]/1440</f>
        <v>0.14930555555555555</v>
      </c>
      <c r="G402">
        <v>51.99</v>
      </c>
      <c r="H402">
        <v>1</v>
      </c>
    </row>
    <row r="403" spans="1:8" x14ac:dyDescent="0.25">
      <c r="A403" t="s">
        <v>437</v>
      </c>
      <c r="B403" t="s">
        <v>74</v>
      </c>
      <c r="C403">
        <v>40</v>
      </c>
      <c r="D403" t="s">
        <v>21</v>
      </c>
      <c r="E403">
        <v>235</v>
      </c>
      <c r="F403" s="1">
        <f>Clients_Churn[[#This Row],[Duree_Cumulee_Panne_Min]]/1440</f>
        <v>0.16319444444444445</v>
      </c>
      <c r="G403">
        <v>15.01</v>
      </c>
      <c r="H403">
        <v>3</v>
      </c>
    </row>
    <row r="404" spans="1:8" x14ac:dyDescent="0.25">
      <c r="A404" t="s">
        <v>438</v>
      </c>
      <c r="B404" t="s">
        <v>71</v>
      </c>
      <c r="C404">
        <v>33</v>
      </c>
      <c r="D404" t="s">
        <v>15</v>
      </c>
      <c r="E404">
        <v>337</v>
      </c>
      <c r="F404" s="1">
        <f>Clients_Churn[[#This Row],[Duree_Cumulee_Panne_Min]]/1440</f>
        <v>0.23402777777777778</v>
      </c>
      <c r="G404">
        <v>62.61</v>
      </c>
      <c r="H404">
        <v>2</v>
      </c>
    </row>
    <row r="405" spans="1:8" x14ac:dyDescent="0.25">
      <c r="A405" t="s">
        <v>439</v>
      </c>
      <c r="B405" t="s">
        <v>158</v>
      </c>
      <c r="C405">
        <v>91</v>
      </c>
      <c r="D405" t="s">
        <v>15</v>
      </c>
      <c r="E405">
        <v>90</v>
      </c>
      <c r="F405" s="1">
        <f>Clients_Churn[[#This Row],[Duree_Cumulee_Panne_Min]]/1440</f>
        <v>6.25E-2</v>
      </c>
      <c r="G405">
        <v>39.14</v>
      </c>
      <c r="H405">
        <v>3</v>
      </c>
    </row>
    <row r="406" spans="1:8" x14ac:dyDescent="0.25">
      <c r="A406" t="s">
        <v>440</v>
      </c>
      <c r="B406" t="s">
        <v>34</v>
      </c>
      <c r="C406">
        <v>18</v>
      </c>
      <c r="D406" t="s">
        <v>12</v>
      </c>
      <c r="E406">
        <v>71</v>
      </c>
      <c r="F406" s="1">
        <f>Clients_Churn[[#This Row],[Duree_Cumulee_Panne_Min]]/1440</f>
        <v>4.9305555555555554E-2</v>
      </c>
      <c r="G406">
        <v>46.98</v>
      </c>
      <c r="H406">
        <v>2</v>
      </c>
    </row>
    <row r="407" spans="1:8" x14ac:dyDescent="0.25">
      <c r="A407" t="s">
        <v>441</v>
      </c>
      <c r="B407" t="s">
        <v>24</v>
      </c>
      <c r="C407">
        <v>112</v>
      </c>
      <c r="D407" t="s">
        <v>21</v>
      </c>
      <c r="E407">
        <v>460</v>
      </c>
      <c r="F407" s="1">
        <f>Clients_Churn[[#This Row],[Duree_Cumulee_Panne_Min]]/1440</f>
        <v>0.31944444444444442</v>
      </c>
      <c r="G407">
        <v>55.47</v>
      </c>
      <c r="H407">
        <v>4</v>
      </c>
    </row>
    <row r="408" spans="1:8" x14ac:dyDescent="0.25">
      <c r="A408" t="s">
        <v>442</v>
      </c>
      <c r="B408" t="s">
        <v>50</v>
      </c>
      <c r="C408">
        <v>27</v>
      </c>
      <c r="D408" t="s">
        <v>9</v>
      </c>
      <c r="E408">
        <v>70</v>
      </c>
      <c r="F408" s="1">
        <f>Clients_Churn[[#This Row],[Duree_Cumulee_Panne_Min]]/1440</f>
        <v>4.8611111111111112E-2</v>
      </c>
      <c r="G408">
        <v>20.32</v>
      </c>
      <c r="H408">
        <v>3</v>
      </c>
    </row>
    <row r="409" spans="1:8" x14ac:dyDescent="0.25">
      <c r="A409" t="s">
        <v>443</v>
      </c>
      <c r="B409" t="s">
        <v>74</v>
      </c>
      <c r="C409">
        <v>90</v>
      </c>
      <c r="D409" t="s">
        <v>15</v>
      </c>
      <c r="E409">
        <v>412</v>
      </c>
      <c r="F409" s="1">
        <f>Clients_Churn[[#This Row],[Duree_Cumulee_Panne_Min]]/1440</f>
        <v>0.28611111111111109</v>
      </c>
      <c r="G409">
        <v>20.62</v>
      </c>
      <c r="H409">
        <v>2</v>
      </c>
    </row>
    <row r="410" spans="1:8" x14ac:dyDescent="0.25">
      <c r="A410" t="s">
        <v>444</v>
      </c>
      <c r="B410" t="s">
        <v>24</v>
      </c>
      <c r="C410">
        <v>33</v>
      </c>
      <c r="D410" t="s">
        <v>12</v>
      </c>
      <c r="E410">
        <v>391</v>
      </c>
      <c r="F410" s="1">
        <f>Clients_Churn[[#This Row],[Duree_Cumulee_Panne_Min]]/1440</f>
        <v>0.27152777777777776</v>
      </c>
      <c r="G410">
        <v>88.88</v>
      </c>
      <c r="H410">
        <v>4</v>
      </c>
    </row>
    <row r="411" spans="1:8" x14ac:dyDescent="0.25">
      <c r="A411" t="s">
        <v>445</v>
      </c>
      <c r="B411" t="s">
        <v>44</v>
      </c>
      <c r="C411">
        <v>1</v>
      </c>
      <c r="D411" t="s">
        <v>21</v>
      </c>
      <c r="E411">
        <v>368</v>
      </c>
      <c r="F411" s="1">
        <f>Clients_Churn[[#This Row],[Duree_Cumulee_Panne_Min]]/1440</f>
        <v>0.25555555555555554</v>
      </c>
      <c r="G411">
        <v>35.17</v>
      </c>
      <c r="H411">
        <v>1</v>
      </c>
    </row>
    <row r="412" spans="1:8" x14ac:dyDescent="0.25">
      <c r="A412" t="s">
        <v>446</v>
      </c>
      <c r="B412" t="s">
        <v>14</v>
      </c>
      <c r="C412">
        <v>117</v>
      </c>
      <c r="D412" t="s">
        <v>15</v>
      </c>
      <c r="E412">
        <v>338</v>
      </c>
      <c r="F412" s="1">
        <f>Clients_Churn[[#This Row],[Duree_Cumulee_Panne_Min]]/1440</f>
        <v>0.23472222222222222</v>
      </c>
      <c r="G412">
        <v>29.18</v>
      </c>
      <c r="H412">
        <v>5</v>
      </c>
    </row>
    <row r="413" spans="1:8" x14ac:dyDescent="0.25">
      <c r="A413" t="s">
        <v>447</v>
      </c>
      <c r="B413" t="s">
        <v>64</v>
      </c>
      <c r="C413">
        <v>50</v>
      </c>
      <c r="D413" t="s">
        <v>15</v>
      </c>
      <c r="E413">
        <v>446</v>
      </c>
      <c r="F413" s="1">
        <f>Clients_Churn[[#This Row],[Duree_Cumulee_Panne_Min]]/1440</f>
        <v>0.30972222222222223</v>
      </c>
      <c r="G413">
        <v>31.56</v>
      </c>
      <c r="H413">
        <v>5</v>
      </c>
    </row>
    <row r="414" spans="1:8" x14ac:dyDescent="0.25">
      <c r="A414" t="s">
        <v>448</v>
      </c>
      <c r="B414" t="s">
        <v>26</v>
      </c>
      <c r="C414">
        <v>76</v>
      </c>
      <c r="D414" t="s">
        <v>21</v>
      </c>
      <c r="E414">
        <v>187</v>
      </c>
      <c r="F414" s="1">
        <f>Clients_Churn[[#This Row],[Duree_Cumulee_Panne_Min]]/1440</f>
        <v>0.12986111111111112</v>
      </c>
      <c r="G414">
        <v>56.29</v>
      </c>
      <c r="H414">
        <v>1</v>
      </c>
    </row>
    <row r="415" spans="1:8" x14ac:dyDescent="0.25">
      <c r="A415" t="s">
        <v>449</v>
      </c>
      <c r="B415" t="s">
        <v>32</v>
      </c>
      <c r="C415">
        <v>29</v>
      </c>
      <c r="D415" t="s">
        <v>21</v>
      </c>
      <c r="E415">
        <v>214</v>
      </c>
      <c r="F415" s="1">
        <f>Clients_Churn[[#This Row],[Duree_Cumulee_Panne_Min]]/1440</f>
        <v>0.14861111111111111</v>
      </c>
      <c r="G415">
        <v>74.7</v>
      </c>
      <c r="H415">
        <v>3</v>
      </c>
    </row>
    <row r="416" spans="1:8" x14ac:dyDescent="0.25">
      <c r="A416" t="s">
        <v>450</v>
      </c>
      <c r="B416" t="s">
        <v>107</v>
      </c>
      <c r="C416">
        <v>88</v>
      </c>
      <c r="D416" t="s">
        <v>9</v>
      </c>
      <c r="E416">
        <v>474</v>
      </c>
      <c r="F416" s="1">
        <f>Clients_Churn[[#This Row],[Duree_Cumulee_Panne_Min]]/1440</f>
        <v>0.32916666666666666</v>
      </c>
      <c r="G416">
        <v>23.35</v>
      </c>
      <c r="H416">
        <v>5</v>
      </c>
    </row>
    <row r="417" spans="1:8" x14ac:dyDescent="0.25">
      <c r="A417" t="s">
        <v>451</v>
      </c>
      <c r="B417" t="s">
        <v>99</v>
      </c>
      <c r="C417">
        <v>115</v>
      </c>
      <c r="D417" t="s">
        <v>12</v>
      </c>
      <c r="E417">
        <v>190</v>
      </c>
      <c r="F417" s="1">
        <f>Clients_Churn[[#This Row],[Duree_Cumulee_Panne_Min]]/1440</f>
        <v>0.13194444444444445</v>
      </c>
      <c r="G417">
        <v>10.98</v>
      </c>
      <c r="H417">
        <v>0</v>
      </c>
    </row>
    <row r="418" spans="1:8" x14ac:dyDescent="0.25">
      <c r="A418" t="s">
        <v>452</v>
      </c>
      <c r="B418" t="s">
        <v>59</v>
      </c>
      <c r="C418">
        <v>84</v>
      </c>
      <c r="D418" t="s">
        <v>9</v>
      </c>
      <c r="E418">
        <v>244</v>
      </c>
      <c r="F418" s="1">
        <f>Clients_Churn[[#This Row],[Duree_Cumulee_Panne_Min]]/1440</f>
        <v>0.16944444444444445</v>
      </c>
      <c r="G418">
        <v>56.34</v>
      </c>
      <c r="H418">
        <v>5</v>
      </c>
    </row>
    <row r="419" spans="1:8" x14ac:dyDescent="0.25">
      <c r="A419" t="s">
        <v>453</v>
      </c>
      <c r="B419" t="s">
        <v>67</v>
      </c>
      <c r="C419">
        <v>21</v>
      </c>
      <c r="D419" t="s">
        <v>9</v>
      </c>
      <c r="E419">
        <v>15</v>
      </c>
      <c r="F419" s="1">
        <f>Clients_Churn[[#This Row],[Duree_Cumulee_Panne_Min]]/1440</f>
        <v>1.0416666666666666E-2</v>
      </c>
      <c r="G419">
        <v>57.74</v>
      </c>
      <c r="H419">
        <v>0</v>
      </c>
    </row>
    <row r="420" spans="1:8" x14ac:dyDescent="0.25">
      <c r="A420" t="s">
        <v>454</v>
      </c>
      <c r="B420" t="s">
        <v>158</v>
      </c>
      <c r="C420">
        <v>21</v>
      </c>
      <c r="D420" t="s">
        <v>15</v>
      </c>
      <c r="E420">
        <v>444</v>
      </c>
      <c r="F420" s="1">
        <f>Clients_Churn[[#This Row],[Duree_Cumulee_Panne_Min]]/1440</f>
        <v>0.30833333333333335</v>
      </c>
      <c r="G420">
        <v>41.92</v>
      </c>
      <c r="H420">
        <v>3</v>
      </c>
    </row>
    <row r="421" spans="1:8" x14ac:dyDescent="0.25">
      <c r="A421" t="s">
        <v>455</v>
      </c>
      <c r="B421" t="s">
        <v>99</v>
      </c>
      <c r="C421">
        <v>92</v>
      </c>
      <c r="D421" t="s">
        <v>9</v>
      </c>
      <c r="E421">
        <v>379</v>
      </c>
      <c r="F421" s="1">
        <f>Clients_Churn[[#This Row],[Duree_Cumulee_Panne_Min]]/1440</f>
        <v>0.26319444444444445</v>
      </c>
      <c r="G421">
        <v>70.08</v>
      </c>
      <c r="H421">
        <v>5</v>
      </c>
    </row>
    <row r="422" spans="1:8" x14ac:dyDescent="0.25">
      <c r="A422" t="s">
        <v>456</v>
      </c>
      <c r="B422" t="s">
        <v>99</v>
      </c>
      <c r="C422">
        <v>114</v>
      </c>
      <c r="D422" t="s">
        <v>9</v>
      </c>
      <c r="E422">
        <v>388</v>
      </c>
      <c r="F422" s="1">
        <f>Clients_Churn[[#This Row],[Duree_Cumulee_Panne_Min]]/1440</f>
        <v>0.26944444444444443</v>
      </c>
      <c r="G422">
        <v>40.29</v>
      </c>
      <c r="H422">
        <v>5</v>
      </c>
    </row>
    <row r="423" spans="1:8" x14ac:dyDescent="0.25">
      <c r="A423" t="s">
        <v>457</v>
      </c>
      <c r="B423" t="s">
        <v>74</v>
      </c>
      <c r="C423">
        <v>98</v>
      </c>
      <c r="D423" t="s">
        <v>12</v>
      </c>
      <c r="E423">
        <v>482</v>
      </c>
      <c r="F423" s="1">
        <f>Clients_Churn[[#This Row],[Duree_Cumulee_Panne_Min]]/1440</f>
        <v>0.3347222222222222</v>
      </c>
      <c r="G423">
        <v>55.04</v>
      </c>
      <c r="H423">
        <v>5</v>
      </c>
    </row>
    <row r="424" spans="1:8" x14ac:dyDescent="0.25">
      <c r="A424" t="s">
        <v>458</v>
      </c>
      <c r="B424" t="s">
        <v>71</v>
      </c>
      <c r="C424">
        <v>15</v>
      </c>
      <c r="D424" t="s">
        <v>9</v>
      </c>
      <c r="E424">
        <v>319</v>
      </c>
      <c r="F424" s="1">
        <f>Clients_Churn[[#This Row],[Duree_Cumulee_Panne_Min]]/1440</f>
        <v>0.22152777777777777</v>
      </c>
      <c r="G424">
        <v>78.150000000000006</v>
      </c>
      <c r="H424">
        <v>4</v>
      </c>
    </row>
    <row r="425" spans="1:8" x14ac:dyDescent="0.25">
      <c r="A425" t="s">
        <v>459</v>
      </c>
      <c r="B425" t="s">
        <v>74</v>
      </c>
      <c r="C425">
        <v>42</v>
      </c>
      <c r="D425" t="s">
        <v>9</v>
      </c>
      <c r="E425">
        <v>252</v>
      </c>
      <c r="F425" s="1">
        <f>Clients_Churn[[#This Row],[Duree_Cumulee_Panne_Min]]/1440</f>
        <v>0.17499999999999999</v>
      </c>
      <c r="G425">
        <v>59.46</v>
      </c>
      <c r="H425">
        <v>4</v>
      </c>
    </row>
    <row r="426" spans="1:8" x14ac:dyDescent="0.25">
      <c r="A426" t="s">
        <v>460</v>
      </c>
      <c r="B426" t="s">
        <v>24</v>
      </c>
      <c r="C426">
        <v>8</v>
      </c>
      <c r="D426" t="s">
        <v>9</v>
      </c>
      <c r="E426">
        <v>171</v>
      </c>
      <c r="F426" s="1">
        <f>Clients_Churn[[#This Row],[Duree_Cumulee_Panne_Min]]/1440</f>
        <v>0.11874999999999999</v>
      </c>
      <c r="G426">
        <v>52.98</v>
      </c>
      <c r="H426">
        <v>0</v>
      </c>
    </row>
    <row r="427" spans="1:8" x14ac:dyDescent="0.25">
      <c r="A427" t="s">
        <v>461</v>
      </c>
      <c r="B427" t="s">
        <v>40</v>
      </c>
      <c r="C427">
        <v>12</v>
      </c>
      <c r="D427" t="s">
        <v>12</v>
      </c>
      <c r="E427">
        <v>305</v>
      </c>
      <c r="F427" s="1">
        <f>Clients_Churn[[#This Row],[Duree_Cumulee_Panne_Min]]/1440</f>
        <v>0.21180555555555555</v>
      </c>
      <c r="G427">
        <v>59.96</v>
      </c>
      <c r="H427">
        <v>3</v>
      </c>
    </row>
    <row r="428" spans="1:8" x14ac:dyDescent="0.25">
      <c r="A428" t="s">
        <v>462</v>
      </c>
      <c r="B428" t="s">
        <v>107</v>
      </c>
      <c r="C428">
        <v>29</v>
      </c>
      <c r="D428" t="s">
        <v>12</v>
      </c>
      <c r="E428">
        <v>203</v>
      </c>
      <c r="F428" s="1">
        <f>Clients_Churn[[#This Row],[Duree_Cumulee_Panne_Min]]/1440</f>
        <v>0.14097222222222222</v>
      </c>
      <c r="G428">
        <v>53.97</v>
      </c>
      <c r="H428">
        <v>5</v>
      </c>
    </row>
    <row r="429" spans="1:8" x14ac:dyDescent="0.25">
      <c r="A429" t="s">
        <v>463</v>
      </c>
      <c r="B429" t="s">
        <v>107</v>
      </c>
      <c r="C429">
        <v>80</v>
      </c>
      <c r="D429" t="s">
        <v>12</v>
      </c>
      <c r="E429">
        <v>339</v>
      </c>
      <c r="F429" s="1">
        <f>Clients_Churn[[#This Row],[Duree_Cumulee_Panne_Min]]/1440</f>
        <v>0.23541666666666666</v>
      </c>
      <c r="G429">
        <v>59.87</v>
      </c>
      <c r="H429">
        <v>0</v>
      </c>
    </row>
    <row r="430" spans="1:8" x14ac:dyDescent="0.25">
      <c r="A430" t="s">
        <v>464</v>
      </c>
      <c r="B430" t="s">
        <v>20</v>
      </c>
      <c r="C430">
        <v>95</v>
      </c>
      <c r="D430" t="s">
        <v>9</v>
      </c>
      <c r="E430">
        <v>33</v>
      </c>
      <c r="F430" s="1">
        <f>Clients_Churn[[#This Row],[Duree_Cumulee_Panne_Min]]/1440</f>
        <v>2.2916666666666665E-2</v>
      </c>
      <c r="G430">
        <v>35.32</v>
      </c>
      <c r="H430">
        <v>0</v>
      </c>
    </row>
    <row r="431" spans="1:8" x14ac:dyDescent="0.25">
      <c r="A431" t="s">
        <v>465</v>
      </c>
      <c r="B431" t="s">
        <v>46</v>
      </c>
      <c r="C431">
        <v>99</v>
      </c>
      <c r="D431" t="s">
        <v>12</v>
      </c>
      <c r="E431">
        <v>169</v>
      </c>
      <c r="F431" s="1">
        <f>Clients_Churn[[#This Row],[Duree_Cumulee_Panne_Min]]/1440</f>
        <v>0.11736111111111111</v>
      </c>
      <c r="G431">
        <v>76.75</v>
      </c>
      <c r="H431">
        <v>5</v>
      </c>
    </row>
    <row r="432" spans="1:8" x14ac:dyDescent="0.25">
      <c r="A432" t="s">
        <v>466</v>
      </c>
      <c r="B432" t="s">
        <v>11</v>
      </c>
      <c r="C432">
        <v>88</v>
      </c>
      <c r="D432" t="s">
        <v>21</v>
      </c>
      <c r="E432">
        <v>359</v>
      </c>
      <c r="F432" s="1">
        <f>Clients_Churn[[#This Row],[Duree_Cumulee_Panne_Min]]/1440</f>
        <v>0.24930555555555556</v>
      </c>
      <c r="G432">
        <v>71.19</v>
      </c>
      <c r="H432">
        <v>3</v>
      </c>
    </row>
    <row r="433" spans="1:8" x14ac:dyDescent="0.25">
      <c r="A433" t="s">
        <v>467</v>
      </c>
      <c r="B433" t="s">
        <v>20</v>
      </c>
      <c r="C433">
        <v>7</v>
      </c>
      <c r="D433" t="s">
        <v>9</v>
      </c>
      <c r="E433">
        <v>43</v>
      </c>
      <c r="F433" s="1">
        <f>Clients_Churn[[#This Row],[Duree_Cumulee_Panne_Min]]/1440</f>
        <v>2.9861111111111113E-2</v>
      </c>
      <c r="G433">
        <v>41.29</v>
      </c>
      <c r="H433">
        <v>4</v>
      </c>
    </row>
    <row r="434" spans="1:8" x14ac:dyDescent="0.25">
      <c r="A434" t="s">
        <v>468</v>
      </c>
      <c r="B434" t="s">
        <v>20</v>
      </c>
      <c r="C434">
        <v>68</v>
      </c>
      <c r="D434" t="s">
        <v>12</v>
      </c>
      <c r="E434">
        <v>282</v>
      </c>
      <c r="F434" s="1">
        <f>Clients_Churn[[#This Row],[Duree_Cumulee_Panne_Min]]/1440</f>
        <v>0.19583333333333333</v>
      </c>
      <c r="G434">
        <v>35.43</v>
      </c>
      <c r="H434">
        <v>1</v>
      </c>
    </row>
    <row r="435" spans="1:8" x14ac:dyDescent="0.25">
      <c r="A435" t="s">
        <v>469</v>
      </c>
      <c r="B435" t="s">
        <v>50</v>
      </c>
      <c r="C435">
        <v>11</v>
      </c>
      <c r="D435" t="s">
        <v>9</v>
      </c>
      <c r="E435">
        <v>402</v>
      </c>
      <c r="F435" s="1">
        <f>Clients_Churn[[#This Row],[Duree_Cumulee_Panne_Min]]/1440</f>
        <v>0.27916666666666667</v>
      </c>
      <c r="G435">
        <v>69.599999999999994</v>
      </c>
      <c r="H435">
        <v>5</v>
      </c>
    </row>
    <row r="436" spans="1:8" x14ac:dyDescent="0.25">
      <c r="A436" t="s">
        <v>470</v>
      </c>
      <c r="B436" t="s">
        <v>8</v>
      </c>
      <c r="C436">
        <v>1</v>
      </c>
      <c r="D436" t="s">
        <v>15</v>
      </c>
      <c r="E436">
        <v>213</v>
      </c>
      <c r="F436" s="1">
        <f>Clients_Churn[[#This Row],[Duree_Cumulee_Panne_Min]]/1440</f>
        <v>0.14791666666666667</v>
      </c>
      <c r="G436">
        <v>52.16</v>
      </c>
      <c r="H436">
        <v>3</v>
      </c>
    </row>
    <row r="437" spans="1:8" x14ac:dyDescent="0.25">
      <c r="A437" t="s">
        <v>471</v>
      </c>
      <c r="B437" t="s">
        <v>158</v>
      </c>
      <c r="C437">
        <v>98</v>
      </c>
      <c r="D437" t="s">
        <v>12</v>
      </c>
      <c r="E437">
        <v>168</v>
      </c>
      <c r="F437" s="1">
        <f>Clients_Churn[[#This Row],[Duree_Cumulee_Panne_Min]]/1440</f>
        <v>0.11666666666666667</v>
      </c>
      <c r="G437">
        <v>44.14</v>
      </c>
      <c r="H437">
        <v>3</v>
      </c>
    </row>
    <row r="438" spans="1:8" x14ac:dyDescent="0.25">
      <c r="A438" t="s">
        <v>472</v>
      </c>
      <c r="B438" t="s">
        <v>32</v>
      </c>
      <c r="C438">
        <v>3</v>
      </c>
      <c r="D438" t="s">
        <v>15</v>
      </c>
      <c r="E438">
        <v>356</v>
      </c>
      <c r="F438" s="1">
        <f>Clients_Churn[[#This Row],[Duree_Cumulee_Panne_Min]]/1440</f>
        <v>0.24722222222222223</v>
      </c>
      <c r="G438">
        <v>91.6</v>
      </c>
      <c r="H438">
        <v>3</v>
      </c>
    </row>
    <row r="439" spans="1:8" x14ac:dyDescent="0.25">
      <c r="A439" t="s">
        <v>473</v>
      </c>
      <c r="B439" t="s">
        <v>32</v>
      </c>
      <c r="C439">
        <v>85</v>
      </c>
      <c r="D439" t="s">
        <v>21</v>
      </c>
      <c r="E439">
        <v>274</v>
      </c>
      <c r="F439" s="1">
        <f>Clients_Churn[[#This Row],[Duree_Cumulee_Panne_Min]]/1440</f>
        <v>0.19027777777777777</v>
      </c>
      <c r="G439">
        <v>35.03</v>
      </c>
      <c r="H439">
        <v>1</v>
      </c>
    </row>
    <row r="440" spans="1:8" x14ac:dyDescent="0.25">
      <c r="A440" t="s">
        <v>474</v>
      </c>
      <c r="B440" t="s">
        <v>34</v>
      </c>
      <c r="C440">
        <v>79</v>
      </c>
      <c r="D440" t="s">
        <v>21</v>
      </c>
      <c r="E440">
        <v>454</v>
      </c>
      <c r="F440" s="1">
        <f>Clients_Churn[[#This Row],[Duree_Cumulee_Panne_Min]]/1440</f>
        <v>0.31527777777777777</v>
      </c>
      <c r="G440">
        <v>80.34</v>
      </c>
      <c r="H440">
        <v>2</v>
      </c>
    </row>
    <row r="441" spans="1:8" x14ac:dyDescent="0.25">
      <c r="A441" t="s">
        <v>475</v>
      </c>
      <c r="B441" t="s">
        <v>107</v>
      </c>
      <c r="C441">
        <v>65</v>
      </c>
      <c r="D441" t="s">
        <v>9</v>
      </c>
      <c r="E441">
        <v>442</v>
      </c>
      <c r="F441" s="1">
        <f>Clients_Churn[[#This Row],[Duree_Cumulee_Panne_Min]]/1440</f>
        <v>0.30694444444444446</v>
      </c>
      <c r="G441">
        <v>60.62</v>
      </c>
      <c r="H441">
        <v>5</v>
      </c>
    </row>
    <row r="442" spans="1:8" x14ac:dyDescent="0.25">
      <c r="A442" t="s">
        <v>476</v>
      </c>
      <c r="B442" t="s">
        <v>59</v>
      </c>
      <c r="C442">
        <v>2</v>
      </c>
      <c r="D442" t="s">
        <v>21</v>
      </c>
      <c r="E442">
        <v>21</v>
      </c>
      <c r="F442" s="1">
        <f>Clients_Churn[[#This Row],[Duree_Cumulee_Panne_Min]]/1440</f>
        <v>1.4583333333333334E-2</v>
      </c>
      <c r="G442">
        <v>51.68</v>
      </c>
      <c r="H442">
        <v>3</v>
      </c>
    </row>
    <row r="443" spans="1:8" x14ac:dyDescent="0.25">
      <c r="A443" t="s">
        <v>477</v>
      </c>
      <c r="B443" t="s">
        <v>74</v>
      </c>
      <c r="C443">
        <v>51</v>
      </c>
      <c r="D443" t="s">
        <v>15</v>
      </c>
      <c r="E443">
        <v>58</v>
      </c>
      <c r="F443" s="1">
        <f>Clients_Churn[[#This Row],[Duree_Cumulee_Panne_Min]]/1440</f>
        <v>4.027777777777778E-2</v>
      </c>
      <c r="G443">
        <v>34.6</v>
      </c>
      <c r="H443">
        <v>5</v>
      </c>
    </row>
    <row r="444" spans="1:8" x14ac:dyDescent="0.25">
      <c r="A444" t="s">
        <v>478</v>
      </c>
      <c r="B444" t="s">
        <v>34</v>
      </c>
      <c r="C444">
        <v>63</v>
      </c>
      <c r="D444" t="s">
        <v>12</v>
      </c>
      <c r="E444">
        <v>141</v>
      </c>
      <c r="F444" s="1">
        <f>Clients_Churn[[#This Row],[Duree_Cumulee_Panne_Min]]/1440</f>
        <v>9.7916666666666666E-2</v>
      </c>
      <c r="G444">
        <v>95.6</v>
      </c>
      <c r="H444">
        <v>4</v>
      </c>
    </row>
    <row r="445" spans="1:8" x14ac:dyDescent="0.25">
      <c r="A445" t="s">
        <v>479</v>
      </c>
      <c r="B445" t="s">
        <v>17</v>
      </c>
      <c r="C445">
        <v>101</v>
      </c>
      <c r="D445" t="s">
        <v>12</v>
      </c>
      <c r="E445">
        <v>333</v>
      </c>
      <c r="F445" s="1">
        <f>Clients_Churn[[#This Row],[Duree_Cumulee_Panne_Min]]/1440</f>
        <v>0.23125000000000001</v>
      </c>
      <c r="G445">
        <v>74.319999999999993</v>
      </c>
      <c r="H445">
        <v>1</v>
      </c>
    </row>
    <row r="446" spans="1:8" x14ac:dyDescent="0.25">
      <c r="A446" t="s">
        <v>480</v>
      </c>
      <c r="B446" t="s">
        <v>64</v>
      </c>
      <c r="C446">
        <v>33</v>
      </c>
      <c r="D446" t="s">
        <v>21</v>
      </c>
      <c r="E446">
        <v>285</v>
      </c>
      <c r="F446" s="1">
        <f>Clients_Churn[[#This Row],[Duree_Cumulee_Panne_Min]]/1440</f>
        <v>0.19791666666666666</v>
      </c>
      <c r="G446">
        <v>56.67</v>
      </c>
      <c r="H446">
        <v>2</v>
      </c>
    </row>
    <row r="447" spans="1:8" x14ac:dyDescent="0.25">
      <c r="A447" t="s">
        <v>481</v>
      </c>
      <c r="B447" t="s">
        <v>46</v>
      </c>
      <c r="C447">
        <v>17</v>
      </c>
      <c r="D447" t="s">
        <v>12</v>
      </c>
      <c r="E447">
        <v>175</v>
      </c>
      <c r="F447" s="1">
        <f>Clients_Churn[[#This Row],[Duree_Cumulee_Panne_Min]]/1440</f>
        <v>0.12152777777777778</v>
      </c>
      <c r="G447">
        <v>24.95</v>
      </c>
      <c r="H447">
        <v>4</v>
      </c>
    </row>
    <row r="448" spans="1:8" x14ac:dyDescent="0.25">
      <c r="A448" t="s">
        <v>482</v>
      </c>
      <c r="B448" t="s">
        <v>24</v>
      </c>
      <c r="C448">
        <v>89</v>
      </c>
      <c r="D448" t="s">
        <v>12</v>
      </c>
      <c r="E448">
        <v>225</v>
      </c>
      <c r="F448" s="1">
        <f>Clients_Churn[[#This Row],[Duree_Cumulee_Panne_Min]]/1440</f>
        <v>0.15625</v>
      </c>
      <c r="G448">
        <v>38.36</v>
      </c>
      <c r="H448">
        <v>2</v>
      </c>
    </row>
    <row r="449" spans="1:8" x14ac:dyDescent="0.25">
      <c r="A449" t="s">
        <v>483</v>
      </c>
      <c r="B449" t="s">
        <v>24</v>
      </c>
      <c r="C449">
        <v>88</v>
      </c>
      <c r="D449" t="s">
        <v>21</v>
      </c>
      <c r="E449">
        <v>232</v>
      </c>
      <c r="F449" s="1">
        <f>Clients_Churn[[#This Row],[Duree_Cumulee_Panne_Min]]/1440</f>
        <v>0.16111111111111112</v>
      </c>
      <c r="G449">
        <v>40.94</v>
      </c>
      <c r="H449">
        <v>2</v>
      </c>
    </row>
    <row r="450" spans="1:8" x14ac:dyDescent="0.25">
      <c r="A450" t="s">
        <v>484</v>
      </c>
      <c r="B450" t="s">
        <v>32</v>
      </c>
      <c r="C450">
        <v>29</v>
      </c>
      <c r="D450" t="s">
        <v>21</v>
      </c>
      <c r="E450">
        <v>350</v>
      </c>
      <c r="F450" s="1">
        <f>Clients_Churn[[#This Row],[Duree_Cumulee_Panne_Min]]/1440</f>
        <v>0.24305555555555555</v>
      </c>
      <c r="G450">
        <v>84.32</v>
      </c>
      <c r="H450">
        <v>3</v>
      </c>
    </row>
    <row r="451" spans="1:8" x14ac:dyDescent="0.25">
      <c r="A451" t="s">
        <v>485</v>
      </c>
      <c r="B451" t="s">
        <v>26</v>
      </c>
      <c r="C451">
        <v>48</v>
      </c>
      <c r="D451" t="s">
        <v>21</v>
      </c>
      <c r="E451">
        <v>473</v>
      </c>
      <c r="F451" s="1">
        <f>Clients_Churn[[#This Row],[Duree_Cumulee_Panne_Min]]/1440</f>
        <v>0.32847222222222222</v>
      </c>
      <c r="G451">
        <v>71.52</v>
      </c>
      <c r="H451">
        <v>5</v>
      </c>
    </row>
    <row r="452" spans="1:8" x14ac:dyDescent="0.25">
      <c r="A452" t="s">
        <v>486</v>
      </c>
      <c r="B452" t="s">
        <v>107</v>
      </c>
      <c r="C452">
        <v>73</v>
      </c>
      <c r="D452" t="s">
        <v>15</v>
      </c>
      <c r="E452">
        <v>225</v>
      </c>
      <c r="F452" s="1">
        <f>Clients_Churn[[#This Row],[Duree_Cumulee_Panne_Min]]/1440</f>
        <v>0.15625</v>
      </c>
      <c r="G452">
        <v>45.86</v>
      </c>
      <c r="H452">
        <v>0</v>
      </c>
    </row>
    <row r="453" spans="1:8" x14ac:dyDescent="0.25">
      <c r="A453" t="s">
        <v>487</v>
      </c>
      <c r="B453" t="s">
        <v>26</v>
      </c>
      <c r="C453">
        <v>35</v>
      </c>
      <c r="D453" t="s">
        <v>12</v>
      </c>
      <c r="E453">
        <v>292</v>
      </c>
      <c r="F453" s="1">
        <f>Clients_Churn[[#This Row],[Duree_Cumulee_Panne_Min]]/1440</f>
        <v>0.20277777777777778</v>
      </c>
      <c r="G453">
        <v>39.21</v>
      </c>
      <c r="H453">
        <v>1</v>
      </c>
    </row>
    <row r="454" spans="1:8" x14ac:dyDescent="0.25">
      <c r="A454" t="s">
        <v>488</v>
      </c>
      <c r="B454" t="s">
        <v>11</v>
      </c>
      <c r="C454">
        <v>107</v>
      </c>
      <c r="D454" t="s">
        <v>15</v>
      </c>
      <c r="E454">
        <v>290</v>
      </c>
      <c r="F454" s="1">
        <f>Clients_Churn[[#This Row],[Duree_Cumulee_Panne_Min]]/1440</f>
        <v>0.2013888888888889</v>
      </c>
      <c r="G454">
        <v>52.03</v>
      </c>
      <c r="H454">
        <v>0</v>
      </c>
    </row>
    <row r="455" spans="1:8" x14ac:dyDescent="0.25">
      <c r="A455" t="s">
        <v>489</v>
      </c>
      <c r="B455" t="s">
        <v>40</v>
      </c>
      <c r="C455">
        <v>80</v>
      </c>
      <c r="D455" t="s">
        <v>9</v>
      </c>
      <c r="E455">
        <v>65</v>
      </c>
      <c r="F455" s="1">
        <f>Clients_Churn[[#This Row],[Duree_Cumulee_Panne_Min]]/1440</f>
        <v>4.5138888888888888E-2</v>
      </c>
      <c r="G455">
        <v>76.64</v>
      </c>
      <c r="H455">
        <v>3</v>
      </c>
    </row>
    <row r="456" spans="1:8" x14ac:dyDescent="0.25">
      <c r="A456" t="s">
        <v>490</v>
      </c>
      <c r="B456" t="s">
        <v>42</v>
      </c>
      <c r="C456">
        <v>66</v>
      </c>
      <c r="D456" t="s">
        <v>21</v>
      </c>
      <c r="E456">
        <v>193</v>
      </c>
      <c r="F456" s="1">
        <f>Clients_Churn[[#This Row],[Duree_Cumulee_Panne_Min]]/1440</f>
        <v>0.13402777777777777</v>
      </c>
      <c r="G456">
        <v>21.06</v>
      </c>
      <c r="H456">
        <v>3</v>
      </c>
    </row>
    <row r="457" spans="1:8" x14ac:dyDescent="0.25">
      <c r="A457" t="s">
        <v>491</v>
      </c>
      <c r="B457" t="s">
        <v>32</v>
      </c>
      <c r="C457">
        <v>38</v>
      </c>
      <c r="D457" t="s">
        <v>15</v>
      </c>
      <c r="E457">
        <v>191</v>
      </c>
      <c r="F457" s="1">
        <f>Clients_Churn[[#This Row],[Duree_Cumulee_Panne_Min]]/1440</f>
        <v>0.13263888888888889</v>
      </c>
      <c r="G457">
        <v>22.97</v>
      </c>
      <c r="H457">
        <v>3</v>
      </c>
    </row>
    <row r="458" spans="1:8" x14ac:dyDescent="0.25">
      <c r="A458" t="s">
        <v>492</v>
      </c>
      <c r="B458" t="s">
        <v>14</v>
      </c>
      <c r="C458">
        <v>119</v>
      </c>
      <c r="D458" t="s">
        <v>12</v>
      </c>
      <c r="E458">
        <v>451</v>
      </c>
      <c r="F458" s="1">
        <f>Clients_Churn[[#This Row],[Duree_Cumulee_Panne_Min]]/1440</f>
        <v>0.31319444444444444</v>
      </c>
      <c r="G458">
        <v>10.46</v>
      </c>
      <c r="H458">
        <v>5</v>
      </c>
    </row>
    <row r="459" spans="1:8" x14ac:dyDescent="0.25">
      <c r="A459" t="s">
        <v>493</v>
      </c>
      <c r="B459" t="s">
        <v>32</v>
      </c>
      <c r="C459">
        <v>55</v>
      </c>
      <c r="D459" t="s">
        <v>9</v>
      </c>
      <c r="E459">
        <v>355</v>
      </c>
      <c r="F459" s="1">
        <f>Clients_Churn[[#This Row],[Duree_Cumulee_Panne_Min]]/1440</f>
        <v>0.24652777777777779</v>
      </c>
      <c r="G459">
        <v>59.65</v>
      </c>
      <c r="H459">
        <v>0</v>
      </c>
    </row>
    <row r="460" spans="1:8" x14ac:dyDescent="0.25">
      <c r="A460" t="s">
        <v>494</v>
      </c>
      <c r="B460" t="s">
        <v>158</v>
      </c>
      <c r="C460">
        <v>6</v>
      </c>
      <c r="D460" t="s">
        <v>15</v>
      </c>
      <c r="E460">
        <v>77</v>
      </c>
      <c r="F460" s="1">
        <f>Clients_Churn[[#This Row],[Duree_Cumulee_Panne_Min]]/1440</f>
        <v>5.347222222222222E-2</v>
      </c>
      <c r="G460">
        <v>18.48</v>
      </c>
      <c r="H460">
        <v>2</v>
      </c>
    </row>
    <row r="461" spans="1:8" x14ac:dyDescent="0.25">
      <c r="A461" t="s">
        <v>495</v>
      </c>
      <c r="B461" t="s">
        <v>34</v>
      </c>
      <c r="C461">
        <v>63</v>
      </c>
      <c r="D461" t="s">
        <v>15</v>
      </c>
      <c r="E461">
        <v>265</v>
      </c>
      <c r="F461" s="1">
        <f>Clients_Churn[[#This Row],[Duree_Cumulee_Panne_Min]]/1440</f>
        <v>0.18402777777777779</v>
      </c>
      <c r="G461">
        <v>49.94</v>
      </c>
      <c r="H461">
        <v>1</v>
      </c>
    </row>
    <row r="462" spans="1:8" x14ac:dyDescent="0.25">
      <c r="A462" t="s">
        <v>496</v>
      </c>
      <c r="B462" t="s">
        <v>50</v>
      </c>
      <c r="C462">
        <v>21</v>
      </c>
      <c r="D462" t="s">
        <v>12</v>
      </c>
      <c r="E462">
        <v>320</v>
      </c>
      <c r="F462" s="1">
        <f>Clients_Churn[[#This Row],[Duree_Cumulee_Panne_Min]]/1440</f>
        <v>0.22222222222222221</v>
      </c>
      <c r="G462">
        <v>64.97</v>
      </c>
      <c r="H462">
        <v>1</v>
      </c>
    </row>
    <row r="463" spans="1:8" x14ac:dyDescent="0.25">
      <c r="A463" t="s">
        <v>497</v>
      </c>
      <c r="B463" t="s">
        <v>34</v>
      </c>
      <c r="C463">
        <v>5</v>
      </c>
      <c r="D463" t="s">
        <v>21</v>
      </c>
      <c r="E463">
        <v>417</v>
      </c>
      <c r="F463" s="1">
        <f>Clients_Churn[[#This Row],[Duree_Cumulee_Panne_Min]]/1440</f>
        <v>0.28958333333333336</v>
      </c>
      <c r="G463">
        <v>90.71</v>
      </c>
      <c r="H463">
        <v>1</v>
      </c>
    </row>
    <row r="464" spans="1:8" x14ac:dyDescent="0.25">
      <c r="A464" t="s">
        <v>498</v>
      </c>
      <c r="B464" t="s">
        <v>67</v>
      </c>
      <c r="C464">
        <v>30</v>
      </c>
      <c r="D464" t="s">
        <v>9</v>
      </c>
      <c r="E464">
        <v>130</v>
      </c>
      <c r="F464" s="1">
        <f>Clients_Churn[[#This Row],[Duree_Cumulee_Panne_Min]]/1440</f>
        <v>9.0277777777777776E-2</v>
      </c>
      <c r="G464">
        <v>50.15</v>
      </c>
      <c r="H464">
        <v>4</v>
      </c>
    </row>
    <row r="465" spans="1:8" x14ac:dyDescent="0.25">
      <c r="A465" t="s">
        <v>499</v>
      </c>
      <c r="B465" t="s">
        <v>32</v>
      </c>
      <c r="C465">
        <v>60</v>
      </c>
      <c r="D465" t="s">
        <v>15</v>
      </c>
      <c r="E465">
        <v>161</v>
      </c>
      <c r="F465" s="1">
        <f>Clients_Churn[[#This Row],[Duree_Cumulee_Panne_Min]]/1440</f>
        <v>0.11180555555555556</v>
      </c>
      <c r="G465">
        <v>62.65</v>
      </c>
      <c r="H465">
        <v>0</v>
      </c>
    </row>
    <row r="466" spans="1:8" x14ac:dyDescent="0.25">
      <c r="A466" t="s">
        <v>500</v>
      </c>
      <c r="B466" t="s">
        <v>11</v>
      </c>
      <c r="C466">
        <v>120</v>
      </c>
      <c r="D466" t="s">
        <v>15</v>
      </c>
      <c r="E466">
        <v>437</v>
      </c>
      <c r="F466" s="1">
        <f>Clients_Churn[[#This Row],[Duree_Cumulee_Panne_Min]]/1440</f>
        <v>0.3034722222222222</v>
      </c>
      <c r="G466">
        <v>95.17</v>
      </c>
      <c r="H466">
        <v>1</v>
      </c>
    </row>
    <row r="467" spans="1:8" x14ac:dyDescent="0.25">
      <c r="A467" t="s">
        <v>501</v>
      </c>
      <c r="B467" t="s">
        <v>40</v>
      </c>
      <c r="C467">
        <v>68</v>
      </c>
      <c r="D467" t="s">
        <v>21</v>
      </c>
      <c r="E467">
        <v>443</v>
      </c>
      <c r="F467" s="1">
        <f>Clients_Churn[[#This Row],[Duree_Cumulee_Panne_Min]]/1440</f>
        <v>0.30763888888888891</v>
      </c>
      <c r="G467">
        <v>12.09</v>
      </c>
      <c r="H467">
        <v>3</v>
      </c>
    </row>
    <row r="468" spans="1:8" x14ac:dyDescent="0.25">
      <c r="A468" t="s">
        <v>502</v>
      </c>
      <c r="B468" t="s">
        <v>74</v>
      </c>
      <c r="C468">
        <v>85</v>
      </c>
      <c r="D468" t="s">
        <v>15</v>
      </c>
      <c r="E468">
        <v>132</v>
      </c>
      <c r="F468" s="1">
        <f>Clients_Churn[[#This Row],[Duree_Cumulee_Panne_Min]]/1440</f>
        <v>9.166666666666666E-2</v>
      </c>
      <c r="G468">
        <v>11.41</v>
      </c>
      <c r="H468">
        <v>0</v>
      </c>
    </row>
    <row r="469" spans="1:8" x14ac:dyDescent="0.25">
      <c r="A469" t="s">
        <v>503</v>
      </c>
      <c r="B469" t="s">
        <v>20</v>
      </c>
      <c r="C469">
        <v>69</v>
      </c>
      <c r="D469" t="s">
        <v>12</v>
      </c>
      <c r="E469">
        <v>463</v>
      </c>
      <c r="F469" s="1">
        <f>Clients_Churn[[#This Row],[Duree_Cumulee_Panne_Min]]/1440</f>
        <v>0.3215277777777778</v>
      </c>
      <c r="G469">
        <v>19.440000000000001</v>
      </c>
      <c r="H469">
        <v>0</v>
      </c>
    </row>
    <row r="470" spans="1:8" x14ac:dyDescent="0.25">
      <c r="A470" t="s">
        <v>504</v>
      </c>
      <c r="B470" t="s">
        <v>26</v>
      </c>
      <c r="C470">
        <v>96</v>
      </c>
      <c r="D470" t="s">
        <v>15</v>
      </c>
      <c r="E470">
        <v>108</v>
      </c>
      <c r="F470" s="1">
        <f>Clients_Churn[[#This Row],[Duree_Cumulee_Panne_Min]]/1440</f>
        <v>7.4999999999999997E-2</v>
      </c>
      <c r="G470">
        <v>30.92</v>
      </c>
      <c r="H470">
        <v>1</v>
      </c>
    </row>
    <row r="471" spans="1:8" x14ac:dyDescent="0.25">
      <c r="A471" t="s">
        <v>505</v>
      </c>
      <c r="B471" t="s">
        <v>44</v>
      </c>
      <c r="C471">
        <v>89</v>
      </c>
      <c r="D471" t="s">
        <v>15</v>
      </c>
      <c r="E471">
        <v>7</v>
      </c>
      <c r="F471" s="1">
        <f>Clients_Churn[[#This Row],[Duree_Cumulee_Panne_Min]]/1440</f>
        <v>4.8611111111111112E-3</v>
      </c>
      <c r="G471">
        <v>53.39</v>
      </c>
      <c r="H471">
        <v>3</v>
      </c>
    </row>
    <row r="472" spans="1:8" x14ac:dyDescent="0.25">
      <c r="A472" t="s">
        <v>506</v>
      </c>
      <c r="B472" t="s">
        <v>67</v>
      </c>
      <c r="C472">
        <v>47</v>
      </c>
      <c r="D472" t="s">
        <v>21</v>
      </c>
      <c r="E472">
        <v>350</v>
      </c>
      <c r="F472" s="1">
        <f>Clients_Churn[[#This Row],[Duree_Cumulee_Panne_Min]]/1440</f>
        <v>0.24305555555555555</v>
      </c>
      <c r="G472">
        <v>80.48</v>
      </c>
      <c r="H472">
        <v>3</v>
      </c>
    </row>
    <row r="473" spans="1:8" x14ac:dyDescent="0.25">
      <c r="A473" t="s">
        <v>507</v>
      </c>
      <c r="B473" t="s">
        <v>44</v>
      </c>
      <c r="C473">
        <v>78</v>
      </c>
      <c r="D473" t="s">
        <v>9</v>
      </c>
      <c r="E473">
        <v>312</v>
      </c>
      <c r="F473" s="1">
        <f>Clients_Churn[[#This Row],[Duree_Cumulee_Panne_Min]]/1440</f>
        <v>0.21666666666666667</v>
      </c>
      <c r="G473">
        <v>85.74</v>
      </c>
      <c r="H473">
        <v>2</v>
      </c>
    </row>
    <row r="474" spans="1:8" x14ac:dyDescent="0.25">
      <c r="A474" t="s">
        <v>508</v>
      </c>
      <c r="B474" t="s">
        <v>74</v>
      </c>
      <c r="C474">
        <v>36</v>
      </c>
      <c r="D474" t="s">
        <v>21</v>
      </c>
      <c r="E474">
        <v>400</v>
      </c>
      <c r="F474" s="1">
        <f>Clients_Churn[[#This Row],[Duree_Cumulee_Panne_Min]]/1440</f>
        <v>0.27777777777777779</v>
      </c>
      <c r="G474">
        <v>60.35</v>
      </c>
      <c r="H474">
        <v>1</v>
      </c>
    </row>
    <row r="475" spans="1:8" x14ac:dyDescent="0.25">
      <c r="A475" t="s">
        <v>509</v>
      </c>
      <c r="B475" t="s">
        <v>20</v>
      </c>
      <c r="C475">
        <v>44</v>
      </c>
      <c r="D475" t="s">
        <v>9</v>
      </c>
      <c r="E475">
        <v>348</v>
      </c>
      <c r="F475" s="1">
        <f>Clients_Churn[[#This Row],[Duree_Cumulee_Panne_Min]]/1440</f>
        <v>0.24166666666666667</v>
      </c>
      <c r="G475">
        <v>58.67</v>
      </c>
      <c r="H475">
        <v>0</v>
      </c>
    </row>
    <row r="476" spans="1:8" x14ac:dyDescent="0.25">
      <c r="A476" t="s">
        <v>510</v>
      </c>
      <c r="B476" t="s">
        <v>158</v>
      </c>
      <c r="C476">
        <v>120</v>
      </c>
      <c r="D476" t="s">
        <v>12</v>
      </c>
      <c r="E476">
        <v>209</v>
      </c>
      <c r="F476" s="1">
        <f>Clients_Churn[[#This Row],[Duree_Cumulee_Panne_Min]]/1440</f>
        <v>0.1451388888888889</v>
      </c>
      <c r="G476">
        <v>42.51</v>
      </c>
      <c r="H476">
        <v>4</v>
      </c>
    </row>
    <row r="477" spans="1:8" x14ac:dyDescent="0.25">
      <c r="A477" t="s">
        <v>511</v>
      </c>
      <c r="B477" t="s">
        <v>34</v>
      </c>
      <c r="C477">
        <v>116</v>
      </c>
      <c r="D477" t="s">
        <v>21</v>
      </c>
      <c r="E477">
        <v>279</v>
      </c>
      <c r="F477" s="1">
        <f>Clients_Churn[[#This Row],[Duree_Cumulee_Panne_Min]]/1440</f>
        <v>0.19375000000000001</v>
      </c>
      <c r="G477">
        <v>62.88</v>
      </c>
      <c r="H477">
        <v>4</v>
      </c>
    </row>
    <row r="478" spans="1:8" x14ac:dyDescent="0.25">
      <c r="A478" t="s">
        <v>512</v>
      </c>
      <c r="B478" t="s">
        <v>36</v>
      </c>
      <c r="C478">
        <v>106</v>
      </c>
      <c r="D478" t="s">
        <v>15</v>
      </c>
      <c r="E478">
        <v>236</v>
      </c>
      <c r="F478" s="1">
        <f>Clients_Churn[[#This Row],[Duree_Cumulee_Panne_Min]]/1440</f>
        <v>0.16388888888888889</v>
      </c>
      <c r="G478">
        <v>18.72</v>
      </c>
      <c r="H478">
        <v>4</v>
      </c>
    </row>
    <row r="479" spans="1:8" x14ac:dyDescent="0.25">
      <c r="A479" t="s">
        <v>513</v>
      </c>
      <c r="B479" t="s">
        <v>20</v>
      </c>
      <c r="C479">
        <v>60</v>
      </c>
      <c r="D479" t="s">
        <v>9</v>
      </c>
      <c r="E479">
        <v>306</v>
      </c>
      <c r="F479" s="1">
        <f>Clients_Churn[[#This Row],[Duree_Cumulee_Panne_Min]]/1440</f>
        <v>0.21249999999999999</v>
      </c>
      <c r="G479">
        <v>63.83</v>
      </c>
      <c r="H479">
        <v>2</v>
      </c>
    </row>
    <row r="480" spans="1:8" x14ac:dyDescent="0.25">
      <c r="A480" t="s">
        <v>514</v>
      </c>
      <c r="B480" t="s">
        <v>32</v>
      </c>
      <c r="C480">
        <v>1</v>
      </c>
      <c r="D480" t="s">
        <v>21</v>
      </c>
      <c r="E480">
        <v>429</v>
      </c>
      <c r="F480" s="1">
        <f>Clients_Churn[[#This Row],[Duree_Cumulee_Panne_Min]]/1440</f>
        <v>0.29791666666666666</v>
      </c>
      <c r="G480">
        <v>20.96</v>
      </c>
      <c r="H480">
        <v>5</v>
      </c>
    </row>
    <row r="481" spans="1:8" x14ac:dyDescent="0.25">
      <c r="A481" t="s">
        <v>515</v>
      </c>
      <c r="B481" t="s">
        <v>50</v>
      </c>
      <c r="C481">
        <v>110</v>
      </c>
      <c r="D481" t="s">
        <v>9</v>
      </c>
      <c r="E481">
        <v>132</v>
      </c>
      <c r="F481" s="1">
        <f>Clients_Churn[[#This Row],[Duree_Cumulee_Panne_Min]]/1440</f>
        <v>9.166666666666666E-2</v>
      </c>
      <c r="G481">
        <v>21.31</v>
      </c>
      <c r="H481">
        <v>5</v>
      </c>
    </row>
    <row r="482" spans="1:8" x14ac:dyDescent="0.25">
      <c r="A482" t="s">
        <v>516</v>
      </c>
      <c r="B482" t="s">
        <v>44</v>
      </c>
      <c r="C482">
        <v>74</v>
      </c>
      <c r="D482" t="s">
        <v>15</v>
      </c>
      <c r="E482">
        <v>330</v>
      </c>
      <c r="F482" s="1">
        <f>Clients_Churn[[#This Row],[Duree_Cumulee_Panne_Min]]/1440</f>
        <v>0.22916666666666666</v>
      </c>
      <c r="G482">
        <v>37.82</v>
      </c>
      <c r="H482">
        <v>5</v>
      </c>
    </row>
    <row r="483" spans="1:8" x14ac:dyDescent="0.25">
      <c r="A483" t="s">
        <v>517</v>
      </c>
      <c r="B483" t="s">
        <v>46</v>
      </c>
      <c r="C483">
        <v>14</v>
      </c>
      <c r="D483" t="s">
        <v>12</v>
      </c>
      <c r="E483">
        <v>101</v>
      </c>
      <c r="F483" s="1">
        <f>Clients_Churn[[#This Row],[Duree_Cumulee_Panne_Min]]/1440</f>
        <v>7.013888888888889E-2</v>
      </c>
      <c r="G483">
        <v>43.99</v>
      </c>
      <c r="H483">
        <v>1</v>
      </c>
    </row>
    <row r="484" spans="1:8" x14ac:dyDescent="0.25">
      <c r="A484" t="s">
        <v>518</v>
      </c>
      <c r="B484" t="s">
        <v>64</v>
      </c>
      <c r="C484">
        <v>62</v>
      </c>
      <c r="D484" t="s">
        <v>15</v>
      </c>
      <c r="E484">
        <v>369</v>
      </c>
      <c r="F484" s="1">
        <f>Clients_Churn[[#This Row],[Duree_Cumulee_Panne_Min]]/1440</f>
        <v>0.25624999999999998</v>
      </c>
      <c r="G484">
        <v>58.74</v>
      </c>
      <c r="H484">
        <v>1</v>
      </c>
    </row>
    <row r="485" spans="1:8" x14ac:dyDescent="0.25">
      <c r="A485" t="s">
        <v>519</v>
      </c>
      <c r="B485" t="s">
        <v>26</v>
      </c>
      <c r="C485">
        <v>89</v>
      </c>
      <c r="D485" t="s">
        <v>21</v>
      </c>
      <c r="E485">
        <v>143</v>
      </c>
      <c r="F485" s="1">
        <f>Clients_Churn[[#This Row],[Duree_Cumulee_Panne_Min]]/1440</f>
        <v>9.930555555555555E-2</v>
      </c>
      <c r="G485">
        <v>48.05</v>
      </c>
      <c r="H485">
        <v>4</v>
      </c>
    </row>
    <row r="486" spans="1:8" x14ac:dyDescent="0.25">
      <c r="A486" t="s">
        <v>520</v>
      </c>
      <c r="B486" t="s">
        <v>40</v>
      </c>
      <c r="C486">
        <v>19</v>
      </c>
      <c r="D486" t="s">
        <v>21</v>
      </c>
      <c r="E486">
        <v>270</v>
      </c>
      <c r="F486" s="1">
        <f>Clients_Churn[[#This Row],[Duree_Cumulee_Panne_Min]]/1440</f>
        <v>0.1875</v>
      </c>
      <c r="G486">
        <v>19.760000000000002</v>
      </c>
      <c r="H486">
        <v>3</v>
      </c>
    </row>
    <row r="487" spans="1:8" x14ac:dyDescent="0.25">
      <c r="A487" t="s">
        <v>521</v>
      </c>
      <c r="B487" t="s">
        <v>14</v>
      </c>
      <c r="C487">
        <v>42</v>
      </c>
      <c r="D487" t="s">
        <v>9</v>
      </c>
      <c r="E487">
        <v>448</v>
      </c>
      <c r="F487" s="1">
        <f>Clients_Churn[[#This Row],[Duree_Cumulee_Panne_Min]]/1440</f>
        <v>0.31111111111111112</v>
      </c>
      <c r="G487">
        <v>49.02</v>
      </c>
      <c r="H487">
        <v>0</v>
      </c>
    </row>
    <row r="488" spans="1:8" x14ac:dyDescent="0.25">
      <c r="A488" t="s">
        <v>522</v>
      </c>
      <c r="B488" t="s">
        <v>67</v>
      </c>
      <c r="C488">
        <v>116</v>
      </c>
      <c r="D488" t="s">
        <v>21</v>
      </c>
      <c r="E488">
        <v>14</v>
      </c>
      <c r="F488" s="1">
        <f>Clients_Churn[[#This Row],[Duree_Cumulee_Panne_Min]]/1440</f>
        <v>9.7222222222222224E-3</v>
      </c>
      <c r="G488">
        <v>30.38</v>
      </c>
      <c r="H488">
        <v>1</v>
      </c>
    </row>
    <row r="489" spans="1:8" x14ac:dyDescent="0.25">
      <c r="A489" t="s">
        <v>523</v>
      </c>
      <c r="B489" t="s">
        <v>26</v>
      </c>
      <c r="C489">
        <v>47</v>
      </c>
      <c r="D489" t="s">
        <v>9</v>
      </c>
      <c r="E489">
        <v>98</v>
      </c>
      <c r="F489" s="1">
        <f>Clients_Churn[[#This Row],[Duree_Cumulee_Panne_Min]]/1440</f>
        <v>6.805555555555555E-2</v>
      </c>
      <c r="G489">
        <v>16.16</v>
      </c>
      <c r="H489">
        <v>5</v>
      </c>
    </row>
    <row r="490" spans="1:8" x14ac:dyDescent="0.25">
      <c r="A490" t="s">
        <v>524</v>
      </c>
      <c r="B490" t="s">
        <v>17</v>
      </c>
      <c r="C490">
        <v>86</v>
      </c>
      <c r="D490" t="s">
        <v>21</v>
      </c>
      <c r="E490">
        <v>27</v>
      </c>
      <c r="F490" s="1">
        <f>Clients_Churn[[#This Row],[Duree_Cumulee_Panne_Min]]/1440</f>
        <v>1.8749999999999999E-2</v>
      </c>
      <c r="G490">
        <v>84.94</v>
      </c>
      <c r="H490">
        <v>4</v>
      </c>
    </row>
    <row r="491" spans="1:8" x14ac:dyDescent="0.25">
      <c r="A491" t="s">
        <v>525</v>
      </c>
      <c r="B491" t="s">
        <v>20</v>
      </c>
      <c r="C491">
        <v>86</v>
      </c>
      <c r="D491" t="s">
        <v>21</v>
      </c>
      <c r="E491">
        <v>278</v>
      </c>
      <c r="F491" s="1">
        <f>Clients_Churn[[#This Row],[Duree_Cumulee_Panne_Min]]/1440</f>
        <v>0.19305555555555556</v>
      </c>
      <c r="G491">
        <v>30.12</v>
      </c>
      <c r="H491">
        <v>0</v>
      </c>
    </row>
    <row r="492" spans="1:8" x14ac:dyDescent="0.25">
      <c r="A492" t="s">
        <v>526</v>
      </c>
      <c r="B492" t="s">
        <v>40</v>
      </c>
      <c r="C492">
        <v>94</v>
      </c>
      <c r="D492" t="s">
        <v>15</v>
      </c>
      <c r="E492">
        <v>122</v>
      </c>
      <c r="F492" s="1">
        <f>Clients_Churn[[#This Row],[Duree_Cumulee_Panne_Min]]/1440</f>
        <v>8.4722222222222227E-2</v>
      </c>
      <c r="G492">
        <v>95.74</v>
      </c>
      <c r="H492">
        <v>5</v>
      </c>
    </row>
    <row r="493" spans="1:8" x14ac:dyDescent="0.25">
      <c r="A493" t="s">
        <v>527</v>
      </c>
      <c r="B493" t="s">
        <v>158</v>
      </c>
      <c r="C493">
        <v>66</v>
      </c>
      <c r="D493" t="s">
        <v>12</v>
      </c>
      <c r="E493">
        <v>152</v>
      </c>
      <c r="F493" s="1">
        <f>Clients_Churn[[#This Row],[Duree_Cumulee_Panne_Min]]/1440</f>
        <v>0.10555555555555556</v>
      </c>
      <c r="G493">
        <v>95.71</v>
      </c>
      <c r="H493">
        <v>3</v>
      </c>
    </row>
    <row r="494" spans="1:8" x14ac:dyDescent="0.25">
      <c r="A494" t="s">
        <v>528</v>
      </c>
      <c r="B494" t="s">
        <v>36</v>
      </c>
      <c r="C494">
        <v>114</v>
      </c>
      <c r="D494" t="s">
        <v>12</v>
      </c>
      <c r="E494">
        <v>220</v>
      </c>
      <c r="F494" s="1">
        <f>Clients_Churn[[#This Row],[Duree_Cumulee_Panne_Min]]/1440</f>
        <v>0.15277777777777779</v>
      </c>
      <c r="G494">
        <v>63.67</v>
      </c>
      <c r="H494">
        <v>5</v>
      </c>
    </row>
    <row r="495" spans="1:8" x14ac:dyDescent="0.25">
      <c r="A495" t="s">
        <v>529</v>
      </c>
      <c r="B495" t="s">
        <v>8</v>
      </c>
      <c r="C495">
        <v>36</v>
      </c>
      <c r="D495" t="s">
        <v>9</v>
      </c>
      <c r="E495">
        <v>311</v>
      </c>
      <c r="F495" s="1">
        <f>Clients_Churn[[#This Row],[Duree_Cumulee_Panne_Min]]/1440</f>
        <v>0.21597222222222223</v>
      </c>
      <c r="G495">
        <v>13.19</v>
      </c>
      <c r="H495">
        <v>4</v>
      </c>
    </row>
    <row r="496" spans="1:8" x14ac:dyDescent="0.25">
      <c r="A496" t="s">
        <v>530</v>
      </c>
      <c r="B496" t="s">
        <v>8</v>
      </c>
      <c r="C496">
        <v>94</v>
      </c>
      <c r="D496" t="s">
        <v>15</v>
      </c>
      <c r="E496">
        <v>115</v>
      </c>
      <c r="F496" s="1">
        <f>Clients_Churn[[#This Row],[Duree_Cumulee_Panne_Min]]/1440</f>
        <v>7.9861111111111105E-2</v>
      </c>
      <c r="G496">
        <v>19.12</v>
      </c>
      <c r="H496">
        <v>0</v>
      </c>
    </row>
    <row r="497" spans="1:8" x14ac:dyDescent="0.25">
      <c r="A497" t="s">
        <v>531</v>
      </c>
      <c r="B497" t="s">
        <v>17</v>
      </c>
      <c r="C497">
        <v>65</v>
      </c>
      <c r="D497" t="s">
        <v>21</v>
      </c>
      <c r="E497">
        <v>397</v>
      </c>
      <c r="F497" s="1">
        <f>Clients_Churn[[#This Row],[Duree_Cumulee_Panne_Min]]/1440</f>
        <v>0.27569444444444446</v>
      </c>
      <c r="G497">
        <v>22.6</v>
      </c>
      <c r="H497">
        <v>5</v>
      </c>
    </row>
    <row r="498" spans="1:8" x14ac:dyDescent="0.25">
      <c r="A498" t="s">
        <v>532</v>
      </c>
      <c r="B498" t="s">
        <v>20</v>
      </c>
      <c r="C498">
        <v>118</v>
      </c>
      <c r="D498" t="s">
        <v>15</v>
      </c>
      <c r="E498">
        <v>489</v>
      </c>
      <c r="F498" s="1">
        <f>Clients_Churn[[#This Row],[Duree_Cumulee_Panne_Min]]/1440</f>
        <v>0.33958333333333335</v>
      </c>
      <c r="G498">
        <v>76.22</v>
      </c>
      <c r="H498">
        <v>2</v>
      </c>
    </row>
    <row r="499" spans="1:8" x14ac:dyDescent="0.25">
      <c r="A499" t="s">
        <v>533</v>
      </c>
      <c r="B499" t="s">
        <v>46</v>
      </c>
      <c r="C499">
        <v>23</v>
      </c>
      <c r="D499" t="s">
        <v>21</v>
      </c>
      <c r="E499">
        <v>314</v>
      </c>
      <c r="F499" s="1">
        <f>Clients_Churn[[#This Row],[Duree_Cumulee_Panne_Min]]/1440</f>
        <v>0.21805555555555556</v>
      </c>
      <c r="G499">
        <v>19.260000000000002</v>
      </c>
      <c r="H499">
        <v>3</v>
      </c>
    </row>
    <row r="500" spans="1:8" x14ac:dyDescent="0.25">
      <c r="A500" t="s">
        <v>534</v>
      </c>
      <c r="B500" t="s">
        <v>8</v>
      </c>
      <c r="C500">
        <v>85</v>
      </c>
      <c r="D500" t="s">
        <v>12</v>
      </c>
      <c r="E500">
        <v>60</v>
      </c>
      <c r="F500" s="1">
        <f>Clients_Churn[[#This Row],[Duree_Cumulee_Panne_Min]]/1440</f>
        <v>4.1666666666666664E-2</v>
      </c>
      <c r="G500">
        <v>26.3</v>
      </c>
      <c r="H500">
        <v>2</v>
      </c>
    </row>
    <row r="501" spans="1:8" x14ac:dyDescent="0.25">
      <c r="A501" t="s">
        <v>535</v>
      </c>
      <c r="B501" t="s">
        <v>71</v>
      </c>
      <c r="C501">
        <v>92</v>
      </c>
      <c r="D501" t="s">
        <v>9</v>
      </c>
      <c r="E501">
        <v>6</v>
      </c>
      <c r="F501" s="1">
        <f>Clients_Churn[[#This Row],[Duree_Cumulee_Panne_Min]]/1440</f>
        <v>4.1666666666666666E-3</v>
      </c>
      <c r="G501">
        <v>77.14</v>
      </c>
      <c r="H501">
        <v>5</v>
      </c>
    </row>
    <row r="502" spans="1:8" x14ac:dyDescent="0.25">
      <c r="A502" t="s">
        <v>536</v>
      </c>
      <c r="B502" t="s">
        <v>107</v>
      </c>
      <c r="C502">
        <v>117</v>
      </c>
      <c r="D502" t="s">
        <v>15</v>
      </c>
      <c r="E502">
        <v>39</v>
      </c>
      <c r="F502" s="1">
        <f>Clients_Churn[[#This Row],[Duree_Cumulee_Panne_Min]]/1440</f>
        <v>2.7083333333333334E-2</v>
      </c>
      <c r="G502">
        <v>26.53</v>
      </c>
      <c r="H502">
        <v>1</v>
      </c>
    </row>
    <row r="503" spans="1:8" x14ac:dyDescent="0.25">
      <c r="A503" t="s">
        <v>537</v>
      </c>
      <c r="B503" t="s">
        <v>17</v>
      </c>
      <c r="C503">
        <v>114</v>
      </c>
      <c r="D503" t="s">
        <v>21</v>
      </c>
      <c r="E503">
        <v>232</v>
      </c>
      <c r="F503" s="1">
        <f>Clients_Churn[[#This Row],[Duree_Cumulee_Panne_Min]]/1440</f>
        <v>0.16111111111111112</v>
      </c>
      <c r="G503">
        <v>42.2</v>
      </c>
      <c r="H503">
        <v>2</v>
      </c>
    </row>
    <row r="504" spans="1:8" x14ac:dyDescent="0.25">
      <c r="A504" t="s">
        <v>538</v>
      </c>
      <c r="B504" t="s">
        <v>64</v>
      </c>
      <c r="C504">
        <v>64</v>
      </c>
      <c r="D504" t="s">
        <v>9</v>
      </c>
      <c r="E504">
        <v>250</v>
      </c>
      <c r="F504" s="1">
        <f>Clients_Churn[[#This Row],[Duree_Cumulee_Panne_Min]]/1440</f>
        <v>0.1736111111111111</v>
      </c>
      <c r="G504">
        <v>56.7</v>
      </c>
      <c r="H504">
        <v>0</v>
      </c>
    </row>
    <row r="505" spans="1:8" x14ac:dyDescent="0.25">
      <c r="A505" t="s">
        <v>539</v>
      </c>
      <c r="B505" t="s">
        <v>11</v>
      </c>
      <c r="C505">
        <v>88</v>
      </c>
      <c r="D505" t="s">
        <v>21</v>
      </c>
      <c r="E505">
        <v>219</v>
      </c>
      <c r="F505" s="1">
        <f>Clients_Churn[[#This Row],[Duree_Cumulee_Panne_Min]]/1440</f>
        <v>0.15208333333333332</v>
      </c>
      <c r="G505">
        <v>59.15</v>
      </c>
      <c r="H505">
        <v>0</v>
      </c>
    </row>
    <row r="506" spans="1:8" x14ac:dyDescent="0.25">
      <c r="A506" t="s">
        <v>540</v>
      </c>
      <c r="B506" t="s">
        <v>71</v>
      </c>
      <c r="C506">
        <v>25</v>
      </c>
      <c r="D506" t="s">
        <v>9</v>
      </c>
      <c r="E506">
        <v>131</v>
      </c>
      <c r="F506" s="1">
        <f>Clients_Churn[[#This Row],[Duree_Cumulee_Panne_Min]]/1440</f>
        <v>9.0972222222222218E-2</v>
      </c>
      <c r="G506">
        <v>67.489999999999995</v>
      </c>
      <c r="H506">
        <v>0</v>
      </c>
    </row>
    <row r="507" spans="1:8" x14ac:dyDescent="0.25">
      <c r="A507" t="s">
        <v>541</v>
      </c>
      <c r="B507" t="s">
        <v>158</v>
      </c>
      <c r="C507">
        <v>32</v>
      </c>
      <c r="D507" t="s">
        <v>15</v>
      </c>
      <c r="E507">
        <v>405</v>
      </c>
      <c r="F507" s="1">
        <f>Clients_Churn[[#This Row],[Duree_Cumulee_Panne_Min]]/1440</f>
        <v>0.28125</v>
      </c>
      <c r="G507">
        <v>67.92</v>
      </c>
      <c r="H507">
        <v>3</v>
      </c>
    </row>
    <row r="508" spans="1:8" x14ac:dyDescent="0.25">
      <c r="A508" t="s">
        <v>542</v>
      </c>
      <c r="B508" t="s">
        <v>99</v>
      </c>
      <c r="C508">
        <v>41</v>
      </c>
      <c r="D508" t="s">
        <v>9</v>
      </c>
      <c r="E508">
        <v>2</v>
      </c>
      <c r="F508" s="1">
        <f>Clients_Churn[[#This Row],[Duree_Cumulee_Panne_Min]]/1440</f>
        <v>1.3888888888888889E-3</v>
      </c>
      <c r="G508">
        <v>24.91</v>
      </c>
      <c r="H508">
        <v>1</v>
      </c>
    </row>
    <row r="509" spans="1:8" x14ac:dyDescent="0.25">
      <c r="A509" t="s">
        <v>543</v>
      </c>
      <c r="B509" t="s">
        <v>40</v>
      </c>
      <c r="C509">
        <v>103</v>
      </c>
      <c r="D509" t="s">
        <v>21</v>
      </c>
      <c r="E509">
        <v>354</v>
      </c>
      <c r="F509" s="1">
        <f>Clients_Churn[[#This Row],[Duree_Cumulee_Panne_Min]]/1440</f>
        <v>0.24583333333333332</v>
      </c>
      <c r="G509">
        <v>26.19</v>
      </c>
      <c r="H509">
        <v>4</v>
      </c>
    </row>
    <row r="510" spans="1:8" x14ac:dyDescent="0.25">
      <c r="A510" t="s">
        <v>544</v>
      </c>
      <c r="B510" t="s">
        <v>30</v>
      </c>
      <c r="C510">
        <v>108</v>
      </c>
      <c r="D510" t="s">
        <v>21</v>
      </c>
      <c r="E510">
        <v>323</v>
      </c>
      <c r="F510" s="1">
        <f>Clients_Churn[[#This Row],[Duree_Cumulee_Panne_Min]]/1440</f>
        <v>0.22430555555555556</v>
      </c>
      <c r="G510">
        <v>58.54</v>
      </c>
      <c r="H510">
        <v>2</v>
      </c>
    </row>
    <row r="511" spans="1:8" x14ac:dyDescent="0.25">
      <c r="A511" t="s">
        <v>545</v>
      </c>
      <c r="B511" t="s">
        <v>46</v>
      </c>
      <c r="C511">
        <v>111</v>
      </c>
      <c r="D511" t="s">
        <v>15</v>
      </c>
      <c r="E511">
        <v>54</v>
      </c>
      <c r="F511" s="1">
        <f>Clients_Churn[[#This Row],[Duree_Cumulee_Panne_Min]]/1440</f>
        <v>3.7499999999999999E-2</v>
      </c>
      <c r="G511">
        <v>71.3</v>
      </c>
      <c r="H511">
        <v>0</v>
      </c>
    </row>
    <row r="512" spans="1:8" x14ac:dyDescent="0.25">
      <c r="A512" t="s">
        <v>546</v>
      </c>
      <c r="B512" t="s">
        <v>26</v>
      </c>
      <c r="C512">
        <v>6</v>
      </c>
      <c r="D512" t="s">
        <v>9</v>
      </c>
      <c r="E512">
        <v>6</v>
      </c>
      <c r="F512" s="1">
        <f>Clients_Churn[[#This Row],[Duree_Cumulee_Panne_Min]]/1440</f>
        <v>4.1666666666666666E-3</v>
      </c>
      <c r="G512">
        <v>72.27</v>
      </c>
      <c r="H512">
        <v>4</v>
      </c>
    </row>
    <row r="513" spans="1:8" x14ac:dyDescent="0.25">
      <c r="A513" t="s">
        <v>547</v>
      </c>
      <c r="B513" t="s">
        <v>99</v>
      </c>
      <c r="C513">
        <v>81</v>
      </c>
      <c r="D513" t="s">
        <v>12</v>
      </c>
      <c r="E513">
        <v>443</v>
      </c>
      <c r="F513" s="1">
        <f>Clients_Churn[[#This Row],[Duree_Cumulee_Panne_Min]]/1440</f>
        <v>0.30763888888888891</v>
      </c>
      <c r="G513">
        <v>32.78</v>
      </c>
      <c r="H513">
        <v>1</v>
      </c>
    </row>
    <row r="514" spans="1:8" x14ac:dyDescent="0.25">
      <c r="A514" t="s">
        <v>548</v>
      </c>
      <c r="B514" t="s">
        <v>11</v>
      </c>
      <c r="C514">
        <v>86</v>
      </c>
      <c r="D514" t="s">
        <v>12</v>
      </c>
      <c r="E514">
        <v>192</v>
      </c>
      <c r="F514" s="1">
        <f>Clients_Churn[[#This Row],[Duree_Cumulee_Panne_Min]]/1440</f>
        <v>0.13333333333333333</v>
      </c>
      <c r="G514">
        <v>26.26</v>
      </c>
      <c r="H514">
        <v>1</v>
      </c>
    </row>
    <row r="515" spans="1:8" x14ac:dyDescent="0.25">
      <c r="A515" t="s">
        <v>549</v>
      </c>
      <c r="B515" t="s">
        <v>46</v>
      </c>
      <c r="C515">
        <v>60</v>
      </c>
      <c r="D515" t="s">
        <v>15</v>
      </c>
      <c r="E515">
        <v>54</v>
      </c>
      <c r="F515" s="1">
        <f>Clients_Churn[[#This Row],[Duree_Cumulee_Panne_Min]]/1440</f>
        <v>3.7499999999999999E-2</v>
      </c>
      <c r="G515">
        <v>67.180000000000007</v>
      </c>
      <c r="H515">
        <v>3</v>
      </c>
    </row>
    <row r="516" spans="1:8" x14ac:dyDescent="0.25">
      <c r="A516" t="s">
        <v>550</v>
      </c>
      <c r="B516" t="s">
        <v>64</v>
      </c>
      <c r="C516">
        <v>49</v>
      </c>
      <c r="D516" t="s">
        <v>21</v>
      </c>
      <c r="E516">
        <v>357</v>
      </c>
      <c r="F516" s="1">
        <f>Clients_Churn[[#This Row],[Duree_Cumulee_Panne_Min]]/1440</f>
        <v>0.24791666666666667</v>
      </c>
      <c r="G516">
        <v>96.67</v>
      </c>
      <c r="H516">
        <v>3</v>
      </c>
    </row>
    <row r="517" spans="1:8" x14ac:dyDescent="0.25">
      <c r="A517" t="s">
        <v>551</v>
      </c>
      <c r="B517" t="s">
        <v>64</v>
      </c>
      <c r="C517">
        <v>69</v>
      </c>
      <c r="D517" t="s">
        <v>9</v>
      </c>
      <c r="E517">
        <v>180</v>
      </c>
      <c r="F517" s="1">
        <f>Clients_Churn[[#This Row],[Duree_Cumulee_Panne_Min]]/1440</f>
        <v>0.125</v>
      </c>
      <c r="G517">
        <v>76.05</v>
      </c>
      <c r="H517">
        <v>2</v>
      </c>
    </row>
    <row r="518" spans="1:8" x14ac:dyDescent="0.25">
      <c r="A518" t="s">
        <v>552</v>
      </c>
      <c r="B518" t="s">
        <v>46</v>
      </c>
      <c r="C518">
        <v>87</v>
      </c>
      <c r="D518" t="s">
        <v>12</v>
      </c>
      <c r="E518">
        <v>442</v>
      </c>
      <c r="F518" s="1">
        <f>Clients_Churn[[#This Row],[Duree_Cumulee_Panne_Min]]/1440</f>
        <v>0.30694444444444446</v>
      </c>
      <c r="G518">
        <v>22.39</v>
      </c>
      <c r="H518">
        <v>3</v>
      </c>
    </row>
    <row r="519" spans="1:8" x14ac:dyDescent="0.25">
      <c r="A519" t="s">
        <v>553</v>
      </c>
      <c r="B519" t="s">
        <v>64</v>
      </c>
      <c r="C519">
        <v>58</v>
      </c>
      <c r="D519" t="s">
        <v>9</v>
      </c>
      <c r="E519">
        <v>293</v>
      </c>
      <c r="F519" s="1">
        <f>Clients_Churn[[#This Row],[Duree_Cumulee_Panne_Min]]/1440</f>
        <v>0.20347222222222222</v>
      </c>
      <c r="G519">
        <v>88.85</v>
      </c>
      <c r="H519">
        <v>5</v>
      </c>
    </row>
    <row r="520" spans="1:8" x14ac:dyDescent="0.25">
      <c r="A520" t="s">
        <v>554</v>
      </c>
      <c r="B520" t="s">
        <v>48</v>
      </c>
      <c r="C520">
        <v>85</v>
      </c>
      <c r="D520" t="s">
        <v>12</v>
      </c>
      <c r="E520">
        <v>28</v>
      </c>
      <c r="F520" s="1">
        <f>Clients_Churn[[#This Row],[Duree_Cumulee_Panne_Min]]/1440</f>
        <v>1.9444444444444445E-2</v>
      </c>
      <c r="G520">
        <v>83.82</v>
      </c>
      <c r="H520">
        <v>0</v>
      </c>
    </row>
    <row r="521" spans="1:8" x14ac:dyDescent="0.25">
      <c r="A521" t="s">
        <v>555</v>
      </c>
      <c r="B521" t="s">
        <v>36</v>
      </c>
      <c r="C521">
        <v>117</v>
      </c>
      <c r="D521" t="s">
        <v>9</v>
      </c>
      <c r="E521">
        <v>85</v>
      </c>
      <c r="F521" s="1">
        <f>Clients_Churn[[#This Row],[Duree_Cumulee_Panne_Min]]/1440</f>
        <v>5.9027777777777776E-2</v>
      </c>
      <c r="G521">
        <v>46.16</v>
      </c>
      <c r="H521">
        <v>3</v>
      </c>
    </row>
    <row r="522" spans="1:8" x14ac:dyDescent="0.25">
      <c r="A522" t="s">
        <v>556</v>
      </c>
      <c r="B522" t="s">
        <v>44</v>
      </c>
      <c r="C522">
        <v>4</v>
      </c>
      <c r="D522" t="s">
        <v>12</v>
      </c>
      <c r="E522">
        <v>372</v>
      </c>
      <c r="F522" s="1">
        <f>Clients_Churn[[#This Row],[Duree_Cumulee_Panne_Min]]/1440</f>
        <v>0.25833333333333336</v>
      </c>
      <c r="G522">
        <v>26.73</v>
      </c>
      <c r="H522">
        <v>3</v>
      </c>
    </row>
    <row r="523" spans="1:8" x14ac:dyDescent="0.25">
      <c r="A523" t="s">
        <v>557</v>
      </c>
      <c r="B523" t="s">
        <v>107</v>
      </c>
      <c r="C523">
        <v>97</v>
      </c>
      <c r="D523" t="s">
        <v>9</v>
      </c>
      <c r="E523">
        <v>173</v>
      </c>
      <c r="F523" s="1">
        <f>Clients_Churn[[#This Row],[Duree_Cumulee_Panne_Min]]/1440</f>
        <v>0.12013888888888889</v>
      </c>
      <c r="G523">
        <v>19.37</v>
      </c>
      <c r="H523">
        <v>5</v>
      </c>
    </row>
    <row r="524" spans="1:8" x14ac:dyDescent="0.25">
      <c r="A524" t="s">
        <v>558</v>
      </c>
      <c r="B524" t="s">
        <v>32</v>
      </c>
      <c r="C524">
        <v>33</v>
      </c>
      <c r="D524" t="s">
        <v>9</v>
      </c>
      <c r="E524">
        <v>273</v>
      </c>
      <c r="F524" s="1">
        <f>Clients_Churn[[#This Row],[Duree_Cumulee_Panne_Min]]/1440</f>
        <v>0.18958333333333333</v>
      </c>
      <c r="G524">
        <v>49.8</v>
      </c>
      <c r="H524">
        <v>0</v>
      </c>
    </row>
    <row r="525" spans="1:8" x14ac:dyDescent="0.25">
      <c r="A525" t="s">
        <v>559</v>
      </c>
      <c r="B525" t="s">
        <v>107</v>
      </c>
      <c r="C525">
        <v>41</v>
      </c>
      <c r="D525" t="s">
        <v>21</v>
      </c>
      <c r="E525">
        <v>383</v>
      </c>
      <c r="F525" s="1">
        <f>Clients_Churn[[#This Row],[Duree_Cumulee_Panne_Min]]/1440</f>
        <v>0.26597222222222222</v>
      </c>
      <c r="G525">
        <v>27.53</v>
      </c>
      <c r="H525">
        <v>4</v>
      </c>
    </row>
    <row r="526" spans="1:8" x14ac:dyDescent="0.25">
      <c r="A526" t="s">
        <v>560</v>
      </c>
      <c r="B526" t="s">
        <v>74</v>
      </c>
      <c r="C526">
        <v>77</v>
      </c>
      <c r="D526" t="s">
        <v>15</v>
      </c>
      <c r="E526">
        <v>45</v>
      </c>
      <c r="F526" s="1">
        <f>Clients_Churn[[#This Row],[Duree_Cumulee_Panne_Min]]/1440</f>
        <v>3.125E-2</v>
      </c>
      <c r="G526">
        <v>21.59</v>
      </c>
      <c r="H526">
        <v>2</v>
      </c>
    </row>
    <row r="527" spans="1:8" x14ac:dyDescent="0.25">
      <c r="A527" t="s">
        <v>561</v>
      </c>
      <c r="B527" t="s">
        <v>67</v>
      </c>
      <c r="C527">
        <v>2</v>
      </c>
      <c r="D527" t="s">
        <v>9</v>
      </c>
      <c r="E527">
        <v>142</v>
      </c>
      <c r="F527" s="1">
        <f>Clients_Churn[[#This Row],[Duree_Cumulee_Panne_Min]]/1440</f>
        <v>9.8611111111111108E-2</v>
      </c>
      <c r="G527">
        <v>49.05</v>
      </c>
      <c r="H527">
        <v>4</v>
      </c>
    </row>
    <row r="528" spans="1:8" x14ac:dyDescent="0.25">
      <c r="A528" t="s">
        <v>562</v>
      </c>
      <c r="B528" t="s">
        <v>61</v>
      </c>
      <c r="C528">
        <v>13</v>
      </c>
      <c r="D528" t="s">
        <v>15</v>
      </c>
      <c r="E528">
        <v>310</v>
      </c>
      <c r="F528" s="1">
        <f>Clients_Churn[[#This Row],[Duree_Cumulee_Panne_Min]]/1440</f>
        <v>0.21527777777777779</v>
      </c>
      <c r="G528">
        <v>65.599999999999994</v>
      </c>
      <c r="H528">
        <v>5</v>
      </c>
    </row>
    <row r="529" spans="1:8" x14ac:dyDescent="0.25">
      <c r="A529" t="s">
        <v>563</v>
      </c>
      <c r="B529" t="s">
        <v>71</v>
      </c>
      <c r="C529">
        <v>78</v>
      </c>
      <c r="D529" t="s">
        <v>9</v>
      </c>
      <c r="E529">
        <v>57</v>
      </c>
      <c r="F529" s="1">
        <f>Clients_Churn[[#This Row],[Duree_Cumulee_Panne_Min]]/1440</f>
        <v>3.9583333333333331E-2</v>
      </c>
      <c r="G529">
        <v>49.47</v>
      </c>
      <c r="H529">
        <v>0</v>
      </c>
    </row>
    <row r="530" spans="1:8" x14ac:dyDescent="0.25">
      <c r="A530" t="s">
        <v>564</v>
      </c>
      <c r="B530" t="s">
        <v>30</v>
      </c>
      <c r="C530">
        <v>90</v>
      </c>
      <c r="D530" t="s">
        <v>15</v>
      </c>
      <c r="E530">
        <v>343</v>
      </c>
      <c r="F530" s="1">
        <f>Clients_Churn[[#This Row],[Duree_Cumulee_Panne_Min]]/1440</f>
        <v>0.23819444444444443</v>
      </c>
      <c r="G530">
        <v>82.05</v>
      </c>
      <c r="H530">
        <v>1</v>
      </c>
    </row>
    <row r="531" spans="1:8" x14ac:dyDescent="0.25">
      <c r="A531" t="s">
        <v>565</v>
      </c>
      <c r="B531" t="s">
        <v>26</v>
      </c>
      <c r="C531">
        <v>96</v>
      </c>
      <c r="D531" t="s">
        <v>15</v>
      </c>
      <c r="E531">
        <v>210</v>
      </c>
      <c r="F531" s="1">
        <f>Clients_Churn[[#This Row],[Duree_Cumulee_Panne_Min]]/1440</f>
        <v>0.14583333333333334</v>
      </c>
      <c r="G531">
        <v>28.39</v>
      </c>
      <c r="H531">
        <v>3</v>
      </c>
    </row>
    <row r="532" spans="1:8" x14ac:dyDescent="0.25">
      <c r="A532" t="s">
        <v>566</v>
      </c>
      <c r="B532" t="s">
        <v>44</v>
      </c>
      <c r="C532">
        <v>12</v>
      </c>
      <c r="D532" t="s">
        <v>21</v>
      </c>
      <c r="E532">
        <v>138</v>
      </c>
      <c r="F532" s="1">
        <f>Clients_Churn[[#This Row],[Duree_Cumulee_Panne_Min]]/1440</f>
        <v>9.583333333333334E-2</v>
      </c>
      <c r="G532">
        <v>99.83</v>
      </c>
      <c r="H532">
        <v>1</v>
      </c>
    </row>
    <row r="533" spans="1:8" x14ac:dyDescent="0.25">
      <c r="A533" t="s">
        <v>567</v>
      </c>
      <c r="B533" t="s">
        <v>48</v>
      </c>
      <c r="C533">
        <v>110</v>
      </c>
      <c r="D533" t="s">
        <v>21</v>
      </c>
      <c r="E533">
        <v>51</v>
      </c>
      <c r="F533" s="1">
        <f>Clients_Churn[[#This Row],[Duree_Cumulee_Panne_Min]]/1440</f>
        <v>3.5416666666666666E-2</v>
      </c>
      <c r="G533">
        <v>56.59</v>
      </c>
      <c r="H533">
        <v>5</v>
      </c>
    </row>
    <row r="534" spans="1:8" x14ac:dyDescent="0.25">
      <c r="A534" t="s">
        <v>568</v>
      </c>
      <c r="B534" t="s">
        <v>36</v>
      </c>
      <c r="C534">
        <v>111</v>
      </c>
      <c r="D534" t="s">
        <v>21</v>
      </c>
      <c r="E534">
        <v>43</v>
      </c>
      <c r="F534" s="1">
        <f>Clients_Churn[[#This Row],[Duree_Cumulee_Panne_Min]]/1440</f>
        <v>2.9861111111111113E-2</v>
      </c>
      <c r="G534">
        <v>19.39</v>
      </c>
      <c r="H534">
        <v>3</v>
      </c>
    </row>
    <row r="535" spans="1:8" x14ac:dyDescent="0.25">
      <c r="A535" t="s">
        <v>569</v>
      </c>
      <c r="B535" t="s">
        <v>48</v>
      </c>
      <c r="C535">
        <v>55</v>
      </c>
      <c r="D535" t="s">
        <v>12</v>
      </c>
      <c r="E535">
        <v>389</v>
      </c>
      <c r="F535" s="1">
        <f>Clients_Churn[[#This Row],[Duree_Cumulee_Panne_Min]]/1440</f>
        <v>0.27013888888888887</v>
      </c>
      <c r="G535">
        <v>67.430000000000007</v>
      </c>
      <c r="H535">
        <v>3</v>
      </c>
    </row>
    <row r="536" spans="1:8" x14ac:dyDescent="0.25">
      <c r="A536" t="s">
        <v>570</v>
      </c>
      <c r="B536" t="s">
        <v>107</v>
      </c>
      <c r="C536">
        <v>13</v>
      </c>
      <c r="D536" t="s">
        <v>12</v>
      </c>
      <c r="E536">
        <v>474</v>
      </c>
      <c r="F536" s="1">
        <f>Clients_Churn[[#This Row],[Duree_Cumulee_Panne_Min]]/1440</f>
        <v>0.32916666666666666</v>
      </c>
      <c r="G536">
        <v>63.67</v>
      </c>
      <c r="H536">
        <v>2</v>
      </c>
    </row>
    <row r="537" spans="1:8" x14ac:dyDescent="0.25">
      <c r="A537" t="s">
        <v>571</v>
      </c>
      <c r="B537" t="s">
        <v>30</v>
      </c>
      <c r="C537">
        <v>43</v>
      </c>
      <c r="D537" t="s">
        <v>15</v>
      </c>
      <c r="E537">
        <v>26</v>
      </c>
      <c r="F537" s="1">
        <f>Clients_Churn[[#This Row],[Duree_Cumulee_Panne_Min]]/1440</f>
        <v>1.8055555555555554E-2</v>
      </c>
      <c r="G537">
        <v>25.85</v>
      </c>
      <c r="H537">
        <v>1</v>
      </c>
    </row>
    <row r="538" spans="1:8" x14ac:dyDescent="0.25">
      <c r="A538" t="s">
        <v>572</v>
      </c>
      <c r="B538" t="s">
        <v>26</v>
      </c>
      <c r="C538">
        <v>63</v>
      </c>
      <c r="D538" t="s">
        <v>21</v>
      </c>
      <c r="E538">
        <v>177</v>
      </c>
      <c r="F538" s="1">
        <f>Clients_Churn[[#This Row],[Duree_Cumulee_Panne_Min]]/1440</f>
        <v>0.12291666666666666</v>
      </c>
      <c r="G538">
        <v>77.73</v>
      </c>
      <c r="H538">
        <v>3</v>
      </c>
    </row>
    <row r="539" spans="1:8" x14ac:dyDescent="0.25">
      <c r="A539" t="s">
        <v>573</v>
      </c>
      <c r="B539" t="s">
        <v>24</v>
      </c>
      <c r="C539">
        <v>7</v>
      </c>
      <c r="D539" t="s">
        <v>21</v>
      </c>
      <c r="E539">
        <v>206</v>
      </c>
      <c r="F539" s="1">
        <f>Clients_Churn[[#This Row],[Duree_Cumulee_Panne_Min]]/1440</f>
        <v>0.14305555555555555</v>
      </c>
      <c r="G539">
        <v>78.09</v>
      </c>
      <c r="H539">
        <v>3</v>
      </c>
    </row>
    <row r="540" spans="1:8" x14ac:dyDescent="0.25">
      <c r="A540" t="s">
        <v>574</v>
      </c>
      <c r="B540" t="s">
        <v>71</v>
      </c>
      <c r="C540">
        <v>117</v>
      </c>
      <c r="D540" t="s">
        <v>15</v>
      </c>
      <c r="E540">
        <v>171</v>
      </c>
      <c r="F540" s="1">
        <f>Clients_Churn[[#This Row],[Duree_Cumulee_Panne_Min]]/1440</f>
        <v>0.11874999999999999</v>
      </c>
      <c r="G540">
        <v>50.89</v>
      </c>
      <c r="H540">
        <v>4</v>
      </c>
    </row>
    <row r="541" spans="1:8" x14ac:dyDescent="0.25">
      <c r="A541" t="s">
        <v>575</v>
      </c>
      <c r="B541" t="s">
        <v>50</v>
      </c>
      <c r="C541">
        <v>57</v>
      </c>
      <c r="D541" t="s">
        <v>9</v>
      </c>
      <c r="E541">
        <v>447</v>
      </c>
      <c r="F541" s="1">
        <f>Clients_Churn[[#This Row],[Duree_Cumulee_Panne_Min]]/1440</f>
        <v>0.31041666666666667</v>
      </c>
      <c r="G541">
        <v>23.27</v>
      </c>
      <c r="H541">
        <v>3</v>
      </c>
    </row>
    <row r="542" spans="1:8" x14ac:dyDescent="0.25">
      <c r="A542" t="s">
        <v>576</v>
      </c>
      <c r="B542" t="s">
        <v>71</v>
      </c>
      <c r="C542">
        <v>102</v>
      </c>
      <c r="D542" t="s">
        <v>9</v>
      </c>
      <c r="E542">
        <v>484</v>
      </c>
      <c r="F542" s="1">
        <f>Clients_Churn[[#This Row],[Duree_Cumulee_Panne_Min]]/1440</f>
        <v>0.33611111111111114</v>
      </c>
      <c r="G542">
        <v>64.22</v>
      </c>
      <c r="H542">
        <v>2</v>
      </c>
    </row>
    <row r="543" spans="1:8" x14ac:dyDescent="0.25">
      <c r="A543" t="s">
        <v>577</v>
      </c>
      <c r="B543" t="s">
        <v>34</v>
      </c>
      <c r="C543">
        <v>67</v>
      </c>
      <c r="D543" t="s">
        <v>12</v>
      </c>
      <c r="E543">
        <v>26</v>
      </c>
      <c r="F543" s="1">
        <f>Clients_Churn[[#This Row],[Duree_Cumulee_Panne_Min]]/1440</f>
        <v>1.8055555555555554E-2</v>
      </c>
      <c r="G543">
        <v>81.489999999999995</v>
      </c>
      <c r="H543">
        <v>4</v>
      </c>
    </row>
    <row r="544" spans="1:8" x14ac:dyDescent="0.25">
      <c r="A544" t="s">
        <v>578</v>
      </c>
      <c r="B544" t="s">
        <v>44</v>
      </c>
      <c r="C544">
        <v>71</v>
      </c>
      <c r="D544" t="s">
        <v>21</v>
      </c>
      <c r="E544">
        <v>15</v>
      </c>
      <c r="F544" s="1">
        <f>Clients_Churn[[#This Row],[Duree_Cumulee_Panne_Min]]/1440</f>
        <v>1.0416666666666666E-2</v>
      </c>
      <c r="G544">
        <v>25.46</v>
      </c>
      <c r="H544">
        <v>5</v>
      </c>
    </row>
    <row r="545" spans="1:8" x14ac:dyDescent="0.25">
      <c r="A545" t="s">
        <v>579</v>
      </c>
      <c r="B545" t="s">
        <v>61</v>
      </c>
      <c r="C545">
        <v>10</v>
      </c>
      <c r="D545" t="s">
        <v>15</v>
      </c>
      <c r="E545">
        <v>260</v>
      </c>
      <c r="F545" s="1">
        <f>Clients_Churn[[#This Row],[Duree_Cumulee_Panne_Min]]/1440</f>
        <v>0.18055555555555555</v>
      </c>
      <c r="G545">
        <v>37.479999999999997</v>
      </c>
      <c r="H545">
        <v>2</v>
      </c>
    </row>
    <row r="546" spans="1:8" x14ac:dyDescent="0.25">
      <c r="A546" t="s">
        <v>580</v>
      </c>
      <c r="B546" t="s">
        <v>59</v>
      </c>
      <c r="C546">
        <v>38</v>
      </c>
      <c r="D546" t="s">
        <v>9</v>
      </c>
      <c r="E546">
        <v>108</v>
      </c>
      <c r="F546" s="1">
        <f>Clients_Churn[[#This Row],[Duree_Cumulee_Panne_Min]]/1440</f>
        <v>7.4999999999999997E-2</v>
      </c>
      <c r="G546">
        <v>72.7</v>
      </c>
      <c r="H546">
        <v>3</v>
      </c>
    </row>
    <row r="547" spans="1:8" x14ac:dyDescent="0.25">
      <c r="A547" t="s">
        <v>581</v>
      </c>
      <c r="B547" t="s">
        <v>50</v>
      </c>
      <c r="C547">
        <v>59</v>
      </c>
      <c r="D547" t="s">
        <v>9</v>
      </c>
      <c r="E547">
        <v>150</v>
      </c>
      <c r="F547" s="1">
        <f>Clients_Churn[[#This Row],[Duree_Cumulee_Panne_Min]]/1440</f>
        <v>0.10416666666666667</v>
      </c>
      <c r="G547">
        <v>71.13</v>
      </c>
      <c r="H547">
        <v>0</v>
      </c>
    </row>
    <row r="548" spans="1:8" x14ac:dyDescent="0.25">
      <c r="A548" t="s">
        <v>582</v>
      </c>
      <c r="B548" t="s">
        <v>107</v>
      </c>
      <c r="C548">
        <v>58</v>
      </c>
      <c r="D548" t="s">
        <v>9</v>
      </c>
      <c r="E548">
        <v>423</v>
      </c>
      <c r="F548" s="1">
        <f>Clients_Churn[[#This Row],[Duree_Cumulee_Panne_Min]]/1440</f>
        <v>0.29375000000000001</v>
      </c>
      <c r="G548">
        <v>80.459999999999994</v>
      </c>
      <c r="H548">
        <v>0</v>
      </c>
    </row>
    <row r="549" spans="1:8" x14ac:dyDescent="0.25">
      <c r="A549" t="s">
        <v>583</v>
      </c>
      <c r="B549" t="s">
        <v>11</v>
      </c>
      <c r="C549">
        <v>36</v>
      </c>
      <c r="D549" t="s">
        <v>9</v>
      </c>
      <c r="E549">
        <v>491</v>
      </c>
      <c r="F549" s="1">
        <f>Clients_Churn[[#This Row],[Duree_Cumulee_Panne_Min]]/1440</f>
        <v>0.34097222222222223</v>
      </c>
      <c r="G549">
        <v>12.13</v>
      </c>
      <c r="H549">
        <v>4</v>
      </c>
    </row>
    <row r="550" spans="1:8" x14ac:dyDescent="0.25">
      <c r="A550" t="s">
        <v>584</v>
      </c>
      <c r="B550" t="s">
        <v>17</v>
      </c>
      <c r="C550">
        <v>111</v>
      </c>
      <c r="D550" t="s">
        <v>21</v>
      </c>
      <c r="E550">
        <v>304</v>
      </c>
      <c r="F550" s="1">
        <f>Clients_Churn[[#This Row],[Duree_Cumulee_Panne_Min]]/1440</f>
        <v>0.21111111111111111</v>
      </c>
      <c r="G550">
        <v>62.48</v>
      </c>
      <c r="H550">
        <v>5</v>
      </c>
    </row>
    <row r="551" spans="1:8" x14ac:dyDescent="0.25">
      <c r="A551" t="s">
        <v>585</v>
      </c>
      <c r="B551" t="s">
        <v>99</v>
      </c>
      <c r="C551">
        <v>40</v>
      </c>
      <c r="D551" t="s">
        <v>21</v>
      </c>
      <c r="E551">
        <v>237</v>
      </c>
      <c r="F551" s="1">
        <f>Clients_Churn[[#This Row],[Duree_Cumulee_Panne_Min]]/1440</f>
        <v>0.16458333333333333</v>
      </c>
      <c r="G551">
        <v>24.51</v>
      </c>
      <c r="H551">
        <v>1</v>
      </c>
    </row>
    <row r="552" spans="1:8" x14ac:dyDescent="0.25">
      <c r="A552" t="s">
        <v>586</v>
      </c>
      <c r="B552" t="s">
        <v>24</v>
      </c>
      <c r="C552">
        <v>36</v>
      </c>
      <c r="D552" t="s">
        <v>9</v>
      </c>
      <c r="E552">
        <v>247</v>
      </c>
      <c r="F552" s="1">
        <f>Clients_Churn[[#This Row],[Duree_Cumulee_Panne_Min]]/1440</f>
        <v>0.17152777777777778</v>
      </c>
      <c r="G552">
        <v>24.53</v>
      </c>
      <c r="H552">
        <v>2</v>
      </c>
    </row>
    <row r="553" spans="1:8" x14ac:dyDescent="0.25">
      <c r="A553" t="s">
        <v>587</v>
      </c>
      <c r="B553" t="s">
        <v>107</v>
      </c>
      <c r="C553">
        <v>27</v>
      </c>
      <c r="D553" t="s">
        <v>21</v>
      </c>
      <c r="E553">
        <v>61</v>
      </c>
      <c r="F553" s="1">
        <f>Clients_Churn[[#This Row],[Duree_Cumulee_Panne_Min]]/1440</f>
        <v>4.2361111111111113E-2</v>
      </c>
      <c r="G553">
        <v>97.51</v>
      </c>
      <c r="H553">
        <v>5</v>
      </c>
    </row>
    <row r="554" spans="1:8" x14ac:dyDescent="0.25">
      <c r="A554" t="s">
        <v>588</v>
      </c>
      <c r="B554" t="s">
        <v>48</v>
      </c>
      <c r="C554">
        <v>64</v>
      </c>
      <c r="D554" t="s">
        <v>12</v>
      </c>
      <c r="E554">
        <v>300</v>
      </c>
      <c r="F554" s="1">
        <f>Clients_Churn[[#This Row],[Duree_Cumulee_Panne_Min]]/1440</f>
        <v>0.20833333333333334</v>
      </c>
      <c r="G554">
        <v>28.11</v>
      </c>
      <c r="H554">
        <v>2</v>
      </c>
    </row>
    <row r="555" spans="1:8" x14ac:dyDescent="0.25">
      <c r="A555" t="s">
        <v>589</v>
      </c>
      <c r="B555" t="s">
        <v>17</v>
      </c>
      <c r="C555">
        <v>102</v>
      </c>
      <c r="D555" t="s">
        <v>9</v>
      </c>
      <c r="E555">
        <v>189</v>
      </c>
      <c r="F555" s="1">
        <f>Clients_Churn[[#This Row],[Duree_Cumulee_Panne_Min]]/1440</f>
        <v>0.13125000000000001</v>
      </c>
      <c r="G555">
        <v>26.86</v>
      </c>
      <c r="H555">
        <v>5</v>
      </c>
    </row>
    <row r="556" spans="1:8" x14ac:dyDescent="0.25">
      <c r="A556" t="s">
        <v>590</v>
      </c>
      <c r="B556" t="s">
        <v>40</v>
      </c>
      <c r="C556">
        <v>22</v>
      </c>
      <c r="D556" t="s">
        <v>15</v>
      </c>
      <c r="E556">
        <v>119</v>
      </c>
      <c r="F556" s="1">
        <f>Clients_Churn[[#This Row],[Duree_Cumulee_Panne_Min]]/1440</f>
        <v>8.2638888888888887E-2</v>
      </c>
      <c r="G556">
        <v>72.86</v>
      </c>
      <c r="H556">
        <v>3</v>
      </c>
    </row>
    <row r="557" spans="1:8" x14ac:dyDescent="0.25">
      <c r="A557" t="s">
        <v>591</v>
      </c>
      <c r="B557" t="s">
        <v>46</v>
      </c>
      <c r="C557">
        <v>50</v>
      </c>
      <c r="D557" t="s">
        <v>12</v>
      </c>
      <c r="E557">
        <v>430</v>
      </c>
      <c r="F557" s="1">
        <f>Clients_Churn[[#This Row],[Duree_Cumulee_Panne_Min]]/1440</f>
        <v>0.2986111111111111</v>
      </c>
      <c r="G557">
        <v>20.8</v>
      </c>
      <c r="H557">
        <v>2</v>
      </c>
    </row>
    <row r="558" spans="1:8" x14ac:dyDescent="0.25">
      <c r="A558" t="s">
        <v>592</v>
      </c>
      <c r="B558" t="s">
        <v>107</v>
      </c>
      <c r="C558">
        <v>18</v>
      </c>
      <c r="D558" t="s">
        <v>12</v>
      </c>
      <c r="E558">
        <v>75</v>
      </c>
      <c r="F558" s="1">
        <f>Clients_Churn[[#This Row],[Duree_Cumulee_Panne_Min]]/1440</f>
        <v>5.2083333333333336E-2</v>
      </c>
      <c r="G558">
        <v>57.66</v>
      </c>
      <c r="H558">
        <v>1</v>
      </c>
    </row>
    <row r="559" spans="1:8" x14ac:dyDescent="0.25">
      <c r="A559" t="s">
        <v>593</v>
      </c>
      <c r="B559" t="s">
        <v>14</v>
      </c>
      <c r="C559">
        <v>95</v>
      </c>
      <c r="D559" t="s">
        <v>21</v>
      </c>
      <c r="E559">
        <v>148</v>
      </c>
      <c r="F559" s="1">
        <f>Clients_Churn[[#This Row],[Duree_Cumulee_Panne_Min]]/1440</f>
        <v>0.10277777777777777</v>
      </c>
      <c r="G559">
        <v>76.95</v>
      </c>
      <c r="H559">
        <v>5</v>
      </c>
    </row>
    <row r="560" spans="1:8" x14ac:dyDescent="0.25">
      <c r="A560" t="s">
        <v>594</v>
      </c>
      <c r="B560" t="s">
        <v>61</v>
      </c>
      <c r="C560">
        <v>111</v>
      </c>
      <c r="D560" t="s">
        <v>15</v>
      </c>
      <c r="E560">
        <v>324</v>
      </c>
      <c r="F560" s="1">
        <f>Clients_Churn[[#This Row],[Duree_Cumulee_Panne_Min]]/1440</f>
        <v>0.22500000000000001</v>
      </c>
      <c r="G560">
        <v>18.07</v>
      </c>
      <c r="H560">
        <v>2</v>
      </c>
    </row>
    <row r="561" spans="1:8" x14ac:dyDescent="0.25">
      <c r="A561" t="s">
        <v>595</v>
      </c>
      <c r="B561" t="s">
        <v>11</v>
      </c>
      <c r="C561">
        <v>120</v>
      </c>
      <c r="D561" t="s">
        <v>12</v>
      </c>
      <c r="E561">
        <v>60</v>
      </c>
      <c r="F561" s="1">
        <f>Clients_Churn[[#This Row],[Duree_Cumulee_Panne_Min]]/1440</f>
        <v>4.1666666666666664E-2</v>
      </c>
      <c r="G561">
        <v>34.14</v>
      </c>
      <c r="H561">
        <v>3</v>
      </c>
    </row>
    <row r="562" spans="1:8" x14ac:dyDescent="0.25">
      <c r="A562" t="s">
        <v>596</v>
      </c>
      <c r="B562" t="s">
        <v>14</v>
      </c>
      <c r="C562">
        <v>87</v>
      </c>
      <c r="D562" t="s">
        <v>21</v>
      </c>
      <c r="E562">
        <v>356</v>
      </c>
      <c r="F562" s="1">
        <f>Clients_Churn[[#This Row],[Duree_Cumulee_Panne_Min]]/1440</f>
        <v>0.24722222222222223</v>
      </c>
      <c r="G562">
        <v>12.89</v>
      </c>
      <c r="H562">
        <v>0</v>
      </c>
    </row>
    <row r="563" spans="1:8" x14ac:dyDescent="0.25">
      <c r="A563" t="s">
        <v>597</v>
      </c>
      <c r="B563" t="s">
        <v>107</v>
      </c>
      <c r="C563">
        <v>29</v>
      </c>
      <c r="D563" t="s">
        <v>21</v>
      </c>
      <c r="E563">
        <v>8</v>
      </c>
      <c r="F563" s="1">
        <f>Clients_Churn[[#This Row],[Duree_Cumulee_Panne_Min]]/1440</f>
        <v>5.5555555555555558E-3</v>
      </c>
      <c r="G563">
        <v>14.78</v>
      </c>
      <c r="H563">
        <v>2</v>
      </c>
    </row>
    <row r="564" spans="1:8" x14ac:dyDescent="0.25">
      <c r="A564" t="s">
        <v>598</v>
      </c>
      <c r="B564" t="s">
        <v>30</v>
      </c>
      <c r="C564">
        <v>18</v>
      </c>
      <c r="D564" t="s">
        <v>15</v>
      </c>
      <c r="E564">
        <v>170</v>
      </c>
      <c r="F564" s="1">
        <f>Clients_Churn[[#This Row],[Duree_Cumulee_Panne_Min]]/1440</f>
        <v>0.11805555555555555</v>
      </c>
      <c r="G564">
        <v>87.34</v>
      </c>
      <c r="H564">
        <v>1</v>
      </c>
    </row>
    <row r="565" spans="1:8" x14ac:dyDescent="0.25">
      <c r="A565" t="s">
        <v>599</v>
      </c>
      <c r="B565" t="s">
        <v>44</v>
      </c>
      <c r="C565">
        <v>34</v>
      </c>
      <c r="D565" t="s">
        <v>15</v>
      </c>
      <c r="E565">
        <v>401</v>
      </c>
      <c r="F565" s="1">
        <f>Clients_Churn[[#This Row],[Duree_Cumulee_Panne_Min]]/1440</f>
        <v>0.27847222222222223</v>
      </c>
      <c r="G565">
        <v>68.400000000000006</v>
      </c>
      <c r="H565">
        <v>5</v>
      </c>
    </row>
    <row r="566" spans="1:8" x14ac:dyDescent="0.25">
      <c r="A566" t="s">
        <v>600</v>
      </c>
      <c r="B566" t="s">
        <v>59</v>
      </c>
      <c r="C566">
        <v>113</v>
      </c>
      <c r="D566" t="s">
        <v>15</v>
      </c>
      <c r="E566">
        <v>428</v>
      </c>
      <c r="F566" s="1">
        <f>Clients_Churn[[#This Row],[Duree_Cumulee_Panne_Min]]/1440</f>
        <v>0.29722222222222222</v>
      </c>
      <c r="G566">
        <v>73.84</v>
      </c>
      <c r="H566">
        <v>0</v>
      </c>
    </row>
    <row r="567" spans="1:8" x14ac:dyDescent="0.25">
      <c r="A567" t="s">
        <v>601</v>
      </c>
      <c r="B567" t="s">
        <v>59</v>
      </c>
      <c r="C567">
        <v>48</v>
      </c>
      <c r="D567" t="s">
        <v>9</v>
      </c>
      <c r="E567">
        <v>335</v>
      </c>
      <c r="F567" s="1">
        <f>Clients_Churn[[#This Row],[Duree_Cumulee_Panne_Min]]/1440</f>
        <v>0.2326388888888889</v>
      </c>
      <c r="G567">
        <v>85.09</v>
      </c>
      <c r="H567">
        <v>3</v>
      </c>
    </row>
    <row r="568" spans="1:8" x14ac:dyDescent="0.25">
      <c r="A568" t="s">
        <v>602</v>
      </c>
      <c r="B568" t="s">
        <v>17</v>
      </c>
      <c r="C568">
        <v>107</v>
      </c>
      <c r="D568" t="s">
        <v>15</v>
      </c>
      <c r="E568">
        <v>138</v>
      </c>
      <c r="F568" s="1">
        <f>Clients_Churn[[#This Row],[Duree_Cumulee_Panne_Min]]/1440</f>
        <v>9.583333333333334E-2</v>
      </c>
      <c r="G568">
        <v>85.75</v>
      </c>
      <c r="H568">
        <v>1</v>
      </c>
    </row>
    <row r="569" spans="1:8" x14ac:dyDescent="0.25">
      <c r="A569" t="s">
        <v>603</v>
      </c>
      <c r="B569" t="s">
        <v>32</v>
      </c>
      <c r="C569">
        <v>47</v>
      </c>
      <c r="D569" t="s">
        <v>9</v>
      </c>
      <c r="E569">
        <v>111</v>
      </c>
      <c r="F569" s="1">
        <f>Clients_Churn[[#This Row],[Duree_Cumulee_Panne_Min]]/1440</f>
        <v>7.7083333333333337E-2</v>
      </c>
      <c r="G569">
        <v>95.18</v>
      </c>
      <c r="H569">
        <v>0</v>
      </c>
    </row>
    <row r="570" spans="1:8" x14ac:dyDescent="0.25">
      <c r="A570" t="s">
        <v>604</v>
      </c>
      <c r="B570" t="s">
        <v>32</v>
      </c>
      <c r="C570">
        <v>10</v>
      </c>
      <c r="D570" t="s">
        <v>9</v>
      </c>
      <c r="E570">
        <v>165</v>
      </c>
      <c r="F570" s="1">
        <f>Clients_Churn[[#This Row],[Duree_Cumulee_Panne_Min]]/1440</f>
        <v>0.11458333333333333</v>
      </c>
      <c r="G570">
        <v>38.619999999999997</v>
      </c>
      <c r="H570">
        <v>2</v>
      </c>
    </row>
    <row r="571" spans="1:8" x14ac:dyDescent="0.25">
      <c r="A571" t="s">
        <v>605</v>
      </c>
      <c r="B571" t="s">
        <v>20</v>
      </c>
      <c r="C571">
        <v>9</v>
      </c>
      <c r="D571" t="s">
        <v>12</v>
      </c>
      <c r="E571">
        <v>255</v>
      </c>
      <c r="F571" s="1">
        <f>Clients_Churn[[#This Row],[Duree_Cumulee_Panne_Min]]/1440</f>
        <v>0.17708333333333334</v>
      </c>
      <c r="G571">
        <v>95.13</v>
      </c>
      <c r="H571">
        <v>1</v>
      </c>
    </row>
    <row r="572" spans="1:8" x14ac:dyDescent="0.25">
      <c r="A572" t="s">
        <v>606</v>
      </c>
      <c r="B572" t="s">
        <v>67</v>
      </c>
      <c r="C572">
        <v>24</v>
      </c>
      <c r="D572" t="s">
        <v>9</v>
      </c>
      <c r="E572">
        <v>257</v>
      </c>
      <c r="F572" s="1">
        <f>Clients_Churn[[#This Row],[Duree_Cumulee_Panne_Min]]/1440</f>
        <v>0.17847222222222223</v>
      </c>
      <c r="G572">
        <v>41.99</v>
      </c>
      <c r="H572">
        <v>5</v>
      </c>
    </row>
    <row r="573" spans="1:8" x14ac:dyDescent="0.25">
      <c r="A573" t="s">
        <v>607</v>
      </c>
      <c r="B573" t="s">
        <v>20</v>
      </c>
      <c r="C573">
        <v>72</v>
      </c>
      <c r="D573" t="s">
        <v>9</v>
      </c>
      <c r="E573">
        <v>427</v>
      </c>
      <c r="F573" s="1">
        <f>Clients_Churn[[#This Row],[Duree_Cumulee_Panne_Min]]/1440</f>
        <v>0.29652777777777778</v>
      </c>
      <c r="G573">
        <v>31.44</v>
      </c>
      <c r="H573">
        <v>2</v>
      </c>
    </row>
    <row r="574" spans="1:8" x14ac:dyDescent="0.25">
      <c r="A574" t="s">
        <v>608</v>
      </c>
      <c r="B574" t="s">
        <v>11</v>
      </c>
      <c r="C574">
        <v>33</v>
      </c>
      <c r="D574" t="s">
        <v>15</v>
      </c>
      <c r="E574">
        <v>18</v>
      </c>
      <c r="F574" s="1">
        <f>Clients_Churn[[#This Row],[Duree_Cumulee_Panne_Min]]/1440</f>
        <v>1.2500000000000001E-2</v>
      </c>
      <c r="G574">
        <v>47.18</v>
      </c>
      <c r="H574">
        <v>4</v>
      </c>
    </row>
    <row r="575" spans="1:8" x14ac:dyDescent="0.25">
      <c r="A575" t="s">
        <v>609</v>
      </c>
      <c r="B575" t="s">
        <v>14</v>
      </c>
      <c r="C575">
        <v>64</v>
      </c>
      <c r="D575" t="s">
        <v>12</v>
      </c>
      <c r="E575">
        <v>370</v>
      </c>
      <c r="F575" s="1">
        <f>Clients_Churn[[#This Row],[Duree_Cumulee_Panne_Min]]/1440</f>
        <v>0.25694444444444442</v>
      </c>
      <c r="G575">
        <v>95.74</v>
      </c>
      <c r="H575">
        <v>1</v>
      </c>
    </row>
    <row r="576" spans="1:8" x14ac:dyDescent="0.25">
      <c r="A576" t="s">
        <v>610</v>
      </c>
      <c r="B576" t="s">
        <v>64</v>
      </c>
      <c r="C576">
        <v>60</v>
      </c>
      <c r="D576" t="s">
        <v>15</v>
      </c>
      <c r="E576">
        <v>154</v>
      </c>
      <c r="F576" s="1">
        <f>Clients_Churn[[#This Row],[Duree_Cumulee_Panne_Min]]/1440</f>
        <v>0.10694444444444444</v>
      </c>
      <c r="G576">
        <v>13.41</v>
      </c>
      <c r="H576">
        <v>5</v>
      </c>
    </row>
    <row r="577" spans="1:8" x14ac:dyDescent="0.25">
      <c r="A577" t="s">
        <v>611</v>
      </c>
      <c r="B577" t="s">
        <v>99</v>
      </c>
      <c r="C577">
        <v>51</v>
      </c>
      <c r="D577" t="s">
        <v>12</v>
      </c>
      <c r="E577">
        <v>389</v>
      </c>
      <c r="F577" s="1">
        <f>Clients_Churn[[#This Row],[Duree_Cumulee_Panne_Min]]/1440</f>
        <v>0.27013888888888887</v>
      </c>
      <c r="G577">
        <v>50.45</v>
      </c>
      <c r="H577">
        <v>3</v>
      </c>
    </row>
    <row r="578" spans="1:8" x14ac:dyDescent="0.25">
      <c r="A578" t="s">
        <v>612</v>
      </c>
      <c r="B578" t="s">
        <v>17</v>
      </c>
      <c r="C578">
        <v>70</v>
      </c>
      <c r="D578" t="s">
        <v>9</v>
      </c>
      <c r="E578">
        <v>31</v>
      </c>
      <c r="F578" s="1">
        <f>Clients_Churn[[#This Row],[Duree_Cumulee_Panne_Min]]/1440</f>
        <v>2.1527777777777778E-2</v>
      </c>
      <c r="G578">
        <v>71.2</v>
      </c>
      <c r="H578">
        <v>4</v>
      </c>
    </row>
    <row r="579" spans="1:8" x14ac:dyDescent="0.25">
      <c r="A579" t="s">
        <v>613</v>
      </c>
      <c r="B579" t="s">
        <v>107</v>
      </c>
      <c r="C579">
        <v>103</v>
      </c>
      <c r="D579" t="s">
        <v>9</v>
      </c>
      <c r="E579">
        <v>300</v>
      </c>
      <c r="F579" s="1">
        <f>Clients_Churn[[#This Row],[Duree_Cumulee_Panne_Min]]/1440</f>
        <v>0.20833333333333334</v>
      </c>
      <c r="G579">
        <v>13.76</v>
      </c>
      <c r="H579">
        <v>4</v>
      </c>
    </row>
    <row r="580" spans="1:8" x14ac:dyDescent="0.25">
      <c r="A580" t="s">
        <v>614</v>
      </c>
      <c r="B580" t="s">
        <v>40</v>
      </c>
      <c r="C580">
        <v>14</v>
      </c>
      <c r="D580" t="s">
        <v>9</v>
      </c>
      <c r="E580">
        <v>37</v>
      </c>
      <c r="F580" s="1">
        <f>Clients_Churn[[#This Row],[Duree_Cumulee_Panne_Min]]/1440</f>
        <v>2.5694444444444443E-2</v>
      </c>
      <c r="G580">
        <v>20.399999999999999</v>
      </c>
      <c r="H580">
        <v>2</v>
      </c>
    </row>
    <row r="581" spans="1:8" x14ac:dyDescent="0.25">
      <c r="A581" t="s">
        <v>615</v>
      </c>
      <c r="B581" t="s">
        <v>30</v>
      </c>
      <c r="C581">
        <v>7</v>
      </c>
      <c r="D581" t="s">
        <v>12</v>
      </c>
      <c r="E581">
        <v>447</v>
      </c>
      <c r="F581" s="1">
        <f>Clients_Churn[[#This Row],[Duree_Cumulee_Panne_Min]]/1440</f>
        <v>0.31041666666666667</v>
      </c>
      <c r="G581">
        <v>84.95</v>
      </c>
      <c r="H581">
        <v>2</v>
      </c>
    </row>
    <row r="582" spans="1:8" x14ac:dyDescent="0.25">
      <c r="A582" t="s">
        <v>616</v>
      </c>
      <c r="B582" t="s">
        <v>46</v>
      </c>
      <c r="C582">
        <v>101</v>
      </c>
      <c r="D582" t="s">
        <v>12</v>
      </c>
      <c r="E582">
        <v>148</v>
      </c>
      <c r="F582" s="1">
        <f>Clients_Churn[[#This Row],[Duree_Cumulee_Panne_Min]]/1440</f>
        <v>0.10277777777777777</v>
      </c>
      <c r="G582">
        <v>26.63</v>
      </c>
      <c r="H582">
        <v>3</v>
      </c>
    </row>
    <row r="583" spans="1:8" x14ac:dyDescent="0.25">
      <c r="A583" t="s">
        <v>617</v>
      </c>
      <c r="B583" t="s">
        <v>46</v>
      </c>
      <c r="C583">
        <v>84</v>
      </c>
      <c r="D583" t="s">
        <v>21</v>
      </c>
      <c r="E583">
        <v>387</v>
      </c>
      <c r="F583" s="1">
        <f>Clients_Churn[[#This Row],[Duree_Cumulee_Panne_Min]]/1440</f>
        <v>0.26874999999999999</v>
      </c>
      <c r="G583">
        <v>58.1</v>
      </c>
      <c r="H583">
        <v>3</v>
      </c>
    </row>
    <row r="584" spans="1:8" x14ac:dyDescent="0.25">
      <c r="A584" t="s">
        <v>618</v>
      </c>
      <c r="B584" t="s">
        <v>20</v>
      </c>
      <c r="C584">
        <v>46</v>
      </c>
      <c r="D584" t="s">
        <v>12</v>
      </c>
      <c r="E584">
        <v>216</v>
      </c>
      <c r="F584" s="1">
        <f>Clients_Churn[[#This Row],[Duree_Cumulee_Panne_Min]]/1440</f>
        <v>0.15</v>
      </c>
      <c r="G584">
        <v>63.74</v>
      </c>
      <c r="H584">
        <v>4</v>
      </c>
    </row>
    <row r="585" spans="1:8" x14ac:dyDescent="0.25">
      <c r="A585" t="s">
        <v>619</v>
      </c>
      <c r="B585" t="s">
        <v>48</v>
      </c>
      <c r="C585">
        <v>72</v>
      </c>
      <c r="D585" t="s">
        <v>12</v>
      </c>
      <c r="E585">
        <v>317</v>
      </c>
      <c r="F585" s="1">
        <f>Clients_Churn[[#This Row],[Duree_Cumulee_Panne_Min]]/1440</f>
        <v>0.22013888888888888</v>
      </c>
      <c r="G585">
        <v>54.58</v>
      </c>
      <c r="H585">
        <v>1</v>
      </c>
    </row>
    <row r="586" spans="1:8" x14ac:dyDescent="0.25">
      <c r="A586" t="s">
        <v>620</v>
      </c>
      <c r="B586" t="s">
        <v>20</v>
      </c>
      <c r="C586">
        <v>69</v>
      </c>
      <c r="D586" t="s">
        <v>21</v>
      </c>
      <c r="E586">
        <v>486</v>
      </c>
      <c r="F586" s="1">
        <f>Clients_Churn[[#This Row],[Duree_Cumulee_Panne_Min]]/1440</f>
        <v>0.33750000000000002</v>
      </c>
      <c r="G586">
        <v>34.770000000000003</v>
      </c>
      <c r="H586">
        <v>0</v>
      </c>
    </row>
    <row r="587" spans="1:8" x14ac:dyDescent="0.25">
      <c r="A587" t="s">
        <v>621</v>
      </c>
      <c r="B587" t="s">
        <v>46</v>
      </c>
      <c r="C587">
        <v>57</v>
      </c>
      <c r="D587" t="s">
        <v>15</v>
      </c>
      <c r="E587">
        <v>329</v>
      </c>
      <c r="F587" s="1">
        <f>Clients_Churn[[#This Row],[Duree_Cumulee_Panne_Min]]/1440</f>
        <v>0.22847222222222222</v>
      </c>
      <c r="G587">
        <v>50.39</v>
      </c>
      <c r="H587">
        <v>5</v>
      </c>
    </row>
    <row r="588" spans="1:8" x14ac:dyDescent="0.25">
      <c r="A588" t="s">
        <v>622</v>
      </c>
      <c r="B588" t="s">
        <v>32</v>
      </c>
      <c r="C588">
        <v>108</v>
      </c>
      <c r="D588" t="s">
        <v>21</v>
      </c>
      <c r="E588">
        <v>78</v>
      </c>
      <c r="F588" s="1">
        <f>Clients_Churn[[#This Row],[Duree_Cumulee_Panne_Min]]/1440</f>
        <v>5.4166666666666669E-2</v>
      </c>
      <c r="G588">
        <v>90.05</v>
      </c>
      <c r="H588">
        <v>2</v>
      </c>
    </row>
    <row r="589" spans="1:8" x14ac:dyDescent="0.25">
      <c r="A589" t="s">
        <v>623</v>
      </c>
      <c r="B589" t="s">
        <v>8</v>
      </c>
      <c r="C589">
        <v>92</v>
      </c>
      <c r="D589" t="s">
        <v>9</v>
      </c>
      <c r="E589">
        <v>4</v>
      </c>
      <c r="F589" s="1">
        <f>Clients_Churn[[#This Row],[Duree_Cumulee_Panne_Min]]/1440</f>
        <v>2.7777777777777779E-3</v>
      </c>
      <c r="G589">
        <v>22.03</v>
      </c>
      <c r="H589">
        <v>3</v>
      </c>
    </row>
    <row r="590" spans="1:8" x14ac:dyDescent="0.25">
      <c r="A590" t="s">
        <v>624</v>
      </c>
      <c r="B590" t="s">
        <v>8</v>
      </c>
      <c r="C590">
        <v>83</v>
      </c>
      <c r="D590" t="s">
        <v>12</v>
      </c>
      <c r="E590">
        <v>219</v>
      </c>
      <c r="F590" s="1">
        <f>Clients_Churn[[#This Row],[Duree_Cumulee_Panne_Min]]/1440</f>
        <v>0.15208333333333332</v>
      </c>
      <c r="G590">
        <v>52.26</v>
      </c>
      <c r="H590">
        <v>1</v>
      </c>
    </row>
    <row r="591" spans="1:8" x14ac:dyDescent="0.25">
      <c r="A591" t="s">
        <v>625</v>
      </c>
      <c r="B591" t="s">
        <v>26</v>
      </c>
      <c r="C591">
        <v>114</v>
      </c>
      <c r="D591" t="s">
        <v>9</v>
      </c>
      <c r="E591">
        <v>304</v>
      </c>
      <c r="F591" s="1">
        <f>Clients_Churn[[#This Row],[Duree_Cumulee_Panne_Min]]/1440</f>
        <v>0.21111111111111111</v>
      </c>
      <c r="G591">
        <v>52.07</v>
      </c>
      <c r="H591">
        <v>1</v>
      </c>
    </row>
    <row r="592" spans="1:8" x14ac:dyDescent="0.25">
      <c r="A592" t="s">
        <v>626</v>
      </c>
      <c r="B592" t="s">
        <v>158</v>
      </c>
      <c r="C592">
        <v>75</v>
      </c>
      <c r="D592" t="s">
        <v>12</v>
      </c>
      <c r="E592">
        <v>242</v>
      </c>
      <c r="F592" s="1">
        <f>Clients_Churn[[#This Row],[Duree_Cumulee_Panne_Min]]/1440</f>
        <v>0.16805555555555557</v>
      </c>
      <c r="G592">
        <v>64.27</v>
      </c>
      <c r="H592">
        <v>2</v>
      </c>
    </row>
    <row r="593" spans="1:8" x14ac:dyDescent="0.25">
      <c r="A593" t="s">
        <v>627</v>
      </c>
      <c r="B593" t="s">
        <v>8</v>
      </c>
      <c r="C593">
        <v>115</v>
      </c>
      <c r="D593" t="s">
        <v>9</v>
      </c>
      <c r="E593">
        <v>176</v>
      </c>
      <c r="F593" s="1">
        <f>Clients_Churn[[#This Row],[Duree_Cumulee_Panne_Min]]/1440</f>
        <v>0.12222222222222222</v>
      </c>
      <c r="G593">
        <v>33.28</v>
      </c>
      <c r="H593">
        <v>4</v>
      </c>
    </row>
    <row r="594" spans="1:8" x14ac:dyDescent="0.25">
      <c r="A594" t="s">
        <v>628</v>
      </c>
      <c r="B594" t="s">
        <v>34</v>
      </c>
      <c r="C594">
        <v>12</v>
      </c>
      <c r="D594" t="s">
        <v>15</v>
      </c>
      <c r="E594">
        <v>235</v>
      </c>
      <c r="F594" s="1">
        <f>Clients_Churn[[#This Row],[Duree_Cumulee_Panne_Min]]/1440</f>
        <v>0.16319444444444445</v>
      </c>
      <c r="G594">
        <v>33.96</v>
      </c>
      <c r="H594">
        <v>4</v>
      </c>
    </row>
    <row r="595" spans="1:8" x14ac:dyDescent="0.25">
      <c r="A595" t="s">
        <v>629</v>
      </c>
      <c r="B595" t="s">
        <v>34</v>
      </c>
      <c r="C595">
        <v>44</v>
      </c>
      <c r="D595" t="s">
        <v>9</v>
      </c>
      <c r="E595">
        <v>199</v>
      </c>
      <c r="F595" s="1">
        <f>Clients_Churn[[#This Row],[Duree_Cumulee_Panne_Min]]/1440</f>
        <v>0.13819444444444445</v>
      </c>
      <c r="G595">
        <v>67.650000000000006</v>
      </c>
      <c r="H595">
        <v>0</v>
      </c>
    </row>
    <row r="596" spans="1:8" x14ac:dyDescent="0.25">
      <c r="A596" t="s">
        <v>630</v>
      </c>
      <c r="B596" t="s">
        <v>30</v>
      </c>
      <c r="C596">
        <v>48</v>
      </c>
      <c r="D596" t="s">
        <v>21</v>
      </c>
      <c r="E596">
        <v>338</v>
      </c>
      <c r="F596" s="1">
        <f>Clients_Churn[[#This Row],[Duree_Cumulee_Panne_Min]]/1440</f>
        <v>0.23472222222222222</v>
      </c>
      <c r="G596">
        <v>74.42</v>
      </c>
      <c r="H596">
        <v>0</v>
      </c>
    </row>
    <row r="597" spans="1:8" x14ac:dyDescent="0.25">
      <c r="A597" t="s">
        <v>631</v>
      </c>
      <c r="B597" t="s">
        <v>14</v>
      </c>
      <c r="C597">
        <v>51</v>
      </c>
      <c r="D597" t="s">
        <v>21</v>
      </c>
      <c r="E597">
        <v>222</v>
      </c>
      <c r="F597" s="1">
        <f>Clients_Churn[[#This Row],[Duree_Cumulee_Panne_Min]]/1440</f>
        <v>0.15416666666666667</v>
      </c>
      <c r="G597">
        <v>18.95</v>
      </c>
      <c r="H597">
        <v>4</v>
      </c>
    </row>
    <row r="598" spans="1:8" x14ac:dyDescent="0.25">
      <c r="A598" t="s">
        <v>632</v>
      </c>
      <c r="B598" t="s">
        <v>11</v>
      </c>
      <c r="C598">
        <v>57</v>
      </c>
      <c r="D598" t="s">
        <v>15</v>
      </c>
      <c r="E598">
        <v>435</v>
      </c>
      <c r="F598" s="1">
        <f>Clients_Churn[[#This Row],[Duree_Cumulee_Panne_Min]]/1440</f>
        <v>0.30208333333333331</v>
      </c>
      <c r="G598">
        <v>56.88</v>
      </c>
      <c r="H598">
        <v>4</v>
      </c>
    </row>
    <row r="599" spans="1:8" x14ac:dyDescent="0.25">
      <c r="A599" t="s">
        <v>633</v>
      </c>
      <c r="B599" t="s">
        <v>34</v>
      </c>
      <c r="C599">
        <v>37</v>
      </c>
      <c r="D599" t="s">
        <v>9</v>
      </c>
      <c r="E599">
        <v>87</v>
      </c>
      <c r="F599" s="1">
        <f>Clients_Churn[[#This Row],[Duree_Cumulee_Panne_Min]]/1440</f>
        <v>6.0416666666666667E-2</v>
      </c>
      <c r="G599">
        <v>26.4</v>
      </c>
      <c r="H599">
        <v>3</v>
      </c>
    </row>
    <row r="600" spans="1:8" x14ac:dyDescent="0.25">
      <c r="A600" t="s">
        <v>634</v>
      </c>
      <c r="B600" t="s">
        <v>24</v>
      </c>
      <c r="C600">
        <v>22</v>
      </c>
      <c r="D600" t="s">
        <v>12</v>
      </c>
      <c r="E600">
        <v>374</v>
      </c>
      <c r="F600" s="1">
        <f>Clients_Churn[[#This Row],[Duree_Cumulee_Panne_Min]]/1440</f>
        <v>0.25972222222222224</v>
      </c>
      <c r="G600">
        <v>40.06</v>
      </c>
      <c r="H600">
        <v>5</v>
      </c>
    </row>
    <row r="601" spans="1:8" x14ac:dyDescent="0.25">
      <c r="A601" t="s">
        <v>635</v>
      </c>
      <c r="B601" t="s">
        <v>64</v>
      </c>
      <c r="C601">
        <v>21</v>
      </c>
      <c r="D601" t="s">
        <v>15</v>
      </c>
      <c r="E601">
        <v>460</v>
      </c>
      <c r="F601" s="1">
        <f>Clients_Churn[[#This Row],[Duree_Cumulee_Panne_Min]]/1440</f>
        <v>0.31944444444444442</v>
      </c>
      <c r="G601">
        <v>70.81</v>
      </c>
      <c r="H601">
        <v>2</v>
      </c>
    </row>
    <row r="602" spans="1:8" x14ac:dyDescent="0.25">
      <c r="A602" t="s">
        <v>636</v>
      </c>
      <c r="B602" t="s">
        <v>20</v>
      </c>
      <c r="C602">
        <v>67</v>
      </c>
      <c r="D602" t="s">
        <v>12</v>
      </c>
      <c r="E602">
        <v>55</v>
      </c>
      <c r="F602" s="1">
        <f>Clients_Churn[[#This Row],[Duree_Cumulee_Panne_Min]]/1440</f>
        <v>3.8194444444444448E-2</v>
      </c>
      <c r="G602">
        <v>27.04</v>
      </c>
      <c r="H602">
        <v>1</v>
      </c>
    </row>
    <row r="603" spans="1:8" x14ac:dyDescent="0.25">
      <c r="A603" t="s">
        <v>637</v>
      </c>
      <c r="B603" t="s">
        <v>36</v>
      </c>
      <c r="C603">
        <v>23</v>
      </c>
      <c r="D603" t="s">
        <v>12</v>
      </c>
      <c r="E603">
        <v>473</v>
      </c>
      <c r="F603" s="1">
        <f>Clients_Churn[[#This Row],[Duree_Cumulee_Panne_Min]]/1440</f>
        <v>0.32847222222222222</v>
      </c>
      <c r="G603">
        <v>71.86</v>
      </c>
      <c r="H603">
        <v>3</v>
      </c>
    </row>
    <row r="604" spans="1:8" x14ac:dyDescent="0.25">
      <c r="A604" t="s">
        <v>638</v>
      </c>
      <c r="B604" t="s">
        <v>20</v>
      </c>
      <c r="C604">
        <v>20</v>
      </c>
      <c r="D604" t="s">
        <v>15</v>
      </c>
      <c r="E604">
        <v>4</v>
      </c>
      <c r="F604" s="1">
        <f>Clients_Churn[[#This Row],[Duree_Cumulee_Panne_Min]]/1440</f>
        <v>2.7777777777777779E-3</v>
      </c>
      <c r="G604">
        <v>84.9</v>
      </c>
      <c r="H604">
        <v>3</v>
      </c>
    </row>
    <row r="605" spans="1:8" x14ac:dyDescent="0.25">
      <c r="A605" t="s">
        <v>639</v>
      </c>
      <c r="B605" t="s">
        <v>11</v>
      </c>
      <c r="C605">
        <v>12</v>
      </c>
      <c r="D605" t="s">
        <v>21</v>
      </c>
      <c r="E605">
        <v>208</v>
      </c>
      <c r="F605" s="1">
        <f>Clients_Churn[[#This Row],[Duree_Cumulee_Panne_Min]]/1440</f>
        <v>0.14444444444444443</v>
      </c>
      <c r="G605">
        <v>16.29</v>
      </c>
      <c r="H605">
        <v>4</v>
      </c>
    </row>
    <row r="606" spans="1:8" x14ac:dyDescent="0.25">
      <c r="A606" t="s">
        <v>640</v>
      </c>
      <c r="B606" t="s">
        <v>107</v>
      </c>
      <c r="C606">
        <v>6</v>
      </c>
      <c r="D606" t="s">
        <v>21</v>
      </c>
      <c r="E606">
        <v>162</v>
      </c>
      <c r="F606" s="1">
        <f>Clients_Churn[[#This Row],[Duree_Cumulee_Panne_Min]]/1440</f>
        <v>0.1125</v>
      </c>
      <c r="G606">
        <v>99.93</v>
      </c>
      <c r="H606">
        <v>0</v>
      </c>
    </row>
    <row r="607" spans="1:8" x14ac:dyDescent="0.25">
      <c r="A607" t="s">
        <v>641</v>
      </c>
      <c r="B607" t="s">
        <v>158</v>
      </c>
      <c r="C607">
        <v>25</v>
      </c>
      <c r="D607" t="s">
        <v>9</v>
      </c>
      <c r="E607">
        <v>5</v>
      </c>
      <c r="F607" s="1">
        <f>Clients_Churn[[#This Row],[Duree_Cumulee_Panne_Min]]/1440</f>
        <v>3.472222222222222E-3</v>
      </c>
      <c r="G607">
        <v>27.93</v>
      </c>
      <c r="H607">
        <v>0</v>
      </c>
    </row>
    <row r="608" spans="1:8" x14ac:dyDescent="0.25">
      <c r="A608" t="s">
        <v>642</v>
      </c>
      <c r="B608" t="s">
        <v>61</v>
      </c>
      <c r="C608">
        <v>39</v>
      </c>
      <c r="D608" t="s">
        <v>12</v>
      </c>
      <c r="E608">
        <v>54</v>
      </c>
      <c r="F608" s="1">
        <f>Clients_Churn[[#This Row],[Duree_Cumulee_Panne_Min]]/1440</f>
        <v>3.7499999999999999E-2</v>
      </c>
      <c r="G608">
        <v>88.84</v>
      </c>
      <c r="H608">
        <v>0</v>
      </c>
    </row>
    <row r="609" spans="1:8" x14ac:dyDescent="0.25">
      <c r="A609" t="s">
        <v>643</v>
      </c>
      <c r="B609" t="s">
        <v>24</v>
      </c>
      <c r="C609">
        <v>120</v>
      </c>
      <c r="D609" t="s">
        <v>21</v>
      </c>
      <c r="E609">
        <v>391</v>
      </c>
      <c r="F609" s="1">
        <f>Clients_Churn[[#This Row],[Duree_Cumulee_Panne_Min]]/1440</f>
        <v>0.27152777777777776</v>
      </c>
      <c r="G609">
        <v>67.77</v>
      </c>
      <c r="H609">
        <v>4</v>
      </c>
    </row>
    <row r="610" spans="1:8" x14ac:dyDescent="0.25">
      <c r="A610" t="s">
        <v>644</v>
      </c>
      <c r="B610" t="s">
        <v>74</v>
      </c>
      <c r="C610">
        <v>51</v>
      </c>
      <c r="D610" t="s">
        <v>9</v>
      </c>
      <c r="E610">
        <v>260</v>
      </c>
      <c r="F610" s="1">
        <f>Clients_Churn[[#This Row],[Duree_Cumulee_Panne_Min]]/1440</f>
        <v>0.18055555555555555</v>
      </c>
      <c r="G610">
        <v>92.8</v>
      </c>
      <c r="H610">
        <v>5</v>
      </c>
    </row>
    <row r="611" spans="1:8" x14ac:dyDescent="0.25">
      <c r="A611" t="s">
        <v>645</v>
      </c>
      <c r="B611" t="s">
        <v>67</v>
      </c>
      <c r="C611">
        <v>11</v>
      </c>
      <c r="D611" t="s">
        <v>21</v>
      </c>
      <c r="E611">
        <v>191</v>
      </c>
      <c r="F611" s="1">
        <f>Clients_Churn[[#This Row],[Duree_Cumulee_Panne_Min]]/1440</f>
        <v>0.13263888888888889</v>
      </c>
      <c r="G611">
        <v>87.37</v>
      </c>
      <c r="H611">
        <v>3</v>
      </c>
    </row>
    <row r="612" spans="1:8" x14ac:dyDescent="0.25">
      <c r="A612" t="s">
        <v>646</v>
      </c>
      <c r="B612" t="s">
        <v>48</v>
      </c>
      <c r="C612">
        <v>47</v>
      </c>
      <c r="D612" t="s">
        <v>21</v>
      </c>
      <c r="E612">
        <v>457</v>
      </c>
      <c r="F612" s="1">
        <f>Clients_Churn[[#This Row],[Duree_Cumulee_Panne_Min]]/1440</f>
        <v>0.31736111111111109</v>
      </c>
      <c r="G612">
        <v>84.93</v>
      </c>
      <c r="H612">
        <v>2</v>
      </c>
    </row>
    <row r="613" spans="1:8" x14ac:dyDescent="0.25">
      <c r="A613" t="s">
        <v>647</v>
      </c>
      <c r="B613" t="s">
        <v>17</v>
      </c>
      <c r="C613">
        <v>98</v>
      </c>
      <c r="D613" t="s">
        <v>15</v>
      </c>
      <c r="E613">
        <v>110</v>
      </c>
      <c r="F613" s="1">
        <f>Clients_Churn[[#This Row],[Duree_Cumulee_Panne_Min]]/1440</f>
        <v>7.6388888888888895E-2</v>
      </c>
      <c r="G613">
        <v>96.23</v>
      </c>
      <c r="H613">
        <v>2</v>
      </c>
    </row>
    <row r="614" spans="1:8" x14ac:dyDescent="0.25">
      <c r="A614" t="s">
        <v>648</v>
      </c>
      <c r="B614" t="s">
        <v>74</v>
      </c>
      <c r="C614">
        <v>28</v>
      </c>
      <c r="D614" t="s">
        <v>21</v>
      </c>
      <c r="E614">
        <v>96</v>
      </c>
      <c r="F614" s="1">
        <f>Clients_Churn[[#This Row],[Duree_Cumulee_Panne_Min]]/1440</f>
        <v>6.6666666666666666E-2</v>
      </c>
      <c r="G614">
        <v>72.010000000000005</v>
      </c>
      <c r="H614">
        <v>4</v>
      </c>
    </row>
    <row r="615" spans="1:8" x14ac:dyDescent="0.25">
      <c r="A615" t="s">
        <v>649</v>
      </c>
      <c r="B615" t="s">
        <v>8</v>
      </c>
      <c r="C615">
        <v>77</v>
      </c>
      <c r="D615" t="s">
        <v>15</v>
      </c>
      <c r="E615">
        <v>375</v>
      </c>
      <c r="F615" s="1">
        <f>Clients_Churn[[#This Row],[Duree_Cumulee_Panne_Min]]/1440</f>
        <v>0.26041666666666669</v>
      </c>
      <c r="G615">
        <v>24.03</v>
      </c>
      <c r="H615">
        <v>1</v>
      </c>
    </row>
    <row r="616" spans="1:8" x14ac:dyDescent="0.25">
      <c r="A616" t="s">
        <v>650</v>
      </c>
      <c r="B616" t="s">
        <v>34</v>
      </c>
      <c r="C616">
        <v>56</v>
      </c>
      <c r="D616" t="s">
        <v>9</v>
      </c>
      <c r="E616">
        <v>333</v>
      </c>
      <c r="F616" s="1">
        <f>Clients_Churn[[#This Row],[Duree_Cumulee_Panne_Min]]/1440</f>
        <v>0.23125000000000001</v>
      </c>
      <c r="G616">
        <v>23.01</v>
      </c>
      <c r="H616">
        <v>2</v>
      </c>
    </row>
    <row r="617" spans="1:8" x14ac:dyDescent="0.25">
      <c r="A617" t="s">
        <v>651</v>
      </c>
      <c r="B617" t="s">
        <v>11</v>
      </c>
      <c r="C617">
        <v>66</v>
      </c>
      <c r="D617" t="s">
        <v>15</v>
      </c>
      <c r="E617">
        <v>387</v>
      </c>
      <c r="F617" s="1">
        <f>Clients_Churn[[#This Row],[Duree_Cumulee_Panne_Min]]/1440</f>
        <v>0.26874999999999999</v>
      </c>
      <c r="G617">
        <v>82.94</v>
      </c>
      <c r="H617">
        <v>3</v>
      </c>
    </row>
    <row r="618" spans="1:8" x14ac:dyDescent="0.25">
      <c r="A618" t="s">
        <v>652</v>
      </c>
      <c r="B618" t="s">
        <v>107</v>
      </c>
      <c r="C618">
        <v>75</v>
      </c>
      <c r="D618" t="s">
        <v>9</v>
      </c>
      <c r="E618">
        <v>282</v>
      </c>
      <c r="F618" s="1">
        <f>Clients_Churn[[#This Row],[Duree_Cumulee_Panne_Min]]/1440</f>
        <v>0.19583333333333333</v>
      </c>
      <c r="G618">
        <v>45.16</v>
      </c>
      <c r="H618">
        <v>5</v>
      </c>
    </row>
    <row r="619" spans="1:8" x14ac:dyDescent="0.25">
      <c r="A619" t="s">
        <v>653</v>
      </c>
      <c r="B619" t="s">
        <v>8</v>
      </c>
      <c r="C619">
        <v>39</v>
      </c>
      <c r="D619" t="s">
        <v>21</v>
      </c>
      <c r="E619">
        <v>1</v>
      </c>
      <c r="F619" s="1">
        <f>Clients_Churn[[#This Row],[Duree_Cumulee_Panne_Min]]/1440</f>
        <v>6.9444444444444447E-4</v>
      </c>
      <c r="G619">
        <v>66.94</v>
      </c>
      <c r="H619">
        <v>5</v>
      </c>
    </row>
    <row r="620" spans="1:8" x14ac:dyDescent="0.25">
      <c r="A620" t="s">
        <v>654</v>
      </c>
      <c r="B620" t="s">
        <v>14</v>
      </c>
      <c r="C620">
        <v>102</v>
      </c>
      <c r="D620" t="s">
        <v>9</v>
      </c>
      <c r="E620">
        <v>91</v>
      </c>
      <c r="F620" s="1">
        <f>Clients_Churn[[#This Row],[Duree_Cumulee_Panne_Min]]/1440</f>
        <v>6.3194444444444442E-2</v>
      </c>
      <c r="G620">
        <v>34.64</v>
      </c>
      <c r="H620">
        <v>2</v>
      </c>
    </row>
    <row r="621" spans="1:8" x14ac:dyDescent="0.25">
      <c r="A621" t="s">
        <v>655</v>
      </c>
      <c r="B621" t="s">
        <v>48</v>
      </c>
      <c r="C621">
        <v>55</v>
      </c>
      <c r="D621" t="s">
        <v>21</v>
      </c>
      <c r="E621">
        <v>394</v>
      </c>
      <c r="F621" s="1">
        <f>Clients_Churn[[#This Row],[Duree_Cumulee_Panne_Min]]/1440</f>
        <v>0.27361111111111114</v>
      </c>
      <c r="G621">
        <v>26.8</v>
      </c>
      <c r="H621">
        <v>4</v>
      </c>
    </row>
    <row r="622" spans="1:8" x14ac:dyDescent="0.25">
      <c r="A622" t="s">
        <v>656</v>
      </c>
      <c r="B622" t="s">
        <v>42</v>
      </c>
      <c r="C622">
        <v>78</v>
      </c>
      <c r="D622" t="s">
        <v>15</v>
      </c>
      <c r="E622">
        <v>198</v>
      </c>
      <c r="F622" s="1">
        <f>Clients_Churn[[#This Row],[Duree_Cumulee_Panne_Min]]/1440</f>
        <v>0.13750000000000001</v>
      </c>
      <c r="G622">
        <v>69.849999999999994</v>
      </c>
      <c r="H622">
        <v>0</v>
      </c>
    </row>
    <row r="623" spans="1:8" x14ac:dyDescent="0.25">
      <c r="A623" t="s">
        <v>657</v>
      </c>
      <c r="B623" t="s">
        <v>67</v>
      </c>
      <c r="C623">
        <v>5</v>
      </c>
      <c r="D623" t="s">
        <v>21</v>
      </c>
      <c r="E623">
        <v>384</v>
      </c>
      <c r="F623" s="1">
        <f>Clients_Churn[[#This Row],[Duree_Cumulee_Panne_Min]]/1440</f>
        <v>0.26666666666666666</v>
      </c>
      <c r="G623">
        <v>97.26</v>
      </c>
      <c r="H623">
        <v>3</v>
      </c>
    </row>
    <row r="624" spans="1:8" x14ac:dyDescent="0.25">
      <c r="A624" t="s">
        <v>658</v>
      </c>
      <c r="B624" t="s">
        <v>24</v>
      </c>
      <c r="C624">
        <v>87</v>
      </c>
      <c r="D624" t="s">
        <v>12</v>
      </c>
      <c r="E624">
        <v>486</v>
      </c>
      <c r="F624" s="1">
        <f>Clients_Churn[[#This Row],[Duree_Cumulee_Panne_Min]]/1440</f>
        <v>0.33750000000000002</v>
      </c>
      <c r="G624">
        <v>58.26</v>
      </c>
      <c r="H624">
        <v>0</v>
      </c>
    </row>
    <row r="625" spans="1:8" x14ac:dyDescent="0.25">
      <c r="A625" t="s">
        <v>659</v>
      </c>
      <c r="B625" t="s">
        <v>107</v>
      </c>
      <c r="C625">
        <v>42</v>
      </c>
      <c r="D625" t="s">
        <v>15</v>
      </c>
      <c r="E625">
        <v>385</v>
      </c>
      <c r="F625" s="1">
        <f>Clients_Churn[[#This Row],[Duree_Cumulee_Panne_Min]]/1440</f>
        <v>0.2673611111111111</v>
      </c>
      <c r="G625">
        <v>96.52</v>
      </c>
      <c r="H625">
        <v>1</v>
      </c>
    </row>
    <row r="626" spans="1:8" x14ac:dyDescent="0.25">
      <c r="A626" t="s">
        <v>660</v>
      </c>
      <c r="B626" t="s">
        <v>36</v>
      </c>
      <c r="C626">
        <v>103</v>
      </c>
      <c r="D626" t="s">
        <v>21</v>
      </c>
      <c r="E626">
        <v>386</v>
      </c>
      <c r="F626" s="1">
        <f>Clients_Churn[[#This Row],[Duree_Cumulee_Panne_Min]]/1440</f>
        <v>0.26805555555555555</v>
      </c>
      <c r="G626">
        <v>10.58</v>
      </c>
      <c r="H626">
        <v>0</v>
      </c>
    </row>
    <row r="627" spans="1:8" x14ac:dyDescent="0.25">
      <c r="A627" t="s">
        <v>661</v>
      </c>
      <c r="B627" t="s">
        <v>8</v>
      </c>
      <c r="C627">
        <v>63</v>
      </c>
      <c r="D627" t="s">
        <v>9</v>
      </c>
      <c r="E627">
        <v>392</v>
      </c>
      <c r="F627" s="1">
        <f>Clients_Churn[[#This Row],[Duree_Cumulee_Panne_Min]]/1440</f>
        <v>0.2722222222222222</v>
      </c>
      <c r="G627">
        <v>93.11</v>
      </c>
      <c r="H627">
        <v>3</v>
      </c>
    </row>
    <row r="628" spans="1:8" x14ac:dyDescent="0.25">
      <c r="A628" t="s">
        <v>662</v>
      </c>
      <c r="B628" t="s">
        <v>20</v>
      </c>
      <c r="C628">
        <v>52</v>
      </c>
      <c r="D628" t="s">
        <v>9</v>
      </c>
      <c r="E628">
        <v>307</v>
      </c>
      <c r="F628" s="1">
        <f>Clients_Churn[[#This Row],[Duree_Cumulee_Panne_Min]]/1440</f>
        <v>0.21319444444444444</v>
      </c>
      <c r="G628">
        <v>81.38</v>
      </c>
      <c r="H628">
        <v>2</v>
      </c>
    </row>
    <row r="629" spans="1:8" x14ac:dyDescent="0.25">
      <c r="A629" t="s">
        <v>663</v>
      </c>
      <c r="B629" t="s">
        <v>44</v>
      </c>
      <c r="C629">
        <v>57</v>
      </c>
      <c r="D629" t="s">
        <v>9</v>
      </c>
      <c r="E629">
        <v>208</v>
      </c>
      <c r="F629" s="1">
        <f>Clients_Churn[[#This Row],[Duree_Cumulee_Panne_Min]]/1440</f>
        <v>0.14444444444444443</v>
      </c>
      <c r="G629">
        <v>85.66</v>
      </c>
      <c r="H629">
        <v>5</v>
      </c>
    </row>
    <row r="630" spans="1:8" x14ac:dyDescent="0.25">
      <c r="A630" t="s">
        <v>664</v>
      </c>
      <c r="B630" t="s">
        <v>8</v>
      </c>
      <c r="C630">
        <v>55</v>
      </c>
      <c r="D630" t="s">
        <v>21</v>
      </c>
      <c r="E630">
        <v>86</v>
      </c>
      <c r="F630" s="1">
        <f>Clients_Churn[[#This Row],[Duree_Cumulee_Panne_Min]]/1440</f>
        <v>5.9722222222222225E-2</v>
      </c>
      <c r="G630">
        <v>17.440000000000001</v>
      </c>
      <c r="H630">
        <v>2</v>
      </c>
    </row>
    <row r="631" spans="1:8" x14ac:dyDescent="0.25">
      <c r="A631" t="s">
        <v>665</v>
      </c>
      <c r="B631" t="s">
        <v>50</v>
      </c>
      <c r="C631">
        <v>58</v>
      </c>
      <c r="D631" t="s">
        <v>21</v>
      </c>
      <c r="E631">
        <v>485</v>
      </c>
      <c r="F631" s="1">
        <f>Clients_Churn[[#This Row],[Duree_Cumulee_Panne_Min]]/1440</f>
        <v>0.33680555555555558</v>
      </c>
      <c r="G631">
        <v>64.290000000000006</v>
      </c>
      <c r="H631">
        <v>4</v>
      </c>
    </row>
    <row r="632" spans="1:8" x14ac:dyDescent="0.25">
      <c r="A632" t="s">
        <v>666</v>
      </c>
      <c r="B632" t="s">
        <v>11</v>
      </c>
      <c r="C632">
        <v>9</v>
      </c>
      <c r="D632" t="s">
        <v>9</v>
      </c>
      <c r="E632">
        <v>27</v>
      </c>
      <c r="F632" s="1">
        <f>Clients_Churn[[#This Row],[Duree_Cumulee_Panne_Min]]/1440</f>
        <v>1.8749999999999999E-2</v>
      </c>
      <c r="G632">
        <v>99.02</v>
      </c>
      <c r="H632">
        <v>3</v>
      </c>
    </row>
    <row r="633" spans="1:8" x14ac:dyDescent="0.25">
      <c r="A633" t="s">
        <v>667</v>
      </c>
      <c r="B633" t="s">
        <v>32</v>
      </c>
      <c r="C633">
        <v>84</v>
      </c>
      <c r="D633" t="s">
        <v>9</v>
      </c>
      <c r="E633">
        <v>364</v>
      </c>
      <c r="F633" s="1">
        <f>Clients_Churn[[#This Row],[Duree_Cumulee_Panne_Min]]/1440</f>
        <v>0.25277777777777777</v>
      </c>
      <c r="G633">
        <v>87.79</v>
      </c>
      <c r="H633">
        <v>3</v>
      </c>
    </row>
    <row r="634" spans="1:8" x14ac:dyDescent="0.25">
      <c r="A634" t="s">
        <v>668</v>
      </c>
      <c r="B634" t="s">
        <v>50</v>
      </c>
      <c r="C634">
        <v>27</v>
      </c>
      <c r="D634" t="s">
        <v>9</v>
      </c>
      <c r="E634">
        <v>275</v>
      </c>
      <c r="F634" s="1">
        <f>Clients_Churn[[#This Row],[Duree_Cumulee_Panne_Min]]/1440</f>
        <v>0.19097222222222221</v>
      </c>
      <c r="G634">
        <v>80.069999999999993</v>
      </c>
      <c r="H634">
        <v>1</v>
      </c>
    </row>
    <row r="635" spans="1:8" x14ac:dyDescent="0.25">
      <c r="A635" t="s">
        <v>669</v>
      </c>
      <c r="B635" t="s">
        <v>48</v>
      </c>
      <c r="C635">
        <v>56</v>
      </c>
      <c r="D635" t="s">
        <v>9</v>
      </c>
      <c r="E635">
        <v>114</v>
      </c>
      <c r="F635" s="1">
        <f>Clients_Churn[[#This Row],[Duree_Cumulee_Panne_Min]]/1440</f>
        <v>7.9166666666666663E-2</v>
      </c>
      <c r="G635">
        <v>64.39</v>
      </c>
      <c r="H635">
        <v>1</v>
      </c>
    </row>
    <row r="636" spans="1:8" x14ac:dyDescent="0.25">
      <c r="A636" t="s">
        <v>670</v>
      </c>
      <c r="B636" t="s">
        <v>71</v>
      </c>
      <c r="C636">
        <v>51</v>
      </c>
      <c r="D636" t="s">
        <v>15</v>
      </c>
      <c r="E636">
        <v>152</v>
      </c>
      <c r="F636" s="1">
        <f>Clients_Churn[[#This Row],[Duree_Cumulee_Panne_Min]]/1440</f>
        <v>0.10555555555555556</v>
      </c>
      <c r="G636">
        <v>34.630000000000003</v>
      </c>
      <c r="H636">
        <v>2</v>
      </c>
    </row>
    <row r="637" spans="1:8" x14ac:dyDescent="0.25">
      <c r="A637" t="s">
        <v>671</v>
      </c>
      <c r="B637" t="s">
        <v>14</v>
      </c>
      <c r="C637">
        <v>26</v>
      </c>
      <c r="D637" t="s">
        <v>9</v>
      </c>
      <c r="E637">
        <v>174</v>
      </c>
      <c r="F637" s="1">
        <f>Clients_Churn[[#This Row],[Duree_Cumulee_Panne_Min]]/1440</f>
        <v>0.12083333333333333</v>
      </c>
      <c r="G637">
        <v>90.53</v>
      </c>
      <c r="H637">
        <v>3</v>
      </c>
    </row>
    <row r="638" spans="1:8" x14ac:dyDescent="0.25">
      <c r="A638" t="s">
        <v>672</v>
      </c>
      <c r="B638" t="s">
        <v>61</v>
      </c>
      <c r="C638">
        <v>60</v>
      </c>
      <c r="D638" t="s">
        <v>9</v>
      </c>
      <c r="E638">
        <v>168</v>
      </c>
      <c r="F638" s="1">
        <f>Clients_Churn[[#This Row],[Duree_Cumulee_Panne_Min]]/1440</f>
        <v>0.11666666666666667</v>
      </c>
      <c r="G638">
        <v>67.650000000000006</v>
      </c>
      <c r="H638">
        <v>1</v>
      </c>
    </row>
    <row r="639" spans="1:8" x14ac:dyDescent="0.25">
      <c r="A639" t="s">
        <v>673</v>
      </c>
      <c r="B639" t="s">
        <v>11</v>
      </c>
      <c r="C639">
        <v>47</v>
      </c>
      <c r="D639" t="s">
        <v>9</v>
      </c>
      <c r="E639">
        <v>199</v>
      </c>
      <c r="F639" s="1">
        <f>Clients_Churn[[#This Row],[Duree_Cumulee_Panne_Min]]/1440</f>
        <v>0.13819444444444445</v>
      </c>
      <c r="G639">
        <v>23.19</v>
      </c>
      <c r="H639">
        <v>2</v>
      </c>
    </row>
    <row r="640" spans="1:8" x14ac:dyDescent="0.25">
      <c r="A640" t="s">
        <v>674</v>
      </c>
      <c r="B640" t="s">
        <v>34</v>
      </c>
      <c r="C640">
        <v>7</v>
      </c>
      <c r="D640" t="s">
        <v>9</v>
      </c>
      <c r="E640">
        <v>257</v>
      </c>
      <c r="F640" s="1">
        <f>Clients_Churn[[#This Row],[Duree_Cumulee_Panne_Min]]/1440</f>
        <v>0.17847222222222223</v>
      </c>
      <c r="G640">
        <v>73.040000000000006</v>
      </c>
      <c r="H640">
        <v>3</v>
      </c>
    </row>
    <row r="641" spans="1:8" x14ac:dyDescent="0.25">
      <c r="A641" t="s">
        <v>675</v>
      </c>
      <c r="B641" t="s">
        <v>32</v>
      </c>
      <c r="C641">
        <v>59</v>
      </c>
      <c r="D641" t="s">
        <v>12</v>
      </c>
      <c r="E641">
        <v>369</v>
      </c>
      <c r="F641" s="1">
        <f>Clients_Churn[[#This Row],[Duree_Cumulee_Panne_Min]]/1440</f>
        <v>0.25624999999999998</v>
      </c>
      <c r="G641">
        <v>26.64</v>
      </c>
      <c r="H641">
        <v>4</v>
      </c>
    </row>
    <row r="642" spans="1:8" x14ac:dyDescent="0.25">
      <c r="A642" t="s">
        <v>676</v>
      </c>
      <c r="B642" t="s">
        <v>17</v>
      </c>
      <c r="C642">
        <v>104</v>
      </c>
      <c r="D642" t="s">
        <v>9</v>
      </c>
      <c r="E642">
        <v>243</v>
      </c>
      <c r="F642" s="1">
        <f>Clients_Churn[[#This Row],[Duree_Cumulee_Panne_Min]]/1440</f>
        <v>0.16875000000000001</v>
      </c>
      <c r="G642">
        <v>65.819999999999993</v>
      </c>
      <c r="H642">
        <v>0</v>
      </c>
    </row>
    <row r="643" spans="1:8" x14ac:dyDescent="0.25">
      <c r="A643" t="s">
        <v>677</v>
      </c>
      <c r="B643" t="s">
        <v>24</v>
      </c>
      <c r="C643">
        <v>48</v>
      </c>
      <c r="D643" t="s">
        <v>15</v>
      </c>
      <c r="E643">
        <v>15</v>
      </c>
      <c r="F643" s="1">
        <f>Clients_Churn[[#This Row],[Duree_Cumulee_Panne_Min]]/1440</f>
        <v>1.0416666666666666E-2</v>
      </c>
      <c r="G643">
        <v>50.67</v>
      </c>
      <c r="H643">
        <v>1</v>
      </c>
    </row>
    <row r="644" spans="1:8" x14ac:dyDescent="0.25">
      <c r="A644" t="s">
        <v>678</v>
      </c>
      <c r="B644" t="s">
        <v>24</v>
      </c>
      <c r="C644">
        <v>71</v>
      </c>
      <c r="D644" t="s">
        <v>9</v>
      </c>
      <c r="E644">
        <v>364</v>
      </c>
      <c r="F644" s="1">
        <f>Clients_Churn[[#This Row],[Duree_Cumulee_Panne_Min]]/1440</f>
        <v>0.25277777777777777</v>
      </c>
      <c r="G644">
        <v>39.58</v>
      </c>
      <c r="H644">
        <v>1</v>
      </c>
    </row>
    <row r="645" spans="1:8" x14ac:dyDescent="0.25">
      <c r="A645" t="s">
        <v>679</v>
      </c>
      <c r="B645" t="s">
        <v>11</v>
      </c>
      <c r="C645">
        <v>88</v>
      </c>
      <c r="D645" t="s">
        <v>15</v>
      </c>
      <c r="E645">
        <v>154</v>
      </c>
      <c r="F645" s="1">
        <f>Clients_Churn[[#This Row],[Duree_Cumulee_Panne_Min]]/1440</f>
        <v>0.10694444444444444</v>
      </c>
      <c r="G645">
        <v>62.62</v>
      </c>
      <c r="H645">
        <v>5</v>
      </c>
    </row>
    <row r="646" spans="1:8" x14ac:dyDescent="0.25">
      <c r="A646" t="s">
        <v>680</v>
      </c>
      <c r="B646" t="s">
        <v>17</v>
      </c>
      <c r="C646">
        <v>119</v>
      </c>
      <c r="D646" t="s">
        <v>15</v>
      </c>
      <c r="E646">
        <v>231</v>
      </c>
      <c r="F646" s="1">
        <f>Clients_Churn[[#This Row],[Duree_Cumulee_Panne_Min]]/1440</f>
        <v>0.16041666666666668</v>
      </c>
      <c r="G646">
        <v>20.22</v>
      </c>
      <c r="H646">
        <v>2</v>
      </c>
    </row>
    <row r="647" spans="1:8" x14ac:dyDescent="0.25">
      <c r="A647" t="s">
        <v>681</v>
      </c>
      <c r="B647" t="s">
        <v>24</v>
      </c>
      <c r="C647">
        <v>81</v>
      </c>
      <c r="D647" t="s">
        <v>12</v>
      </c>
      <c r="E647">
        <v>298</v>
      </c>
      <c r="F647" s="1">
        <f>Clients_Churn[[#This Row],[Duree_Cumulee_Panne_Min]]/1440</f>
        <v>0.20694444444444443</v>
      </c>
      <c r="G647">
        <v>53.61</v>
      </c>
      <c r="H647">
        <v>2</v>
      </c>
    </row>
    <row r="648" spans="1:8" x14ac:dyDescent="0.25">
      <c r="A648" t="s">
        <v>682</v>
      </c>
      <c r="B648" t="s">
        <v>32</v>
      </c>
      <c r="C648">
        <v>45</v>
      </c>
      <c r="D648" t="s">
        <v>21</v>
      </c>
      <c r="E648">
        <v>244</v>
      </c>
      <c r="F648" s="1">
        <f>Clients_Churn[[#This Row],[Duree_Cumulee_Panne_Min]]/1440</f>
        <v>0.16944444444444445</v>
      </c>
      <c r="G648">
        <v>55.17</v>
      </c>
      <c r="H648">
        <v>2</v>
      </c>
    </row>
    <row r="649" spans="1:8" x14ac:dyDescent="0.25">
      <c r="A649" t="s">
        <v>683</v>
      </c>
      <c r="B649" t="s">
        <v>48</v>
      </c>
      <c r="C649">
        <v>86</v>
      </c>
      <c r="D649" t="s">
        <v>21</v>
      </c>
      <c r="E649">
        <v>471</v>
      </c>
      <c r="F649" s="1">
        <f>Clients_Churn[[#This Row],[Duree_Cumulee_Panne_Min]]/1440</f>
        <v>0.32708333333333334</v>
      </c>
      <c r="G649">
        <v>33.380000000000003</v>
      </c>
      <c r="H649">
        <v>4</v>
      </c>
    </row>
    <row r="650" spans="1:8" x14ac:dyDescent="0.25">
      <c r="A650" t="s">
        <v>684</v>
      </c>
      <c r="B650" t="s">
        <v>20</v>
      </c>
      <c r="C650">
        <v>33</v>
      </c>
      <c r="D650" t="s">
        <v>21</v>
      </c>
      <c r="E650">
        <v>444</v>
      </c>
      <c r="F650" s="1">
        <f>Clients_Churn[[#This Row],[Duree_Cumulee_Panne_Min]]/1440</f>
        <v>0.30833333333333335</v>
      </c>
      <c r="G650">
        <v>10.28</v>
      </c>
      <c r="H650">
        <v>5</v>
      </c>
    </row>
    <row r="651" spans="1:8" x14ac:dyDescent="0.25">
      <c r="A651" t="s">
        <v>685</v>
      </c>
      <c r="B651" t="s">
        <v>48</v>
      </c>
      <c r="C651">
        <v>104</v>
      </c>
      <c r="D651" t="s">
        <v>12</v>
      </c>
      <c r="E651">
        <v>317</v>
      </c>
      <c r="F651" s="1">
        <f>Clients_Churn[[#This Row],[Duree_Cumulee_Panne_Min]]/1440</f>
        <v>0.22013888888888888</v>
      </c>
      <c r="G651">
        <v>79.150000000000006</v>
      </c>
      <c r="H651">
        <v>1</v>
      </c>
    </row>
    <row r="652" spans="1:8" x14ac:dyDescent="0.25">
      <c r="A652" t="s">
        <v>686</v>
      </c>
      <c r="B652" t="s">
        <v>42</v>
      </c>
      <c r="C652">
        <v>90</v>
      </c>
      <c r="D652" t="s">
        <v>12</v>
      </c>
      <c r="E652">
        <v>195</v>
      </c>
      <c r="F652" s="1">
        <f>Clients_Churn[[#This Row],[Duree_Cumulee_Panne_Min]]/1440</f>
        <v>0.13541666666666666</v>
      </c>
      <c r="G652">
        <v>52.71</v>
      </c>
      <c r="H652">
        <v>2</v>
      </c>
    </row>
    <row r="653" spans="1:8" x14ac:dyDescent="0.25">
      <c r="A653" t="s">
        <v>687</v>
      </c>
      <c r="B653" t="s">
        <v>107</v>
      </c>
      <c r="C653">
        <v>108</v>
      </c>
      <c r="D653" t="s">
        <v>15</v>
      </c>
      <c r="E653">
        <v>278</v>
      </c>
      <c r="F653" s="1">
        <f>Clients_Churn[[#This Row],[Duree_Cumulee_Panne_Min]]/1440</f>
        <v>0.19305555555555556</v>
      </c>
      <c r="G653">
        <v>40.51</v>
      </c>
      <c r="H653">
        <v>3</v>
      </c>
    </row>
    <row r="654" spans="1:8" x14ac:dyDescent="0.25">
      <c r="A654" t="s">
        <v>688</v>
      </c>
      <c r="B654" t="s">
        <v>67</v>
      </c>
      <c r="C654">
        <v>57</v>
      </c>
      <c r="D654" t="s">
        <v>15</v>
      </c>
      <c r="E654">
        <v>375</v>
      </c>
      <c r="F654" s="1">
        <f>Clients_Churn[[#This Row],[Duree_Cumulee_Panne_Min]]/1440</f>
        <v>0.26041666666666669</v>
      </c>
      <c r="G654">
        <v>64.73</v>
      </c>
      <c r="H654">
        <v>1</v>
      </c>
    </row>
    <row r="655" spans="1:8" x14ac:dyDescent="0.25">
      <c r="A655" t="s">
        <v>689</v>
      </c>
      <c r="B655" t="s">
        <v>40</v>
      </c>
      <c r="C655">
        <v>101</v>
      </c>
      <c r="D655" t="s">
        <v>12</v>
      </c>
      <c r="E655">
        <v>210</v>
      </c>
      <c r="F655" s="1">
        <f>Clients_Churn[[#This Row],[Duree_Cumulee_Panne_Min]]/1440</f>
        <v>0.14583333333333334</v>
      </c>
      <c r="G655">
        <v>35.4</v>
      </c>
      <c r="H655">
        <v>1</v>
      </c>
    </row>
    <row r="656" spans="1:8" x14ac:dyDescent="0.25">
      <c r="A656" t="s">
        <v>690</v>
      </c>
      <c r="B656" t="s">
        <v>20</v>
      </c>
      <c r="C656">
        <v>72</v>
      </c>
      <c r="D656" t="s">
        <v>12</v>
      </c>
      <c r="E656">
        <v>333</v>
      </c>
      <c r="F656" s="1">
        <f>Clients_Churn[[#This Row],[Duree_Cumulee_Panne_Min]]/1440</f>
        <v>0.23125000000000001</v>
      </c>
      <c r="G656">
        <v>34.57</v>
      </c>
      <c r="H656">
        <v>2</v>
      </c>
    </row>
    <row r="657" spans="1:8" x14ac:dyDescent="0.25">
      <c r="A657" t="s">
        <v>691</v>
      </c>
      <c r="B657" t="s">
        <v>34</v>
      </c>
      <c r="C657">
        <v>91</v>
      </c>
      <c r="D657" t="s">
        <v>15</v>
      </c>
      <c r="E657">
        <v>404</v>
      </c>
      <c r="F657" s="1">
        <f>Clients_Churn[[#This Row],[Duree_Cumulee_Panne_Min]]/1440</f>
        <v>0.28055555555555556</v>
      </c>
      <c r="G657">
        <v>76.53</v>
      </c>
      <c r="H657">
        <v>5</v>
      </c>
    </row>
    <row r="658" spans="1:8" x14ac:dyDescent="0.25">
      <c r="A658" t="s">
        <v>692</v>
      </c>
      <c r="B658" t="s">
        <v>48</v>
      </c>
      <c r="C658">
        <v>118</v>
      </c>
      <c r="D658" t="s">
        <v>9</v>
      </c>
      <c r="E658">
        <v>300</v>
      </c>
      <c r="F658" s="1">
        <f>Clients_Churn[[#This Row],[Duree_Cumulee_Panne_Min]]/1440</f>
        <v>0.20833333333333334</v>
      </c>
      <c r="G658">
        <v>98.22</v>
      </c>
      <c r="H658">
        <v>4</v>
      </c>
    </row>
    <row r="659" spans="1:8" x14ac:dyDescent="0.25">
      <c r="A659" t="s">
        <v>693</v>
      </c>
      <c r="B659" t="s">
        <v>40</v>
      </c>
      <c r="C659">
        <v>79</v>
      </c>
      <c r="D659" t="s">
        <v>9</v>
      </c>
      <c r="E659">
        <v>357</v>
      </c>
      <c r="F659" s="1">
        <f>Clients_Churn[[#This Row],[Duree_Cumulee_Panne_Min]]/1440</f>
        <v>0.24791666666666667</v>
      </c>
      <c r="G659">
        <v>69.900000000000006</v>
      </c>
      <c r="H659">
        <v>5</v>
      </c>
    </row>
    <row r="660" spans="1:8" x14ac:dyDescent="0.25">
      <c r="A660" t="s">
        <v>694</v>
      </c>
      <c r="B660" t="s">
        <v>32</v>
      </c>
      <c r="C660">
        <v>112</v>
      </c>
      <c r="D660" t="s">
        <v>15</v>
      </c>
      <c r="E660">
        <v>281</v>
      </c>
      <c r="F660" s="1">
        <f>Clients_Churn[[#This Row],[Duree_Cumulee_Panne_Min]]/1440</f>
        <v>0.19513888888888889</v>
      </c>
      <c r="G660">
        <v>80.72</v>
      </c>
      <c r="H660">
        <v>2</v>
      </c>
    </row>
    <row r="661" spans="1:8" x14ac:dyDescent="0.25">
      <c r="A661" t="s">
        <v>695</v>
      </c>
      <c r="B661" t="s">
        <v>30</v>
      </c>
      <c r="C661">
        <v>93</v>
      </c>
      <c r="D661" t="s">
        <v>12</v>
      </c>
      <c r="E661">
        <v>153</v>
      </c>
      <c r="F661" s="1">
        <f>Clients_Churn[[#This Row],[Duree_Cumulee_Panne_Min]]/1440</f>
        <v>0.10625</v>
      </c>
      <c r="G661">
        <v>86.19</v>
      </c>
      <c r="H661">
        <v>0</v>
      </c>
    </row>
    <row r="662" spans="1:8" x14ac:dyDescent="0.25">
      <c r="A662" t="s">
        <v>696</v>
      </c>
      <c r="B662" t="s">
        <v>46</v>
      </c>
      <c r="C662">
        <v>48</v>
      </c>
      <c r="D662" t="s">
        <v>9</v>
      </c>
      <c r="E662">
        <v>482</v>
      </c>
      <c r="F662" s="1">
        <f>Clients_Churn[[#This Row],[Duree_Cumulee_Panne_Min]]/1440</f>
        <v>0.3347222222222222</v>
      </c>
      <c r="G662">
        <v>83.24</v>
      </c>
      <c r="H662">
        <v>0</v>
      </c>
    </row>
    <row r="663" spans="1:8" x14ac:dyDescent="0.25">
      <c r="A663" t="s">
        <v>697</v>
      </c>
      <c r="B663" t="s">
        <v>61</v>
      </c>
      <c r="C663">
        <v>22</v>
      </c>
      <c r="D663" t="s">
        <v>12</v>
      </c>
      <c r="E663">
        <v>127</v>
      </c>
      <c r="F663" s="1">
        <f>Clients_Churn[[#This Row],[Duree_Cumulee_Panne_Min]]/1440</f>
        <v>8.819444444444445E-2</v>
      </c>
      <c r="G663">
        <v>49.06</v>
      </c>
      <c r="H663">
        <v>2</v>
      </c>
    </row>
    <row r="664" spans="1:8" x14ac:dyDescent="0.25">
      <c r="A664" t="s">
        <v>698</v>
      </c>
      <c r="B664" t="s">
        <v>50</v>
      </c>
      <c r="C664">
        <v>87</v>
      </c>
      <c r="D664" t="s">
        <v>12</v>
      </c>
      <c r="E664">
        <v>205</v>
      </c>
      <c r="F664" s="1">
        <f>Clients_Churn[[#This Row],[Duree_Cumulee_Panne_Min]]/1440</f>
        <v>0.1423611111111111</v>
      </c>
      <c r="G664">
        <v>40.159999999999997</v>
      </c>
      <c r="H664">
        <v>5</v>
      </c>
    </row>
    <row r="665" spans="1:8" x14ac:dyDescent="0.25">
      <c r="A665" t="s">
        <v>699</v>
      </c>
      <c r="B665" t="s">
        <v>34</v>
      </c>
      <c r="C665">
        <v>100</v>
      </c>
      <c r="D665" t="s">
        <v>9</v>
      </c>
      <c r="E665">
        <v>471</v>
      </c>
      <c r="F665" s="1">
        <f>Clients_Churn[[#This Row],[Duree_Cumulee_Panne_Min]]/1440</f>
        <v>0.32708333333333334</v>
      </c>
      <c r="G665">
        <v>61.2</v>
      </c>
      <c r="H665">
        <v>3</v>
      </c>
    </row>
    <row r="666" spans="1:8" x14ac:dyDescent="0.25">
      <c r="A666" t="s">
        <v>700</v>
      </c>
      <c r="B666" t="s">
        <v>67</v>
      </c>
      <c r="C666">
        <v>51</v>
      </c>
      <c r="D666" t="s">
        <v>15</v>
      </c>
      <c r="E666">
        <v>433</v>
      </c>
      <c r="F666" s="1">
        <f>Clients_Churn[[#This Row],[Duree_Cumulee_Panne_Min]]/1440</f>
        <v>0.30069444444444443</v>
      </c>
      <c r="G666">
        <v>12.89</v>
      </c>
      <c r="H666">
        <v>1</v>
      </c>
    </row>
    <row r="667" spans="1:8" x14ac:dyDescent="0.25">
      <c r="A667" t="s">
        <v>701</v>
      </c>
      <c r="B667" t="s">
        <v>50</v>
      </c>
      <c r="C667">
        <v>15</v>
      </c>
      <c r="D667" t="s">
        <v>9</v>
      </c>
      <c r="E667">
        <v>30</v>
      </c>
      <c r="F667" s="1">
        <f>Clients_Churn[[#This Row],[Duree_Cumulee_Panne_Min]]/1440</f>
        <v>2.0833333333333332E-2</v>
      </c>
      <c r="G667">
        <v>30.5</v>
      </c>
      <c r="H667">
        <v>1</v>
      </c>
    </row>
    <row r="668" spans="1:8" x14ac:dyDescent="0.25">
      <c r="A668" t="s">
        <v>702</v>
      </c>
      <c r="B668" t="s">
        <v>8</v>
      </c>
      <c r="C668">
        <v>55</v>
      </c>
      <c r="D668" t="s">
        <v>9</v>
      </c>
      <c r="E668">
        <v>407</v>
      </c>
      <c r="F668" s="1">
        <f>Clients_Churn[[#This Row],[Duree_Cumulee_Panne_Min]]/1440</f>
        <v>0.28263888888888888</v>
      </c>
      <c r="G668">
        <v>23.11</v>
      </c>
      <c r="H668">
        <v>0</v>
      </c>
    </row>
    <row r="669" spans="1:8" x14ac:dyDescent="0.25">
      <c r="A669" t="s">
        <v>703</v>
      </c>
      <c r="B669" t="s">
        <v>30</v>
      </c>
      <c r="C669">
        <v>99</v>
      </c>
      <c r="D669" t="s">
        <v>12</v>
      </c>
      <c r="E669">
        <v>42</v>
      </c>
      <c r="F669" s="1">
        <f>Clients_Churn[[#This Row],[Duree_Cumulee_Panne_Min]]/1440</f>
        <v>2.9166666666666667E-2</v>
      </c>
      <c r="G669">
        <v>98.77</v>
      </c>
      <c r="H669">
        <v>3</v>
      </c>
    </row>
    <row r="670" spans="1:8" x14ac:dyDescent="0.25">
      <c r="A670" t="s">
        <v>704</v>
      </c>
      <c r="B670" t="s">
        <v>59</v>
      </c>
      <c r="C670">
        <v>50</v>
      </c>
      <c r="D670" t="s">
        <v>9</v>
      </c>
      <c r="E670">
        <v>258</v>
      </c>
      <c r="F670" s="1">
        <f>Clients_Churn[[#This Row],[Duree_Cumulee_Panne_Min]]/1440</f>
        <v>0.17916666666666667</v>
      </c>
      <c r="G670">
        <v>25.06</v>
      </c>
      <c r="H670">
        <v>4</v>
      </c>
    </row>
    <row r="671" spans="1:8" x14ac:dyDescent="0.25">
      <c r="A671" t="s">
        <v>705</v>
      </c>
      <c r="B671" t="s">
        <v>64</v>
      </c>
      <c r="C671">
        <v>22</v>
      </c>
      <c r="D671" t="s">
        <v>15</v>
      </c>
      <c r="E671">
        <v>451</v>
      </c>
      <c r="F671" s="1">
        <f>Clients_Churn[[#This Row],[Duree_Cumulee_Panne_Min]]/1440</f>
        <v>0.31319444444444444</v>
      </c>
      <c r="G671">
        <v>76.38</v>
      </c>
      <c r="H671">
        <v>3</v>
      </c>
    </row>
    <row r="672" spans="1:8" x14ac:dyDescent="0.25">
      <c r="A672" t="s">
        <v>706</v>
      </c>
      <c r="B672" t="s">
        <v>61</v>
      </c>
      <c r="C672">
        <v>83</v>
      </c>
      <c r="D672" t="s">
        <v>12</v>
      </c>
      <c r="E672">
        <v>91</v>
      </c>
      <c r="F672" s="1">
        <f>Clients_Churn[[#This Row],[Duree_Cumulee_Panne_Min]]/1440</f>
        <v>6.3194444444444442E-2</v>
      </c>
      <c r="G672">
        <v>73.73</v>
      </c>
      <c r="H672">
        <v>2</v>
      </c>
    </row>
    <row r="673" spans="1:8" x14ac:dyDescent="0.25">
      <c r="A673" t="s">
        <v>707</v>
      </c>
      <c r="B673" t="s">
        <v>42</v>
      </c>
      <c r="C673">
        <v>35</v>
      </c>
      <c r="D673" t="s">
        <v>15</v>
      </c>
      <c r="E673">
        <v>421</v>
      </c>
      <c r="F673" s="1">
        <f>Clients_Churn[[#This Row],[Duree_Cumulee_Panne_Min]]/1440</f>
        <v>0.29236111111111113</v>
      </c>
      <c r="G673">
        <v>29.57</v>
      </c>
      <c r="H673">
        <v>5</v>
      </c>
    </row>
    <row r="674" spans="1:8" x14ac:dyDescent="0.25">
      <c r="A674" t="s">
        <v>708</v>
      </c>
      <c r="B674" t="s">
        <v>61</v>
      </c>
      <c r="C674">
        <v>99</v>
      </c>
      <c r="D674" t="s">
        <v>15</v>
      </c>
      <c r="E674">
        <v>137</v>
      </c>
      <c r="F674" s="1">
        <f>Clients_Churn[[#This Row],[Duree_Cumulee_Panne_Min]]/1440</f>
        <v>9.5138888888888884E-2</v>
      </c>
      <c r="G674">
        <v>23.05</v>
      </c>
      <c r="H674">
        <v>4</v>
      </c>
    </row>
    <row r="675" spans="1:8" x14ac:dyDescent="0.25">
      <c r="A675" t="s">
        <v>709</v>
      </c>
      <c r="B675" t="s">
        <v>8</v>
      </c>
      <c r="C675">
        <v>115</v>
      </c>
      <c r="D675" t="s">
        <v>12</v>
      </c>
      <c r="E675">
        <v>262</v>
      </c>
      <c r="F675" s="1">
        <f>Clients_Churn[[#This Row],[Duree_Cumulee_Panne_Min]]/1440</f>
        <v>0.18194444444444444</v>
      </c>
      <c r="G675">
        <v>66.34</v>
      </c>
      <c r="H675">
        <v>3</v>
      </c>
    </row>
    <row r="676" spans="1:8" x14ac:dyDescent="0.25">
      <c r="A676" t="s">
        <v>710</v>
      </c>
      <c r="B676" t="s">
        <v>36</v>
      </c>
      <c r="C676">
        <v>112</v>
      </c>
      <c r="D676" t="s">
        <v>15</v>
      </c>
      <c r="E676">
        <v>483</v>
      </c>
      <c r="F676" s="1">
        <f>Clients_Churn[[#This Row],[Duree_Cumulee_Panne_Min]]/1440</f>
        <v>0.33541666666666664</v>
      </c>
      <c r="G676">
        <v>93.98</v>
      </c>
      <c r="H676">
        <v>0</v>
      </c>
    </row>
    <row r="677" spans="1:8" x14ac:dyDescent="0.25">
      <c r="A677" t="s">
        <v>711</v>
      </c>
      <c r="B677" t="s">
        <v>20</v>
      </c>
      <c r="C677">
        <v>7</v>
      </c>
      <c r="D677" t="s">
        <v>9</v>
      </c>
      <c r="E677">
        <v>233</v>
      </c>
      <c r="F677" s="1">
        <f>Clients_Churn[[#This Row],[Duree_Cumulee_Panne_Min]]/1440</f>
        <v>0.16180555555555556</v>
      </c>
      <c r="G677">
        <v>10.94</v>
      </c>
      <c r="H677">
        <v>0</v>
      </c>
    </row>
    <row r="678" spans="1:8" x14ac:dyDescent="0.25">
      <c r="A678" t="s">
        <v>712</v>
      </c>
      <c r="B678" t="s">
        <v>61</v>
      </c>
      <c r="C678">
        <v>42</v>
      </c>
      <c r="D678" t="s">
        <v>12</v>
      </c>
      <c r="E678">
        <v>389</v>
      </c>
      <c r="F678" s="1">
        <f>Clients_Churn[[#This Row],[Duree_Cumulee_Panne_Min]]/1440</f>
        <v>0.27013888888888887</v>
      </c>
      <c r="G678">
        <v>80.08</v>
      </c>
      <c r="H678">
        <v>1</v>
      </c>
    </row>
    <row r="679" spans="1:8" x14ac:dyDescent="0.25">
      <c r="A679" t="s">
        <v>713</v>
      </c>
      <c r="B679" t="s">
        <v>46</v>
      </c>
      <c r="C679">
        <v>104</v>
      </c>
      <c r="D679" t="s">
        <v>9</v>
      </c>
      <c r="E679">
        <v>245</v>
      </c>
      <c r="F679" s="1">
        <f>Clients_Churn[[#This Row],[Duree_Cumulee_Panne_Min]]/1440</f>
        <v>0.1701388888888889</v>
      </c>
      <c r="G679">
        <v>38.270000000000003</v>
      </c>
      <c r="H679">
        <v>0</v>
      </c>
    </row>
    <row r="680" spans="1:8" x14ac:dyDescent="0.25">
      <c r="A680" t="s">
        <v>714</v>
      </c>
      <c r="B680" t="s">
        <v>74</v>
      </c>
      <c r="C680">
        <v>23</v>
      </c>
      <c r="D680" t="s">
        <v>12</v>
      </c>
      <c r="E680">
        <v>120</v>
      </c>
      <c r="F680" s="1">
        <f>Clients_Churn[[#This Row],[Duree_Cumulee_Panne_Min]]/1440</f>
        <v>8.3333333333333329E-2</v>
      </c>
      <c r="G680">
        <v>73.12</v>
      </c>
      <c r="H680">
        <v>1</v>
      </c>
    </row>
    <row r="681" spans="1:8" x14ac:dyDescent="0.25">
      <c r="A681" t="s">
        <v>715</v>
      </c>
      <c r="B681" t="s">
        <v>14</v>
      </c>
      <c r="C681">
        <v>76</v>
      </c>
      <c r="D681" t="s">
        <v>9</v>
      </c>
      <c r="E681">
        <v>192</v>
      </c>
      <c r="F681" s="1">
        <f>Clients_Churn[[#This Row],[Duree_Cumulee_Panne_Min]]/1440</f>
        <v>0.13333333333333333</v>
      </c>
      <c r="G681">
        <v>68.53</v>
      </c>
      <c r="H681">
        <v>0</v>
      </c>
    </row>
    <row r="682" spans="1:8" x14ac:dyDescent="0.25">
      <c r="A682" t="s">
        <v>716</v>
      </c>
      <c r="B682" t="s">
        <v>50</v>
      </c>
      <c r="C682">
        <v>35</v>
      </c>
      <c r="D682" t="s">
        <v>12</v>
      </c>
      <c r="E682">
        <v>496</v>
      </c>
      <c r="F682" s="1">
        <f>Clients_Churn[[#This Row],[Duree_Cumulee_Panne_Min]]/1440</f>
        <v>0.34444444444444444</v>
      </c>
      <c r="G682">
        <v>19.78</v>
      </c>
      <c r="H682">
        <v>5</v>
      </c>
    </row>
    <row r="683" spans="1:8" x14ac:dyDescent="0.25">
      <c r="A683" t="s">
        <v>717</v>
      </c>
      <c r="B683" t="s">
        <v>71</v>
      </c>
      <c r="C683">
        <v>97</v>
      </c>
      <c r="D683" t="s">
        <v>12</v>
      </c>
      <c r="E683">
        <v>319</v>
      </c>
      <c r="F683" s="1">
        <f>Clients_Churn[[#This Row],[Duree_Cumulee_Panne_Min]]/1440</f>
        <v>0.22152777777777777</v>
      </c>
      <c r="G683">
        <v>31.25</v>
      </c>
      <c r="H683">
        <v>1</v>
      </c>
    </row>
    <row r="684" spans="1:8" x14ac:dyDescent="0.25">
      <c r="A684" t="s">
        <v>718</v>
      </c>
      <c r="B684" t="s">
        <v>20</v>
      </c>
      <c r="C684">
        <v>114</v>
      </c>
      <c r="D684" t="s">
        <v>21</v>
      </c>
      <c r="E684">
        <v>482</v>
      </c>
      <c r="F684" s="1">
        <f>Clients_Churn[[#This Row],[Duree_Cumulee_Panne_Min]]/1440</f>
        <v>0.3347222222222222</v>
      </c>
      <c r="G684">
        <v>16.25</v>
      </c>
      <c r="H684">
        <v>3</v>
      </c>
    </row>
    <row r="685" spans="1:8" x14ac:dyDescent="0.25">
      <c r="A685" t="s">
        <v>719</v>
      </c>
      <c r="B685" t="s">
        <v>46</v>
      </c>
      <c r="C685">
        <v>89</v>
      </c>
      <c r="D685" t="s">
        <v>9</v>
      </c>
      <c r="E685">
        <v>474</v>
      </c>
      <c r="F685" s="1">
        <f>Clients_Churn[[#This Row],[Duree_Cumulee_Panne_Min]]/1440</f>
        <v>0.32916666666666666</v>
      </c>
      <c r="G685">
        <v>28.51</v>
      </c>
      <c r="H685">
        <v>5</v>
      </c>
    </row>
    <row r="686" spans="1:8" x14ac:dyDescent="0.25">
      <c r="A686" t="s">
        <v>720</v>
      </c>
      <c r="B686" t="s">
        <v>46</v>
      </c>
      <c r="C686">
        <v>41</v>
      </c>
      <c r="D686" t="s">
        <v>12</v>
      </c>
      <c r="E686">
        <v>206</v>
      </c>
      <c r="F686" s="1">
        <f>Clients_Churn[[#This Row],[Duree_Cumulee_Panne_Min]]/1440</f>
        <v>0.14305555555555555</v>
      </c>
      <c r="G686">
        <v>83.16</v>
      </c>
      <c r="H686">
        <v>2</v>
      </c>
    </row>
    <row r="687" spans="1:8" x14ac:dyDescent="0.25">
      <c r="A687" t="s">
        <v>721</v>
      </c>
      <c r="B687" t="s">
        <v>40</v>
      </c>
      <c r="C687">
        <v>110</v>
      </c>
      <c r="D687" t="s">
        <v>15</v>
      </c>
      <c r="E687">
        <v>454</v>
      </c>
      <c r="F687" s="1">
        <f>Clients_Churn[[#This Row],[Duree_Cumulee_Panne_Min]]/1440</f>
        <v>0.31527777777777777</v>
      </c>
      <c r="G687">
        <v>31.05</v>
      </c>
      <c r="H687">
        <v>1</v>
      </c>
    </row>
    <row r="688" spans="1:8" x14ac:dyDescent="0.25">
      <c r="A688" t="s">
        <v>722</v>
      </c>
      <c r="B688" t="s">
        <v>32</v>
      </c>
      <c r="C688">
        <v>85</v>
      </c>
      <c r="D688" t="s">
        <v>12</v>
      </c>
      <c r="E688">
        <v>75</v>
      </c>
      <c r="F688" s="1">
        <f>Clients_Churn[[#This Row],[Duree_Cumulee_Panne_Min]]/1440</f>
        <v>5.2083333333333336E-2</v>
      </c>
      <c r="G688">
        <v>98.01</v>
      </c>
      <c r="H688">
        <v>1</v>
      </c>
    </row>
    <row r="689" spans="1:8" x14ac:dyDescent="0.25">
      <c r="A689" t="s">
        <v>723</v>
      </c>
      <c r="B689" t="s">
        <v>42</v>
      </c>
      <c r="C689">
        <v>79</v>
      </c>
      <c r="D689" t="s">
        <v>9</v>
      </c>
      <c r="E689">
        <v>462</v>
      </c>
      <c r="F689" s="1">
        <f>Clients_Churn[[#This Row],[Duree_Cumulee_Panne_Min]]/1440</f>
        <v>0.32083333333333336</v>
      </c>
      <c r="G689">
        <v>18.28</v>
      </c>
      <c r="H689">
        <v>0</v>
      </c>
    </row>
    <row r="690" spans="1:8" x14ac:dyDescent="0.25">
      <c r="A690" t="s">
        <v>724</v>
      </c>
      <c r="B690" t="s">
        <v>107</v>
      </c>
      <c r="C690">
        <v>46</v>
      </c>
      <c r="D690" t="s">
        <v>21</v>
      </c>
      <c r="E690">
        <v>43</v>
      </c>
      <c r="F690" s="1">
        <f>Clients_Churn[[#This Row],[Duree_Cumulee_Panne_Min]]/1440</f>
        <v>2.9861111111111113E-2</v>
      </c>
      <c r="G690">
        <v>98.44</v>
      </c>
      <c r="H690">
        <v>2</v>
      </c>
    </row>
    <row r="691" spans="1:8" x14ac:dyDescent="0.25">
      <c r="A691" t="s">
        <v>725</v>
      </c>
      <c r="B691" t="s">
        <v>36</v>
      </c>
      <c r="C691">
        <v>1</v>
      </c>
      <c r="D691" t="s">
        <v>12</v>
      </c>
      <c r="E691">
        <v>326</v>
      </c>
      <c r="F691" s="1">
        <f>Clients_Churn[[#This Row],[Duree_Cumulee_Panne_Min]]/1440</f>
        <v>0.22638888888888889</v>
      </c>
      <c r="G691">
        <v>54.63</v>
      </c>
      <c r="H691">
        <v>3</v>
      </c>
    </row>
    <row r="692" spans="1:8" x14ac:dyDescent="0.25">
      <c r="A692" t="s">
        <v>726</v>
      </c>
      <c r="B692" t="s">
        <v>42</v>
      </c>
      <c r="C692">
        <v>26</v>
      </c>
      <c r="D692" t="s">
        <v>21</v>
      </c>
      <c r="E692">
        <v>378</v>
      </c>
      <c r="F692" s="1">
        <f>Clients_Churn[[#This Row],[Duree_Cumulee_Panne_Min]]/1440</f>
        <v>0.26250000000000001</v>
      </c>
      <c r="G692">
        <v>45.21</v>
      </c>
      <c r="H692">
        <v>5</v>
      </c>
    </row>
    <row r="693" spans="1:8" x14ac:dyDescent="0.25">
      <c r="A693" t="s">
        <v>727</v>
      </c>
      <c r="B693" t="s">
        <v>26</v>
      </c>
      <c r="C693">
        <v>73</v>
      </c>
      <c r="D693" t="s">
        <v>12</v>
      </c>
      <c r="E693">
        <v>268</v>
      </c>
      <c r="F693" s="1">
        <f>Clients_Churn[[#This Row],[Duree_Cumulee_Panne_Min]]/1440</f>
        <v>0.18611111111111112</v>
      </c>
      <c r="G693">
        <v>56.86</v>
      </c>
      <c r="H693">
        <v>5</v>
      </c>
    </row>
    <row r="694" spans="1:8" x14ac:dyDescent="0.25">
      <c r="A694" t="s">
        <v>728</v>
      </c>
      <c r="B694" t="s">
        <v>67</v>
      </c>
      <c r="C694">
        <v>16</v>
      </c>
      <c r="D694" t="s">
        <v>9</v>
      </c>
      <c r="E694">
        <v>13</v>
      </c>
      <c r="F694" s="1">
        <f>Clients_Churn[[#This Row],[Duree_Cumulee_Panne_Min]]/1440</f>
        <v>9.0277777777777769E-3</v>
      </c>
      <c r="G694">
        <v>14.91</v>
      </c>
      <c r="H694">
        <v>1</v>
      </c>
    </row>
    <row r="695" spans="1:8" x14ac:dyDescent="0.25">
      <c r="A695" t="s">
        <v>729</v>
      </c>
      <c r="B695" t="s">
        <v>40</v>
      </c>
      <c r="C695">
        <v>101</v>
      </c>
      <c r="D695" t="s">
        <v>15</v>
      </c>
      <c r="E695">
        <v>358</v>
      </c>
      <c r="F695" s="1">
        <f>Clients_Churn[[#This Row],[Duree_Cumulee_Panne_Min]]/1440</f>
        <v>0.24861111111111112</v>
      </c>
      <c r="G695">
        <v>29.24</v>
      </c>
      <c r="H695">
        <v>3</v>
      </c>
    </row>
    <row r="696" spans="1:8" x14ac:dyDescent="0.25">
      <c r="A696" t="s">
        <v>730</v>
      </c>
      <c r="B696" t="s">
        <v>26</v>
      </c>
      <c r="C696">
        <v>103</v>
      </c>
      <c r="D696" t="s">
        <v>15</v>
      </c>
      <c r="E696">
        <v>291</v>
      </c>
      <c r="F696" s="1">
        <f>Clients_Churn[[#This Row],[Duree_Cumulee_Panne_Min]]/1440</f>
        <v>0.20208333333333334</v>
      </c>
      <c r="G696">
        <v>60.34</v>
      </c>
      <c r="H696">
        <v>5</v>
      </c>
    </row>
    <row r="697" spans="1:8" x14ac:dyDescent="0.25">
      <c r="A697" t="s">
        <v>731</v>
      </c>
      <c r="B697" t="s">
        <v>32</v>
      </c>
      <c r="C697">
        <v>92</v>
      </c>
      <c r="D697" t="s">
        <v>21</v>
      </c>
      <c r="E697">
        <v>116</v>
      </c>
      <c r="F697" s="1">
        <f>Clients_Churn[[#This Row],[Duree_Cumulee_Panne_Min]]/1440</f>
        <v>8.0555555555555561E-2</v>
      </c>
      <c r="G697">
        <v>23.83</v>
      </c>
      <c r="H697">
        <v>3</v>
      </c>
    </row>
    <row r="698" spans="1:8" x14ac:dyDescent="0.25">
      <c r="A698" t="s">
        <v>732</v>
      </c>
      <c r="B698" t="s">
        <v>99</v>
      </c>
      <c r="C698">
        <v>116</v>
      </c>
      <c r="D698" t="s">
        <v>15</v>
      </c>
      <c r="E698">
        <v>231</v>
      </c>
      <c r="F698" s="1">
        <f>Clients_Churn[[#This Row],[Duree_Cumulee_Panne_Min]]/1440</f>
        <v>0.16041666666666668</v>
      </c>
      <c r="G698">
        <v>19.12</v>
      </c>
      <c r="H698">
        <v>5</v>
      </c>
    </row>
    <row r="699" spans="1:8" x14ac:dyDescent="0.25">
      <c r="A699" t="s">
        <v>733</v>
      </c>
      <c r="B699" t="s">
        <v>74</v>
      </c>
      <c r="C699">
        <v>89</v>
      </c>
      <c r="D699" t="s">
        <v>12</v>
      </c>
      <c r="E699">
        <v>381</v>
      </c>
      <c r="F699" s="1">
        <f>Clients_Churn[[#This Row],[Duree_Cumulee_Panne_Min]]/1440</f>
        <v>0.26458333333333334</v>
      </c>
      <c r="G699">
        <v>68.17</v>
      </c>
      <c r="H699">
        <v>0</v>
      </c>
    </row>
    <row r="700" spans="1:8" x14ac:dyDescent="0.25">
      <c r="A700" t="s">
        <v>734</v>
      </c>
      <c r="B700" t="s">
        <v>107</v>
      </c>
      <c r="C700">
        <v>65</v>
      </c>
      <c r="D700" t="s">
        <v>21</v>
      </c>
      <c r="E700">
        <v>15</v>
      </c>
      <c r="F700" s="1">
        <f>Clients_Churn[[#This Row],[Duree_Cumulee_Panne_Min]]/1440</f>
        <v>1.0416666666666666E-2</v>
      </c>
      <c r="G700">
        <v>44.47</v>
      </c>
      <c r="H700">
        <v>0</v>
      </c>
    </row>
    <row r="701" spans="1:8" x14ac:dyDescent="0.25">
      <c r="A701" t="s">
        <v>735</v>
      </c>
      <c r="B701" t="s">
        <v>11</v>
      </c>
      <c r="C701">
        <v>61</v>
      </c>
      <c r="D701" t="s">
        <v>12</v>
      </c>
      <c r="E701">
        <v>362</v>
      </c>
      <c r="F701" s="1">
        <f>Clients_Churn[[#This Row],[Duree_Cumulee_Panne_Min]]/1440</f>
        <v>0.25138888888888888</v>
      </c>
      <c r="G701">
        <v>75.03</v>
      </c>
      <c r="H701">
        <v>0</v>
      </c>
    </row>
    <row r="702" spans="1:8" x14ac:dyDescent="0.25">
      <c r="A702" t="s">
        <v>736</v>
      </c>
      <c r="B702" t="s">
        <v>99</v>
      </c>
      <c r="C702">
        <v>17</v>
      </c>
      <c r="D702" t="s">
        <v>12</v>
      </c>
      <c r="E702">
        <v>206</v>
      </c>
      <c r="F702" s="1">
        <f>Clients_Churn[[#This Row],[Duree_Cumulee_Panne_Min]]/1440</f>
        <v>0.14305555555555555</v>
      </c>
      <c r="G702">
        <v>63.46</v>
      </c>
      <c r="H702">
        <v>3</v>
      </c>
    </row>
    <row r="703" spans="1:8" x14ac:dyDescent="0.25">
      <c r="A703" t="s">
        <v>737</v>
      </c>
      <c r="B703" t="s">
        <v>71</v>
      </c>
      <c r="C703">
        <v>19</v>
      </c>
      <c r="D703" t="s">
        <v>9</v>
      </c>
      <c r="E703">
        <v>125</v>
      </c>
      <c r="F703" s="1">
        <f>Clients_Churn[[#This Row],[Duree_Cumulee_Panne_Min]]/1440</f>
        <v>8.6805555555555552E-2</v>
      </c>
      <c r="G703">
        <v>11.78</v>
      </c>
      <c r="H703">
        <v>4</v>
      </c>
    </row>
    <row r="704" spans="1:8" x14ac:dyDescent="0.25">
      <c r="A704" t="s">
        <v>738</v>
      </c>
      <c r="B704" t="s">
        <v>44</v>
      </c>
      <c r="C704">
        <v>13</v>
      </c>
      <c r="D704" t="s">
        <v>9</v>
      </c>
      <c r="E704">
        <v>180</v>
      </c>
      <c r="F704" s="1">
        <f>Clients_Churn[[#This Row],[Duree_Cumulee_Panne_Min]]/1440</f>
        <v>0.125</v>
      </c>
      <c r="G704">
        <v>24.01</v>
      </c>
      <c r="H704">
        <v>0</v>
      </c>
    </row>
    <row r="705" spans="1:8" x14ac:dyDescent="0.25">
      <c r="A705" t="s">
        <v>739</v>
      </c>
      <c r="B705" t="s">
        <v>64</v>
      </c>
      <c r="C705">
        <v>90</v>
      </c>
      <c r="D705" t="s">
        <v>12</v>
      </c>
      <c r="E705">
        <v>299</v>
      </c>
      <c r="F705" s="1">
        <f>Clients_Churn[[#This Row],[Duree_Cumulee_Panne_Min]]/1440</f>
        <v>0.2076388888888889</v>
      </c>
      <c r="G705">
        <v>71.760000000000005</v>
      </c>
      <c r="H705">
        <v>1</v>
      </c>
    </row>
    <row r="706" spans="1:8" x14ac:dyDescent="0.25">
      <c r="A706" t="s">
        <v>740</v>
      </c>
      <c r="B706" t="s">
        <v>59</v>
      </c>
      <c r="C706">
        <v>41</v>
      </c>
      <c r="D706" t="s">
        <v>21</v>
      </c>
      <c r="E706">
        <v>64</v>
      </c>
      <c r="F706" s="1">
        <f>Clients_Churn[[#This Row],[Duree_Cumulee_Panne_Min]]/1440</f>
        <v>4.4444444444444446E-2</v>
      </c>
      <c r="G706">
        <v>91.95</v>
      </c>
      <c r="H706">
        <v>1</v>
      </c>
    </row>
    <row r="707" spans="1:8" x14ac:dyDescent="0.25">
      <c r="A707" t="s">
        <v>741</v>
      </c>
      <c r="B707" t="s">
        <v>99</v>
      </c>
      <c r="C707">
        <v>74</v>
      </c>
      <c r="D707" t="s">
        <v>15</v>
      </c>
      <c r="E707">
        <v>359</v>
      </c>
      <c r="F707" s="1">
        <f>Clients_Churn[[#This Row],[Duree_Cumulee_Panne_Min]]/1440</f>
        <v>0.24930555555555556</v>
      </c>
      <c r="G707">
        <v>92.63</v>
      </c>
      <c r="H707">
        <v>0</v>
      </c>
    </row>
    <row r="708" spans="1:8" x14ac:dyDescent="0.25">
      <c r="A708" t="s">
        <v>742</v>
      </c>
      <c r="B708" t="s">
        <v>50</v>
      </c>
      <c r="C708">
        <v>62</v>
      </c>
      <c r="D708" t="s">
        <v>21</v>
      </c>
      <c r="E708">
        <v>116</v>
      </c>
      <c r="F708" s="1">
        <f>Clients_Churn[[#This Row],[Duree_Cumulee_Panne_Min]]/1440</f>
        <v>8.0555555555555561E-2</v>
      </c>
      <c r="G708">
        <v>92.99</v>
      </c>
      <c r="H708">
        <v>5</v>
      </c>
    </row>
    <row r="709" spans="1:8" x14ac:dyDescent="0.25">
      <c r="A709" t="s">
        <v>743</v>
      </c>
      <c r="B709" t="s">
        <v>99</v>
      </c>
      <c r="C709">
        <v>118</v>
      </c>
      <c r="D709" t="s">
        <v>12</v>
      </c>
      <c r="E709">
        <v>80</v>
      </c>
      <c r="F709" s="1">
        <f>Clients_Churn[[#This Row],[Duree_Cumulee_Panne_Min]]/1440</f>
        <v>5.5555555555555552E-2</v>
      </c>
      <c r="G709">
        <v>97.58</v>
      </c>
      <c r="H709">
        <v>3</v>
      </c>
    </row>
    <row r="710" spans="1:8" x14ac:dyDescent="0.25">
      <c r="A710" t="s">
        <v>744</v>
      </c>
      <c r="B710" t="s">
        <v>71</v>
      </c>
      <c r="C710">
        <v>99</v>
      </c>
      <c r="D710" t="s">
        <v>9</v>
      </c>
      <c r="E710">
        <v>28</v>
      </c>
      <c r="F710" s="1">
        <f>Clients_Churn[[#This Row],[Duree_Cumulee_Panne_Min]]/1440</f>
        <v>1.9444444444444445E-2</v>
      </c>
      <c r="G710">
        <v>70.19</v>
      </c>
      <c r="H710">
        <v>1</v>
      </c>
    </row>
    <row r="711" spans="1:8" x14ac:dyDescent="0.25">
      <c r="A711" t="s">
        <v>745</v>
      </c>
      <c r="B711" t="s">
        <v>107</v>
      </c>
      <c r="C711">
        <v>80</v>
      </c>
      <c r="D711" t="s">
        <v>21</v>
      </c>
      <c r="E711">
        <v>121</v>
      </c>
      <c r="F711" s="1">
        <f>Clients_Churn[[#This Row],[Duree_Cumulee_Panne_Min]]/1440</f>
        <v>8.4027777777777785E-2</v>
      </c>
      <c r="G711">
        <v>83.14</v>
      </c>
      <c r="H711">
        <v>5</v>
      </c>
    </row>
    <row r="712" spans="1:8" x14ac:dyDescent="0.25">
      <c r="A712" t="s">
        <v>746</v>
      </c>
      <c r="B712" t="s">
        <v>67</v>
      </c>
      <c r="C712">
        <v>58</v>
      </c>
      <c r="D712" t="s">
        <v>15</v>
      </c>
      <c r="E712">
        <v>61</v>
      </c>
      <c r="F712" s="1">
        <f>Clients_Churn[[#This Row],[Duree_Cumulee_Panne_Min]]/1440</f>
        <v>4.2361111111111113E-2</v>
      </c>
      <c r="G712">
        <v>58.64</v>
      </c>
      <c r="H712">
        <v>3</v>
      </c>
    </row>
    <row r="713" spans="1:8" x14ac:dyDescent="0.25">
      <c r="A713" t="s">
        <v>747</v>
      </c>
      <c r="B713" t="s">
        <v>17</v>
      </c>
      <c r="C713">
        <v>4</v>
      </c>
      <c r="D713" t="s">
        <v>9</v>
      </c>
      <c r="E713">
        <v>453</v>
      </c>
      <c r="F713" s="1">
        <f>Clients_Churn[[#This Row],[Duree_Cumulee_Panne_Min]]/1440</f>
        <v>0.31458333333333333</v>
      </c>
      <c r="G713">
        <v>75.260000000000005</v>
      </c>
      <c r="H713">
        <v>5</v>
      </c>
    </row>
    <row r="714" spans="1:8" x14ac:dyDescent="0.25">
      <c r="A714" t="s">
        <v>748</v>
      </c>
      <c r="B714" t="s">
        <v>20</v>
      </c>
      <c r="C714">
        <v>41</v>
      </c>
      <c r="D714" t="s">
        <v>9</v>
      </c>
      <c r="E714">
        <v>398</v>
      </c>
      <c r="F714" s="1">
        <f>Clients_Churn[[#This Row],[Duree_Cumulee_Panne_Min]]/1440</f>
        <v>0.27638888888888891</v>
      </c>
      <c r="G714">
        <v>28.56</v>
      </c>
      <c r="H714">
        <v>2</v>
      </c>
    </row>
    <row r="715" spans="1:8" x14ac:dyDescent="0.25">
      <c r="A715" t="s">
        <v>749</v>
      </c>
      <c r="B715" t="s">
        <v>48</v>
      </c>
      <c r="C715">
        <v>49</v>
      </c>
      <c r="D715" t="s">
        <v>12</v>
      </c>
      <c r="E715">
        <v>229</v>
      </c>
      <c r="F715" s="1">
        <f>Clients_Churn[[#This Row],[Duree_Cumulee_Panne_Min]]/1440</f>
        <v>0.15902777777777777</v>
      </c>
      <c r="G715">
        <v>53.94</v>
      </c>
      <c r="H715">
        <v>5</v>
      </c>
    </row>
    <row r="716" spans="1:8" x14ac:dyDescent="0.25">
      <c r="A716" t="s">
        <v>750</v>
      </c>
      <c r="B716" t="s">
        <v>71</v>
      </c>
      <c r="C716">
        <v>29</v>
      </c>
      <c r="D716" t="s">
        <v>15</v>
      </c>
      <c r="E716">
        <v>416</v>
      </c>
      <c r="F716" s="1">
        <f>Clients_Churn[[#This Row],[Duree_Cumulee_Panne_Min]]/1440</f>
        <v>0.28888888888888886</v>
      </c>
      <c r="G716">
        <v>61.26</v>
      </c>
      <c r="H716">
        <v>0</v>
      </c>
    </row>
    <row r="717" spans="1:8" x14ac:dyDescent="0.25">
      <c r="A717" t="s">
        <v>751</v>
      </c>
      <c r="B717" t="s">
        <v>50</v>
      </c>
      <c r="C717">
        <v>9</v>
      </c>
      <c r="D717" t="s">
        <v>15</v>
      </c>
      <c r="E717">
        <v>227</v>
      </c>
      <c r="F717" s="1">
        <f>Clients_Churn[[#This Row],[Duree_Cumulee_Panne_Min]]/1440</f>
        <v>0.15763888888888888</v>
      </c>
      <c r="G717">
        <v>63.74</v>
      </c>
      <c r="H717">
        <v>3</v>
      </c>
    </row>
    <row r="718" spans="1:8" x14ac:dyDescent="0.25">
      <c r="A718" t="s">
        <v>752</v>
      </c>
      <c r="B718" t="s">
        <v>26</v>
      </c>
      <c r="C718">
        <v>97</v>
      </c>
      <c r="D718" t="s">
        <v>12</v>
      </c>
      <c r="E718">
        <v>276</v>
      </c>
      <c r="F718" s="1">
        <f>Clients_Churn[[#This Row],[Duree_Cumulee_Panne_Min]]/1440</f>
        <v>0.19166666666666668</v>
      </c>
      <c r="G718">
        <v>88.35</v>
      </c>
      <c r="H718">
        <v>0</v>
      </c>
    </row>
    <row r="719" spans="1:8" x14ac:dyDescent="0.25">
      <c r="A719" t="s">
        <v>753</v>
      </c>
      <c r="B719" t="s">
        <v>99</v>
      </c>
      <c r="C719">
        <v>32</v>
      </c>
      <c r="D719" t="s">
        <v>15</v>
      </c>
      <c r="E719">
        <v>31</v>
      </c>
      <c r="F719" s="1">
        <f>Clients_Churn[[#This Row],[Duree_Cumulee_Panne_Min]]/1440</f>
        <v>2.1527777777777778E-2</v>
      </c>
      <c r="G719">
        <v>67.040000000000006</v>
      </c>
      <c r="H719">
        <v>1</v>
      </c>
    </row>
    <row r="720" spans="1:8" x14ac:dyDescent="0.25">
      <c r="A720" t="s">
        <v>754</v>
      </c>
      <c r="B720" t="s">
        <v>50</v>
      </c>
      <c r="C720">
        <v>87</v>
      </c>
      <c r="D720" t="s">
        <v>15</v>
      </c>
      <c r="E720">
        <v>498</v>
      </c>
      <c r="F720" s="1">
        <f>Clients_Churn[[#This Row],[Duree_Cumulee_Panne_Min]]/1440</f>
        <v>0.34583333333333333</v>
      </c>
      <c r="G720">
        <v>61.57</v>
      </c>
      <c r="H720">
        <v>0</v>
      </c>
    </row>
    <row r="721" spans="1:8" x14ac:dyDescent="0.25">
      <c r="A721" t="s">
        <v>755</v>
      </c>
      <c r="B721" t="s">
        <v>11</v>
      </c>
      <c r="C721">
        <v>112</v>
      </c>
      <c r="D721" t="s">
        <v>12</v>
      </c>
      <c r="E721">
        <v>18</v>
      </c>
      <c r="F721" s="1">
        <f>Clients_Churn[[#This Row],[Duree_Cumulee_Panne_Min]]/1440</f>
        <v>1.2500000000000001E-2</v>
      </c>
      <c r="G721">
        <v>27.33</v>
      </c>
      <c r="H721">
        <v>5</v>
      </c>
    </row>
    <row r="722" spans="1:8" x14ac:dyDescent="0.25">
      <c r="A722" t="s">
        <v>756</v>
      </c>
      <c r="B722" t="s">
        <v>64</v>
      </c>
      <c r="C722">
        <v>97</v>
      </c>
      <c r="D722" t="s">
        <v>21</v>
      </c>
      <c r="E722">
        <v>296</v>
      </c>
      <c r="F722" s="1">
        <f>Clients_Churn[[#This Row],[Duree_Cumulee_Panne_Min]]/1440</f>
        <v>0.20555555555555555</v>
      </c>
      <c r="G722">
        <v>10.87</v>
      </c>
      <c r="H722">
        <v>4</v>
      </c>
    </row>
    <row r="723" spans="1:8" x14ac:dyDescent="0.25">
      <c r="A723" t="s">
        <v>757</v>
      </c>
      <c r="B723" t="s">
        <v>34</v>
      </c>
      <c r="C723">
        <v>14</v>
      </c>
      <c r="D723" t="s">
        <v>12</v>
      </c>
      <c r="E723">
        <v>303</v>
      </c>
      <c r="F723" s="1">
        <f>Clients_Churn[[#This Row],[Duree_Cumulee_Panne_Min]]/1440</f>
        <v>0.21041666666666667</v>
      </c>
      <c r="G723">
        <v>61.43</v>
      </c>
      <c r="H723">
        <v>1</v>
      </c>
    </row>
    <row r="724" spans="1:8" x14ac:dyDescent="0.25">
      <c r="A724" t="s">
        <v>758</v>
      </c>
      <c r="B724" t="s">
        <v>67</v>
      </c>
      <c r="C724">
        <v>104</v>
      </c>
      <c r="D724" t="s">
        <v>21</v>
      </c>
      <c r="E724">
        <v>68</v>
      </c>
      <c r="F724" s="1">
        <f>Clients_Churn[[#This Row],[Duree_Cumulee_Panne_Min]]/1440</f>
        <v>4.7222222222222221E-2</v>
      </c>
      <c r="G724">
        <v>21.15</v>
      </c>
      <c r="H724">
        <v>2</v>
      </c>
    </row>
    <row r="725" spans="1:8" x14ac:dyDescent="0.25">
      <c r="A725" t="s">
        <v>759</v>
      </c>
      <c r="B725" t="s">
        <v>14</v>
      </c>
      <c r="C725">
        <v>38</v>
      </c>
      <c r="D725" t="s">
        <v>21</v>
      </c>
      <c r="E725">
        <v>432</v>
      </c>
      <c r="F725" s="1">
        <f>Clients_Churn[[#This Row],[Duree_Cumulee_Panne_Min]]/1440</f>
        <v>0.3</v>
      </c>
      <c r="G725">
        <v>53.65</v>
      </c>
      <c r="H725">
        <v>4</v>
      </c>
    </row>
    <row r="726" spans="1:8" x14ac:dyDescent="0.25">
      <c r="A726" t="s">
        <v>760</v>
      </c>
      <c r="B726" t="s">
        <v>64</v>
      </c>
      <c r="C726">
        <v>91</v>
      </c>
      <c r="D726" t="s">
        <v>21</v>
      </c>
      <c r="E726">
        <v>467</v>
      </c>
      <c r="F726" s="1">
        <f>Clients_Churn[[#This Row],[Duree_Cumulee_Panne_Min]]/1440</f>
        <v>0.32430555555555557</v>
      </c>
      <c r="G726">
        <v>84.74</v>
      </c>
      <c r="H726">
        <v>1</v>
      </c>
    </row>
    <row r="727" spans="1:8" x14ac:dyDescent="0.25">
      <c r="A727" t="s">
        <v>761</v>
      </c>
      <c r="B727" t="s">
        <v>26</v>
      </c>
      <c r="C727">
        <v>14</v>
      </c>
      <c r="D727" t="s">
        <v>9</v>
      </c>
      <c r="E727">
        <v>415</v>
      </c>
      <c r="F727" s="1">
        <f>Clients_Churn[[#This Row],[Duree_Cumulee_Panne_Min]]/1440</f>
        <v>0.28819444444444442</v>
      </c>
      <c r="G727">
        <v>36.93</v>
      </c>
      <c r="H727">
        <v>5</v>
      </c>
    </row>
    <row r="728" spans="1:8" x14ac:dyDescent="0.25">
      <c r="A728" t="s">
        <v>762</v>
      </c>
      <c r="B728" t="s">
        <v>48</v>
      </c>
      <c r="C728">
        <v>7</v>
      </c>
      <c r="D728" t="s">
        <v>12</v>
      </c>
      <c r="E728">
        <v>268</v>
      </c>
      <c r="F728" s="1">
        <f>Clients_Churn[[#This Row],[Duree_Cumulee_Panne_Min]]/1440</f>
        <v>0.18611111111111112</v>
      </c>
      <c r="G728">
        <v>33.04</v>
      </c>
      <c r="H728">
        <v>5</v>
      </c>
    </row>
    <row r="729" spans="1:8" x14ac:dyDescent="0.25">
      <c r="A729" t="s">
        <v>763</v>
      </c>
      <c r="B729" t="s">
        <v>50</v>
      </c>
      <c r="C729">
        <v>93</v>
      </c>
      <c r="D729" t="s">
        <v>9</v>
      </c>
      <c r="E729">
        <v>365</v>
      </c>
      <c r="F729" s="1">
        <f>Clients_Churn[[#This Row],[Duree_Cumulee_Panne_Min]]/1440</f>
        <v>0.25347222222222221</v>
      </c>
      <c r="G729">
        <v>72.319999999999993</v>
      </c>
      <c r="H729">
        <v>1</v>
      </c>
    </row>
    <row r="730" spans="1:8" x14ac:dyDescent="0.25">
      <c r="A730" t="s">
        <v>764</v>
      </c>
      <c r="B730" t="s">
        <v>59</v>
      </c>
      <c r="C730">
        <v>30</v>
      </c>
      <c r="D730" t="s">
        <v>21</v>
      </c>
      <c r="E730">
        <v>197</v>
      </c>
      <c r="F730" s="1">
        <f>Clients_Churn[[#This Row],[Duree_Cumulee_Panne_Min]]/1440</f>
        <v>0.13680555555555557</v>
      </c>
      <c r="G730">
        <v>15.42</v>
      </c>
      <c r="H730">
        <v>0</v>
      </c>
    </row>
    <row r="731" spans="1:8" x14ac:dyDescent="0.25">
      <c r="A731" t="s">
        <v>765</v>
      </c>
      <c r="B731" t="s">
        <v>50</v>
      </c>
      <c r="C731">
        <v>58</v>
      </c>
      <c r="D731" t="s">
        <v>21</v>
      </c>
      <c r="E731">
        <v>485</v>
      </c>
      <c r="F731" s="1">
        <f>Clients_Churn[[#This Row],[Duree_Cumulee_Panne_Min]]/1440</f>
        <v>0.33680555555555558</v>
      </c>
      <c r="G731">
        <v>65.41</v>
      </c>
      <c r="H731">
        <v>5</v>
      </c>
    </row>
    <row r="732" spans="1:8" x14ac:dyDescent="0.25">
      <c r="A732" t="s">
        <v>766</v>
      </c>
      <c r="B732" t="s">
        <v>46</v>
      </c>
      <c r="C732">
        <v>113</v>
      </c>
      <c r="D732" t="s">
        <v>21</v>
      </c>
      <c r="E732">
        <v>246</v>
      </c>
      <c r="F732" s="1">
        <f>Clients_Churn[[#This Row],[Duree_Cumulee_Panne_Min]]/1440</f>
        <v>0.17083333333333334</v>
      </c>
      <c r="G732">
        <v>29.18</v>
      </c>
      <c r="H732">
        <v>2</v>
      </c>
    </row>
    <row r="733" spans="1:8" x14ac:dyDescent="0.25">
      <c r="A733" t="s">
        <v>767</v>
      </c>
      <c r="B733" t="s">
        <v>99</v>
      </c>
      <c r="C733">
        <v>19</v>
      </c>
      <c r="D733" t="s">
        <v>9</v>
      </c>
      <c r="E733">
        <v>141</v>
      </c>
      <c r="F733" s="1">
        <f>Clients_Churn[[#This Row],[Duree_Cumulee_Panne_Min]]/1440</f>
        <v>9.7916666666666666E-2</v>
      </c>
      <c r="G733">
        <v>53.95</v>
      </c>
      <c r="H733">
        <v>1</v>
      </c>
    </row>
    <row r="734" spans="1:8" x14ac:dyDescent="0.25">
      <c r="A734" t="s">
        <v>768</v>
      </c>
      <c r="B734" t="s">
        <v>17</v>
      </c>
      <c r="C734">
        <v>33</v>
      </c>
      <c r="D734" t="s">
        <v>9</v>
      </c>
      <c r="E734">
        <v>332</v>
      </c>
      <c r="F734" s="1">
        <f>Clients_Churn[[#This Row],[Duree_Cumulee_Panne_Min]]/1440</f>
        <v>0.23055555555555557</v>
      </c>
      <c r="G734">
        <v>76.41</v>
      </c>
      <c r="H734">
        <v>1</v>
      </c>
    </row>
    <row r="735" spans="1:8" x14ac:dyDescent="0.25">
      <c r="A735" t="s">
        <v>769</v>
      </c>
      <c r="B735" t="s">
        <v>26</v>
      </c>
      <c r="C735">
        <v>103</v>
      </c>
      <c r="D735" t="s">
        <v>9</v>
      </c>
      <c r="E735">
        <v>98</v>
      </c>
      <c r="F735" s="1">
        <f>Clients_Churn[[#This Row],[Duree_Cumulee_Panne_Min]]/1440</f>
        <v>6.805555555555555E-2</v>
      </c>
      <c r="G735">
        <v>38.69</v>
      </c>
      <c r="H735">
        <v>4</v>
      </c>
    </row>
    <row r="736" spans="1:8" x14ac:dyDescent="0.25">
      <c r="A736" t="s">
        <v>770</v>
      </c>
      <c r="B736" t="s">
        <v>44</v>
      </c>
      <c r="C736">
        <v>72</v>
      </c>
      <c r="D736" t="s">
        <v>9</v>
      </c>
      <c r="E736">
        <v>332</v>
      </c>
      <c r="F736" s="1">
        <f>Clients_Churn[[#This Row],[Duree_Cumulee_Panne_Min]]/1440</f>
        <v>0.23055555555555557</v>
      </c>
      <c r="G736">
        <v>83.36</v>
      </c>
      <c r="H736">
        <v>4</v>
      </c>
    </row>
    <row r="737" spans="1:8" x14ac:dyDescent="0.25">
      <c r="A737" t="s">
        <v>771</v>
      </c>
      <c r="B737" t="s">
        <v>48</v>
      </c>
      <c r="C737">
        <v>23</v>
      </c>
      <c r="D737" t="s">
        <v>12</v>
      </c>
      <c r="E737">
        <v>262</v>
      </c>
      <c r="F737" s="1">
        <f>Clients_Churn[[#This Row],[Duree_Cumulee_Panne_Min]]/1440</f>
        <v>0.18194444444444444</v>
      </c>
      <c r="G737">
        <v>46.3</v>
      </c>
      <c r="H737">
        <v>1</v>
      </c>
    </row>
    <row r="738" spans="1:8" x14ac:dyDescent="0.25">
      <c r="A738" t="s">
        <v>772</v>
      </c>
      <c r="B738" t="s">
        <v>50</v>
      </c>
      <c r="C738">
        <v>91</v>
      </c>
      <c r="D738" t="s">
        <v>12</v>
      </c>
      <c r="E738">
        <v>358</v>
      </c>
      <c r="F738" s="1">
        <f>Clients_Churn[[#This Row],[Duree_Cumulee_Panne_Min]]/1440</f>
        <v>0.24861111111111112</v>
      </c>
      <c r="G738">
        <v>21.14</v>
      </c>
      <c r="H738">
        <v>5</v>
      </c>
    </row>
    <row r="739" spans="1:8" x14ac:dyDescent="0.25">
      <c r="A739" t="s">
        <v>773</v>
      </c>
      <c r="B739" t="s">
        <v>74</v>
      </c>
      <c r="C739">
        <v>65</v>
      </c>
      <c r="D739" t="s">
        <v>12</v>
      </c>
      <c r="E739">
        <v>246</v>
      </c>
      <c r="F739" s="1">
        <f>Clients_Churn[[#This Row],[Duree_Cumulee_Panne_Min]]/1440</f>
        <v>0.17083333333333334</v>
      </c>
      <c r="G739">
        <v>69.17</v>
      </c>
      <c r="H739">
        <v>0</v>
      </c>
    </row>
    <row r="740" spans="1:8" x14ac:dyDescent="0.25">
      <c r="A740" t="s">
        <v>774</v>
      </c>
      <c r="B740" t="s">
        <v>8</v>
      </c>
      <c r="C740">
        <v>10</v>
      </c>
      <c r="D740" t="s">
        <v>15</v>
      </c>
      <c r="E740">
        <v>418</v>
      </c>
      <c r="F740" s="1">
        <f>Clients_Churn[[#This Row],[Duree_Cumulee_Panne_Min]]/1440</f>
        <v>0.2902777777777778</v>
      </c>
      <c r="G740">
        <v>27.66</v>
      </c>
      <c r="H740">
        <v>2</v>
      </c>
    </row>
    <row r="741" spans="1:8" x14ac:dyDescent="0.25">
      <c r="A741" t="s">
        <v>775</v>
      </c>
      <c r="B741" t="s">
        <v>14</v>
      </c>
      <c r="C741">
        <v>10</v>
      </c>
      <c r="D741" t="s">
        <v>12</v>
      </c>
      <c r="E741">
        <v>129</v>
      </c>
      <c r="F741" s="1">
        <f>Clients_Churn[[#This Row],[Duree_Cumulee_Panne_Min]]/1440</f>
        <v>8.9583333333333334E-2</v>
      </c>
      <c r="G741">
        <v>70.12</v>
      </c>
      <c r="H741">
        <v>0</v>
      </c>
    </row>
    <row r="742" spans="1:8" x14ac:dyDescent="0.25">
      <c r="A742" t="s">
        <v>776</v>
      </c>
      <c r="B742" t="s">
        <v>61</v>
      </c>
      <c r="C742">
        <v>80</v>
      </c>
      <c r="D742" t="s">
        <v>15</v>
      </c>
      <c r="E742">
        <v>101</v>
      </c>
      <c r="F742" s="1">
        <f>Clients_Churn[[#This Row],[Duree_Cumulee_Panne_Min]]/1440</f>
        <v>7.013888888888889E-2</v>
      </c>
      <c r="G742">
        <v>61.92</v>
      </c>
      <c r="H742">
        <v>4</v>
      </c>
    </row>
    <row r="743" spans="1:8" x14ac:dyDescent="0.25">
      <c r="A743" t="s">
        <v>777</v>
      </c>
      <c r="B743" t="s">
        <v>71</v>
      </c>
      <c r="C743">
        <v>61</v>
      </c>
      <c r="D743" t="s">
        <v>9</v>
      </c>
      <c r="E743">
        <v>383</v>
      </c>
      <c r="F743" s="1">
        <f>Clients_Churn[[#This Row],[Duree_Cumulee_Panne_Min]]/1440</f>
        <v>0.26597222222222222</v>
      </c>
      <c r="G743">
        <v>39.72</v>
      </c>
      <c r="H743">
        <v>4</v>
      </c>
    </row>
    <row r="744" spans="1:8" x14ac:dyDescent="0.25">
      <c r="A744" t="s">
        <v>778</v>
      </c>
      <c r="B744" t="s">
        <v>24</v>
      </c>
      <c r="C744">
        <v>1</v>
      </c>
      <c r="D744" t="s">
        <v>9</v>
      </c>
      <c r="E744">
        <v>237</v>
      </c>
      <c r="F744" s="1">
        <f>Clients_Churn[[#This Row],[Duree_Cumulee_Panne_Min]]/1440</f>
        <v>0.16458333333333333</v>
      </c>
      <c r="G744">
        <v>58.7</v>
      </c>
      <c r="H744">
        <v>4</v>
      </c>
    </row>
    <row r="745" spans="1:8" x14ac:dyDescent="0.25">
      <c r="A745" t="s">
        <v>779</v>
      </c>
      <c r="B745" t="s">
        <v>71</v>
      </c>
      <c r="C745">
        <v>111</v>
      </c>
      <c r="D745" t="s">
        <v>12</v>
      </c>
      <c r="E745">
        <v>447</v>
      </c>
      <c r="F745" s="1">
        <f>Clients_Churn[[#This Row],[Duree_Cumulee_Panne_Min]]/1440</f>
        <v>0.31041666666666667</v>
      </c>
      <c r="G745">
        <v>51.35</v>
      </c>
      <c r="H745">
        <v>0</v>
      </c>
    </row>
    <row r="746" spans="1:8" x14ac:dyDescent="0.25">
      <c r="A746" t="s">
        <v>780</v>
      </c>
      <c r="B746" t="s">
        <v>11</v>
      </c>
      <c r="C746">
        <v>100</v>
      </c>
      <c r="D746" t="s">
        <v>15</v>
      </c>
      <c r="E746">
        <v>240</v>
      </c>
      <c r="F746" s="1">
        <f>Clients_Churn[[#This Row],[Duree_Cumulee_Panne_Min]]/1440</f>
        <v>0.16666666666666666</v>
      </c>
      <c r="G746">
        <v>24.83</v>
      </c>
      <c r="H746">
        <v>4</v>
      </c>
    </row>
    <row r="747" spans="1:8" x14ac:dyDescent="0.25">
      <c r="A747" t="s">
        <v>781</v>
      </c>
      <c r="B747" t="s">
        <v>11</v>
      </c>
      <c r="C747">
        <v>20</v>
      </c>
      <c r="D747" t="s">
        <v>15</v>
      </c>
      <c r="E747">
        <v>217</v>
      </c>
      <c r="F747" s="1">
        <f>Clients_Churn[[#This Row],[Duree_Cumulee_Panne_Min]]/1440</f>
        <v>0.15069444444444444</v>
      </c>
      <c r="G747">
        <v>55.3</v>
      </c>
      <c r="H747">
        <v>4</v>
      </c>
    </row>
    <row r="748" spans="1:8" x14ac:dyDescent="0.25">
      <c r="A748" t="s">
        <v>782</v>
      </c>
      <c r="B748" t="s">
        <v>26</v>
      </c>
      <c r="C748">
        <v>5</v>
      </c>
      <c r="D748" t="s">
        <v>21</v>
      </c>
      <c r="E748">
        <v>71</v>
      </c>
      <c r="F748" s="1">
        <f>Clients_Churn[[#This Row],[Duree_Cumulee_Panne_Min]]/1440</f>
        <v>4.9305555555555554E-2</v>
      </c>
      <c r="G748">
        <v>93.81</v>
      </c>
      <c r="H748">
        <v>3</v>
      </c>
    </row>
    <row r="749" spans="1:8" x14ac:dyDescent="0.25">
      <c r="A749" t="s">
        <v>783</v>
      </c>
      <c r="B749" t="s">
        <v>67</v>
      </c>
      <c r="C749">
        <v>7</v>
      </c>
      <c r="D749" t="s">
        <v>12</v>
      </c>
      <c r="E749">
        <v>332</v>
      </c>
      <c r="F749" s="1">
        <f>Clients_Churn[[#This Row],[Duree_Cumulee_Panne_Min]]/1440</f>
        <v>0.23055555555555557</v>
      </c>
      <c r="G749">
        <v>83.95</v>
      </c>
      <c r="H749">
        <v>4</v>
      </c>
    </row>
    <row r="750" spans="1:8" x14ac:dyDescent="0.25">
      <c r="A750" t="s">
        <v>784</v>
      </c>
      <c r="B750" t="s">
        <v>50</v>
      </c>
      <c r="C750">
        <v>47</v>
      </c>
      <c r="D750" t="s">
        <v>12</v>
      </c>
      <c r="E750">
        <v>149</v>
      </c>
      <c r="F750" s="1">
        <f>Clients_Churn[[#This Row],[Duree_Cumulee_Panne_Min]]/1440</f>
        <v>0.10347222222222222</v>
      </c>
      <c r="G750">
        <v>28.35</v>
      </c>
      <c r="H750">
        <v>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C453-73AC-480D-B9C3-24B6E5D5ED30}">
  <sheetPr>
    <tabColor theme="8" tint="0.39997558519241921"/>
  </sheetPr>
  <dimension ref="A1:E1075"/>
  <sheetViews>
    <sheetView workbookViewId="0">
      <selection activeCell="F697" sqref="F697"/>
    </sheetView>
  </sheetViews>
  <sheetFormatPr baseColWidth="10" defaultRowHeight="15" x14ac:dyDescent="0.25"/>
  <cols>
    <col min="1" max="2" width="22.140625" bestFit="1" customWidth="1"/>
    <col min="3" max="3" width="9.85546875" bestFit="1" customWidth="1"/>
    <col min="4" max="5" width="19.5703125" customWidth="1"/>
    <col min="6" max="6" width="19.5703125" bestFit="1" customWidth="1"/>
    <col min="7" max="7" width="18.85546875" bestFit="1" customWidth="1"/>
  </cols>
  <sheetData>
    <row r="1" spans="1:5" x14ac:dyDescent="0.25">
      <c r="A1" t="s">
        <v>1639</v>
      </c>
      <c r="B1" t="s">
        <v>1640</v>
      </c>
      <c r="C1" t="s">
        <v>1297</v>
      </c>
      <c r="D1" t="s">
        <v>1298</v>
      </c>
      <c r="E1" t="s">
        <v>1299</v>
      </c>
    </row>
    <row r="2" spans="1:5" x14ac:dyDescent="0.25">
      <c r="A2" s="2">
        <v>45200</v>
      </c>
      <c r="B2" s="1">
        <v>9.3055555555555558E-2</v>
      </c>
      <c r="C2" t="s">
        <v>1322</v>
      </c>
      <c r="D2">
        <v>63</v>
      </c>
      <c r="E2" t="s">
        <v>1303</v>
      </c>
    </row>
    <row r="3" spans="1:5" x14ac:dyDescent="0.25">
      <c r="A3" s="2">
        <v>45200</v>
      </c>
      <c r="B3" s="1">
        <v>0.49305555555555558</v>
      </c>
      <c r="C3" t="s">
        <v>1231</v>
      </c>
      <c r="D3">
        <v>113</v>
      </c>
      <c r="E3" t="s">
        <v>1300</v>
      </c>
    </row>
    <row r="4" spans="1:5" x14ac:dyDescent="0.25">
      <c r="A4" s="2">
        <v>45200</v>
      </c>
      <c r="B4" s="1">
        <v>0.51111111111111107</v>
      </c>
      <c r="C4" t="s">
        <v>1335</v>
      </c>
      <c r="D4">
        <v>108</v>
      </c>
      <c r="E4" t="s">
        <v>1305</v>
      </c>
    </row>
    <row r="5" spans="1:5" x14ac:dyDescent="0.25">
      <c r="A5" s="2">
        <v>45200</v>
      </c>
      <c r="B5" s="1">
        <v>0.46666666666666667</v>
      </c>
      <c r="C5" t="s">
        <v>1102</v>
      </c>
      <c r="D5">
        <v>31</v>
      </c>
      <c r="E5" t="s">
        <v>1303</v>
      </c>
    </row>
    <row r="6" spans="1:5" x14ac:dyDescent="0.25">
      <c r="A6" s="2">
        <v>45200</v>
      </c>
      <c r="B6" s="1">
        <v>0.98541666666666672</v>
      </c>
      <c r="C6" t="s">
        <v>1127</v>
      </c>
      <c r="D6">
        <v>29</v>
      </c>
      <c r="E6" t="s">
        <v>1305</v>
      </c>
    </row>
    <row r="7" spans="1:5" x14ac:dyDescent="0.25">
      <c r="A7" s="2">
        <v>45200</v>
      </c>
      <c r="B7" s="1">
        <v>6.5277777777777782E-2</v>
      </c>
      <c r="C7" t="s">
        <v>1385</v>
      </c>
      <c r="D7">
        <v>9</v>
      </c>
      <c r="E7" t="s">
        <v>1300</v>
      </c>
    </row>
    <row r="8" spans="1:5" x14ac:dyDescent="0.25">
      <c r="A8" s="2">
        <v>45200</v>
      </c>
      <c r="B8" s="1">
        <v>0.93125000000000002</v>
      </c>
      <c r="C8" t="s">
        <v>1447</v>
      </c>
      <c r="D8">
        <v>22</v>
      </c>
      <c r="E8" t="s">
        <v>1300</v>
      </c>
    </row>
    <row r="9" spans="1:5" x14ac:dyDescent="0.25">
      <c r="A9" s="2">
        <v>45200</v>
      </c>
      <c r="B9" s="1">
        <v>0.91388888888888886</v>
      </c>
      <c r="C9" t="s">
        <v>890</v>
      </c>
      <c r="D9">
        <v>87</v>
      </c>
      <c r="E9" t="s">
        <v>1300</v>
      </c>
    </row>
    <row r="10" spans="1:5" x14ac:dyDescent="0.25">
      <c r="A10" s="2">
        <v>45200</v>
      </c>
      <c r="B10" s="1">
        <v>0.9819444444444444</v>
      </c>
      <c r="C10" t="s">
        <v>1319</v>
      </c>
      <c r="D10">
        <v>98</v>
      </c>
      <c r="E10" t="s">
        <v>1300</v>
      </c>
    </row>
    <row r="11" spans="1:5" x14ac:dyDescent="0.25">
      <c r="A11" s="2">
        <v>45200</v>
      </c>
      <c r="B11" s="1">
        <v>0.57013888888888886</v>
      </c>
      <c r="C11" t="s">
        <v>1185</v>
      </c>
      <c r="D11">
        <v>53</v>
      </c>
      <c r="E11" t="s">
        <v>1305</v>
      </c>
    </row>
    <row r="12" spans="1:5" x14ac:dyDescent="0.25">
      <c r="A12" s="2">
        <v>45200</v>
      </c>
      <c r="B12" s="1">
        <v>0.92569444444444449</v>
      </c>
      <c r="C12" t="s">
        <v>993</v>
      </c>
      <c r="D12">
        <v>76</v>
      </c>
      <c r="E12" t="s">
        <v>1305</v>
      </c>
    </row>
    <row r="13" spans="1:5" x14ac:dyDescent="0.25">
      <c r="A13" s="2">
        <v>45200</v>
      </c>
      <c r="B13" s="1">
        <v>0.62916666666666665</v>
      </c>
      <c r="C13" t="s">
        <v>1441</v>
      </c>
      <c r="D13">
        <v>73</v>
      </c>
      <c r="E13" t="s">
        <v>1303</v>
      </c>
    </row>
    <row r="14" spans="1:5" x14ac:dyDescent="0.25">
      <c r="A14" s="2">
        <v>45200</v>
      </c>
      <c r="B14" s="1">
        <v>7.8472222222222221E-2</v>
      </c>
      <c r="C14" t="s">
        <v>1032</v>
      </c>
      <c r="D14">
        <v>40</v>
      </c>
      <c r="E14" t="s">
        <v>1300</v>
      </c>
    </row>
    <row r="15" spans="1:5" x14ac:dyDescent="0.25">
      <c r="A15" s="2">
        <v>45200</v>
      </c>
      <c r="B15" s="1">
        <v>0.42777777777777776</v>
      </c>
      <c r="C15" t="s">
        <v>1356</v>
      </c>
      <c r="D15">
        <v>16</v>
      </c>
      <c r="E15" t="s">
        <v>1303</v>
      </c>
    </row>
    <row r="16" spans="1:5" x14ac:dyDescent="0.25">
      <c r="A16" s="2">
        <v>45200</v>
      </c>
      <c r="B16" s="1">
        <v>0.34236111111111112</v>
      </c>
      <c r="C16" t="s">
        <v>844</v>
      </c>
      <c r="D16">
        <v>86</v>
      </c>
      <c r="E16" t="s">
        <v>1303</v>
      </c>
    </row>
    <row r="17" spans="1:5" x14ac:dyDescent="0.25">
      <c r="A17" s="2">
        <v>45200</v>
      </c>
      <c r="B17" s="1">
        <v>0.51111111111111107</v>
      </c>
      <c r="C17" t="s">
        <v>1033</v>
      </c>
      <c r="D17">
        <v>22</v>
      </c>
      <c r="E17" t="s">
        <v>1305</v>
      </c>
    </row>
    <row r="18" spans="1:5" x14ac:dyDescent="0.25">
      <c r="A18" s="2">
        <v>45200</v>
      </c>
      <c r="B18" s="1">
        <v>0.53472222222222221</v>
      </c>
      <c r="C18" t="s">
        <v>950</v>
      </c>
      <c r="D18">
        <v>50</v>
      </c>
      <c r="E18" t="s">
        <v>1305</v>
      </c>
    </row>
    <row r="19" spans="1:5" x14ac:dyDescent="0.25">
      <c r="A19" s="2">
        <v>45200</v>
      </c>
      <c r="B19" s="1">
        <v>0.44513888888888886</v>
      </c>
      <c r="C19" t="s">
        <v>981</v>
      </c>
      <c r="D19">
        <v>112</v>
      </c>
      <c r="E19" t="s">
        <v>1300</v>
      </c>
    </row>
    <row r="20" spans="1:5" x14ac:dyDescent="0.25">
      <c r="A20" s="2">
        <v>45200</v>
      </c>
      <c r="B20" s="1">
        <v>0.39444444444444443</v>
      </c>
      <c r="C20" t="s">
        <v>1445</v>
      </c>
      <c r="D20">
        <v>115</v>
      </c>
      <c r="E20" t="s">
        <v>1303</v>
      </c>
    </row>
    <row r="21" spans="1:5" x14ac:dyDescent="0.25">
      <c r="A21" s="2">
        <v>45200</v>
      </c>
      <c r="B21" s="1">
        <v>0.83263888888888893</v>
      </c>
      <c r="C21" t="s">
        <v>1227</v>
      </c>
      <c r="D21">
        <v>27</v>
      </c>
      <c r="E21" t="s">
        <v>1300</v>
      </c>
    </row>
    <row r="22" spans="1:5" x14ac:dyDescent="0.25">
      <c r="A22" s="2">
        <v>45200</v>
      </c>
      <c r="B22" s="1">
        <v>0.11597222222222223</v>
      </c>
      <c r="C22" t="s">
        <v>1310</v>
      </c>
      <c r="D22">
        <v>111</v>
      </c>
      <c r="E22" t="s">
        <v>1305</v>
      </c>
    </row>
    <row r="23" spans="1:5" x14ac:dyDescent="0.25">
      <c r="A23" s="2">
        <v>45200</v>
      </c>
      <c r="B23" s="1">
        <v>0.83611111111111114</v>
      </c>
      <c r="C23" t="s">
        <v>1429</v>
      </c>
      <c r="D23">
        <v>6</v>
      </c>
      <c r="E23" t="s">
        <v>1300</v>
      </c>
    </row>
    <row r="24" spans="1:5" x14ac:dyDescent="0.25">
      <c r="A24" s="2">
        <v>45200</v>
      </c>
      <c r="B24" s="1">
        <v>0.67083333333333328</v>
      </c>
      <c r="C24" t="s">
        <v>1171</v>
      </c>
      <c r="D24">
        <v>74</v>
      </c>
      <c r="E24" t="s">
        <v>1305</v>
      </c>
    </row>
    <row r="25" spans="1:5" x14ac:dyDescent="0.25">
      <c r="A25" s="2">
        <v>45200</v>
      </c>
      <c r="B25" s="1">
        <v>0.52569444444444446</v>
      </c>
      <c r="C25" t="s">
        <v>1108</v>
      </c>
      <c r="D25">
        <v>88</v>
      </c>
      <c r="E25" t="s">
        <v>1305</v>
      </c>
    </row>
    <row r="26" spans="1:5" x14ac:dyDescent="0.25">
      <c r="A26" s="2">
        <v>45200</v>
      </c>
      <c r="B26" s="1">
        <v>0.22013888888888888</v>
      </c>
      <c r="C26" t="s">
        <v>1435</v>
      </c>
      <c r="D26">
        <v>53</v>
      </c>
      <c r="E26" t="s">
        <v>1303</v>
      </c>
    </row>
    <row r="27" spans="1:5" x14ac:dyDescent="0.25">
      <c r="A27" s="2">
        <v>45200</v>
      </c>
      <c r="B27" s="1">
        <v>0.59513888888888888</v>
      </c>
      <c r="C27" t="s">
        <v>1542</v>
      </c>
      <c r="D27">
        <v>69</v>
      </c>
      <c r="E27" t="s">
        <v>1305</v>
      </c>
    </row>
    <row r="28" spans="1:5" x14ac:dyDescent="0.25">
      <c r="A28" s="2">
        <v>45200</v>
      </c>
      <c r="B28" s="1">
        <v>0.51458333333333328</v>
      </c>
      <c r="C28" t="s">
        <v>1280</v>
      </c>
      <c r="D28">
        <v>24</v>
      </c>
      <c r="E28" t="s">
        <v>1305</v>
      </c>
    </row>
    <row r="29" spans="1:5" x14ac:dyDescent="0.25">
      <c r="A29" s="2">
        <v>45200</v>
      </c>
      <c r="B29" s="1">
        <v>0.50624999999999998</v>
      </c>
      <c r="C29" t="s">
        <v>981</v>
      </c>
      <c r="D29">
        <v>99</v>
      </c>
      <c r="E29" t="s">
        <v>1300</v>
      </c>
    </row>
    <row r="30" spans="1:5" x14ac:dyDescent="0.25">
      <c r="A30" s="2">
        <v>45200</v>
      </c>
      <c r="B30" s="1">
        <v>0.30763888888888891</v>
      </c>
      <c r="C30" t="s">
        <v>1312</v>
      </c>
      <c r="D30">
        <v>114</v>
      </c>
      <c r="E30" t="s">
        <v>1303</v>
      </c>
    </row>
    <row r="31" spans="1:5" x14ac:dyDescent="0.25">
      <c r="A31" s="2">
        <v>45201</v>
      </c>
      <c r="B31" s="1">
        <v>0.88472222222222219</v>
      </c>
      <c r="C31" t="s">
        <v>834</v>
      </c>
      <c r="D31">
        <v>54</v>
      </c>
      <c r="E31" t="s">
        <v>1305</v>
      </c>
    </row>
    <row r="32" spans="1:5" x14ac:dyDescent="0.25">
      <c r="A32" s="2">
        <v>45201</v>
      </c>
      <c r="B32" s="1">
        <v>4.583333333333333E-2</v>
      </c>
      <c r="C32" t="s">
        <v>1410</v>
      </c>
      <c r="D32">
        <v>83</v>
      </c>
      <c r="E32" t="s">
        <v>1303</v>
      </c>
    </row>
    <row r="33" spans="1:5" x14ac:dyDescent="0.25">
      <c r="A33" s="2">
        <v>45201</v>
      </c>
      <c r="B33" s="1">
        <v>0.30972222222222223</v>
      </c>
      <c r="C33" t="s">
        <v>1454</v>
      </c>
      <c r="D33">
        <v>56</v>
      </c>
      <c r="E33" t="s">
        <v>1305</v>
      </c>
    </row>
    <row r="34" spans="1:5" x14ac:dyDescent="0.25">
      <c r="A34" s="2">
        <v>45201</v>
      </c>
      <c r="B34" s="1">
        <v>0.62361111111111112</v>
      </c>
      <c r="C34" t="s">
        <v>1442</v>
      </c>
      <c r="D34">
        <v>9</v>
      </c>
      <c r="E34" t="s">
        <v>1300</v>
      </c>
    </row>
    <row r="35" spans="1:5" x14ac:dyDescent="0.25">
      <c r="A35" s="2">
        <v>45201</v>
      </c>
      <c r="B35" s="1">
        <v>0.57430555555555551</v>
      </c>
      <c r="C35" t="s">
        <v>1153</v>
      </c>
      <c r="D35">
        <v>75</v>
      </c>
      <c r="E35" t="s">
        <v>1305</v>
      </c>
    </row>
    <row r="36" spans="1:5" x14ac:dyDescent="0.25">
      <c r="A36" s="2">
        <v>45201</v>
      </c>
      <c r="B36" s="1">
        <v>0.67013888888888884</v>
      </c>
      <c r="C36" t="s">
        <v>1340</v>
      </c>
      <c r="D36">
        <v>22</v>
      </c>
      <c r="E36" t="s">
        <v>1305</v>
      </c>
    </row>
    <row r="37" spans="1:5" x14ac:dyDescent="0.25">
      <c r="A37" s="2">
        <v>45201</v>
      </c>
      <c r="B37" s="1">
        <v>0.82430555555555551</v>
      </c>
      <c r="C37" t="s">
        <v>1284</v>
      </c>
      <c r="D37">
        <v>28</v>
      </c>
      <c r="E37" t="s">
        <v>1303</v>
      </c>
    </row>
    <row r="38" spans="1:5" x14ac:dyDescent="0.25">
      <c r="A38" s="2">
        <v>45201</v>
      </c>
      <c r="B38" s="1">
        <v>8.611111111111111E-2</v>
      </c>
      <c r="C38" t="s">
        <v>1193</v>
      </c>
      <c r="D38">
        <v>55</v>
      </c>
      <c r="E38" t="s">
        <v>1300</v>
      </c>
    </row>
    <row r="39" spans="1:5" x14ac:dyDescent="0.25">
      <c r="A39" s="2">
        <v>45201</v>
      </c>
      <c r="B39" s="1">
        <v>0.78055555555555556</v>
      </c>
      <c r="C39" t="s">
        <v>1487</v>
      </c>
      <c r="D39">
        <v>15</v>
      </c>
      <c r="E39" t="s">
        <v>1300</v>
      </c>
    </row>
    <row r="40" spans="1:5" x14ac:dyDescent="0.25">
      <c r="A40" s="2">
        <v>45201</v>
      </c>
      <c r="B40" s="1">
        <v>4.3055555555555555E-2</v>
      </c>
      <c r="C40" t="s">
        <v>1465</v>
      </c>
      <c r="D40">
        <v>45</v>
      </c>
      <c r="E40" t="s">
        <v>1303</v>
      </c>
    </row>
    <row r="41" spans="1:5" x14ac:dyDescent="0.25">
      <c r="A41" s="2">
        <v>45201</v>
      </c>
      <c r="B41" s="1">
        <v>0.24583333333333332</v>
      </c>
      <c r="C41" t="s">
        <v>1161</v>
      </c>
      <c r="D41">
        <v>91</v>
      </c>
      <c r="E41" t="s">
        <v>1303</v>
      </c>
    </row>
    <row r="42" spans="1:5" x14ac:dyDescent="0.25">
      <c r="A42" s="2">
        <v>45201</v>
      </c>
      <c r="B42" s="1">
        <v>0.77083333333333337</v>
      </c>
      <c r="C42" t="s">
        <v>1320</v>
      </c>
      <c r="D42">
        <v>18</v>
      </c>
      <c r="E42" t="s">
        <v>1305</v>
      </c>
    </row>
    <row r="43" spans="1:5" x14ac:dyDescent="0.25">
      <c r="A43" s="2">
        <v>45201</v>
      </c>
      <c r="B43" s="1">
        <v>0.45763888888888887</v>
      </c>
      <c r="C43" t="s">
        <v>1458</v>
      </c>
      <c r="D43">
        <v>42</v>
      </c>
      <c r="E43" t="s">
        <v>1305</v>
      </c>
    </row>
    <row r="44" spans="1:5" x14ac:dyDescent="0.25">
      <c r="A44" s="2">
        <v>45201</v>
      </c>
      <c r="B44" s="1">
        <v>0.95416666666666672</v>
      </c>
      <c r="C44" t="s">
        <v>1636</v>
      </c>
      <c r="D44">
        <v>32</v>
      </c>
      <c r="E44" t="s">
        <v>1303</v>
      </c>
    </row>
    <row r="45" spans="1:5" x14ac:dyDescent="0.25">
      <c r="A45" s="2">
        <v>45201</v>
      </c>
      <c r="B45" s="1">
        <v>0.72638888888888886</v>
      </c>
      <c r="C45" t="s">
        <v>1159</v>
      </c>
      <c r="D45">
        <v>97</v>
      </c>
      <c r="E45" t="s">
        <v>1303</v>
      </c>
    </row>
    <row r="46" spans="1:5" x14ac:dyDescent="0.25">
      <c r="A46" s="2">
        <v>45201</v>
      </c>
      <c r="B46" s="1">
        <v>0.86736111111111114</v>
      </c>
      <c r="C46" t="s">
        <v>909</v>
      </c>
      <c r="D46">
        <v>18</v>
      </c>
      <c r="E46" t="s">
        <v>1300</v>
      </c>
    </row>
    <row r="47" spans="1:5" x14ac:dyDescent="0.25">
      <c r="A47" s="2">
        <v>45201</v>
      </c>
      <c r="B47" s="1">
        <v>0.42708333333333331</v>
      </c>
      <c r="C47" t="s">
        <v>1418</v>
      </c>
      <c r="D47">
        <v>98</v>
      </c>
      <c r="E47" t="s">
        <v>1303</v>
      </c>
    </row>
    <row r="48" spans="1:5" x14ac:dyDescent="0.25">
      <c r="A48" s="2">
        <v>45201</v>
      </c>
      <c r="B48" s="1">
        <v>0.87708333333333333</v>
      </c>
      <c r="C48" t="s">
        <v>1135</v>
      </c>
      <c r="D48">
        <v>82</v>
      </c>
      <c r="E48" t="s">
        <v>1305</v>
      </c>
    </row>
    <row r="49" spans="1:5" x14ac:dyDescent="0.25">
      <c r="A49" s="2">
        <v>45201</v>
      </c>
      <c r="B49" s="1">
        <v>0.8569444444444444</v>
      </c>
      <c r="C49" t="s">
        <v>1333</v>
      </c>
      <c r="D49">
        <v>61</v>
      </c>
      <c r="E49" t="s">
        <v>1300</v>
      </c>
    </row>
    <row r="50" spans="1:5" x14ac:dyDescent="0.25">
      <c r="A50" s="2">
        <v>45201</v>
      </c>
      <c r="B50" s="1">
        <v>0.3125</v>
      </c>
      <c r="C50" t="s">
        <v>1122</v>
      </c>
      <c r="D50">
        <v>90</v>
      </c>
      <c r="E50" t="s">
        <v>1303</v>
      </c>
    </row>
    <row r="51" spans="1:5" x14ac:dyDescent="0.25">
      <c r="A51" s="2">
        <v>45201</v>
      </c>
      <c r="B51" s="1">
        <v>0.17222222222222222</v>
      </c>
      <c r="C51" t="s">
        <v>1094</v>
      </c>
      <c r="D51">
        <v>33</v>
      </c>
      <c r="E51" t="s">
        <v>1305</v>
      </c>
    </row>
    <row r="52" spans="1:5" x14ac:dyDescent="0.25">
      <c r="A52" s="2">
        <v>45201</v>
      </c>
      <c r="B52" s="1">
        <v>0.51180555555555551</v>
      </c>
      <c r="C52" t="s">
        <v>1277</v>
      </c>
      <c r="D52">
        <v>62</v>
      </c>
      <c r="E52" t="s">
        <v>1303</v>
      </c>
    </row>
    <row r="53" spans="1:5" x14ac:dyDescent="0.25">
      <c r="A53" s="2">
        <v>45201</v>
      </c>
      <c r="B53" s="1">
        <v>0.22500000000000001</v>
      </c>
      <c r="C53" t="s">
        <v>991</v>
      </c>
      <c r="D53">
        <v>83</v>
      </c>
      <c r="E53" t="s">
        <v>1303</v>
      </c>
    </row>
    <row r="54" spans="1:5" x14ac:dyDescent="0.25">
      <c r="A54" s="2">
        <v>45201</v>
      </c>
      <c r="B54" s="1">
        <v>0.21249999999999999</v>
      </c>
      <c r="C54" t="s">
        <v>991</v>
      </c>
      <c r="D54">
        <v>40</v>
      </c>
      <c r="E54" t="s">
        <v>1303</v>
      </c>
    </row>
    <row r="55" spans="1:5" x14ac:dyDescent="0.25">
      <c r="A55" s="2">
        <v>45201</v>
      </c>
      <c r="B55" s="1">
        <v>0.51944444444444449</v>
      </c>
      <c r="C55" t="s">
        <v>1360</v>
      </c>
      <c r="D55">
        <v>113</v>
      </c>
      <c r="E55" t="s">
        <v>1305</v>
      </c>
    </row>
    <row r="56" spans="1:5" x14ac:dyDescent="0.25">
      <c r="A56" s="2">
        <v>45201</v>
      </c>
      <c r="B56" s="1">
        <v>0.29305555555555557</v>
      </c>
      <c r="C56" t="s">
        <v>1102</v>
      </c>
      <c r="D56">
        <v>95</v>
      </c>
      <c r="E56" t="s">
        <v>1305</v>
      </c>
    </row>
    <row r="57" spans="1:5" x14ac:dyDescent="0.25">
      <c r="A57" s="2">
        <v>45201</v>
      </c>
      <c r="B57" s="1">
        <v>0.46805555555555556</v>
      </c>
      <c r="C57" t="s">
        <v>1118</v>
      </c>
      <c r="D57">
        <v>80</v>
      </c>
      <c r="E57" t="s">
        <v>1300</v>
      </c>
    </row>
    <row r="58" spans="1:5" x14ac:dyDescent="0.25">
      <c r="A58" s="2">
        <v>45201</v>
      </c>
      <c r="B58" s="1">
        <v>0.85902777777777772</v>
      </c>
      <c r="C58" t="s">
        <v>1602</v>
      </c>
      <c r="D58">
        <v>26</v>
      </c>
      <c r="E58" t="s">
        <v>1303</v>
      </c>
    </row>
    <row r="59" spans="1:5" x14ac:dyDescent="0.25">
      <c r="A59" s="2">
        <v>45201</v>
      </c>
      <c r="B59" s="1">
        <v>0.64097222222222228</v>
      </c>
      <c r="C59" t="s">
        <v>1328</v>
      </c>
      <c r="D59">
        <v>86</v>
      </c>
      <c r="E59" t="s">
        <v>1305</v>
      </c>
    </row>
    <row r="60" spans="1:5" x14ac:dyDescent="0.25">
      <c r="A60" s="2">
        <v>45201</v>
      </c>
      <c r="B60" s="1">
        <v>9.0277777777777769E-3</v>
      </c>
      <c r="C60" t="s">
        <v>904</v>
      </c>
      <c r="D60">
        <v>56</v>
      </c>
      <c r="E60" t="s">
        <v>1303</v>
      </c>
    </row>
    <row r="61" spans="1:5" x14ac:dyDescent="0.25">
      <c r="A61" s="2">
        <v>45201</v>
      </c>
      <c r="B61" s="1">
        <v>0.24305555555555555</v>
      </c>
      <c r="C61" t="s">
        <v>1389</v>
      </c>
      <c r="D61">
        <v>57</v>
      </c>
      <c r="E61" t="s">
        <v>1305</v>
      </c>
    </row>
    <row r="62" spans="1:5" x14ac:dyDescent="0.25">
      <c r="A62" s="2">
        <v>45201</v>
      </c>
      <c r="B62" s="1">
        <v>0.92222222222222228</v>
      </c>
      <c r="C62" t="s">
        <v>1127</v>
      </c>
      <c r="D62">
        <v>32</v>
      </c>
      <c r="E62" t="s">
        <v>1300</v>
      </c>
    </row>
    <row r="63" spans="1:5" x14ac:dyDescent="0.25">
      <c r="A63" s="2">
        <v>45201</v>
      </c>
      <c r="B63" s="1">
        <v>5.7638888888888892E-2</v>
      </c>
      <c r="C63" t="s">
        <v>1063</v>
      </c>
      <c r="D63">
        <v>103</v>
      </c>
      <c r="E63" t="s">
        <v>1300</v>
      </c>
    </row>
    <row r="64" spans="1:5" x14ac:dyDescent="0.25">
      <c r="A64" s="2">
        <v>45201</v>
      </c>
      <c r="B64" s="1">
        <v>0.24305555555555555</v>
      </c>
      <c r="C64" t="s">
        <v>1445</v>
      </c>
      <c r="D64">
        <v>73</v>
      </c>
      <c r="E64" t="s">
        <v>1303</v>
      </c>
    </row>
    <row r="65" spans="1:5" x14ac:dyDescent="0.25">
      <c r="A65" s="2">
        <v>45201</v>
      </c>
      <c r="B65" s="1">
        <v>0.35</v>
      </c>
      <c r="C65" t="s">
        <v>1364</v>
      </c>
      <c r="D65">
        <v>73</v>
      </c>
      <c r="E65" t="s">
        <v>1300</v>
      </c>
    </row>
    <row r="66" spans="1:5" x14ac:dyDescent="0.25">
      <c r="A66" s="2">
        <v>45201</v>
      </c>
      <c r="B66" s="1">
        <v>0.5854166666666667</v>
      </c>
      <c r="C66" t="s">
        <v>1572</v>
      </c>
      <c r="D66">
        <v>17</v>
      </c>
      <c r="E66" t="s">
        <v>1305</v>
      </c>
    </row>
    <row r="67" spans="1:5" x14ac:dyDescent="0.25">
      <c r="A67" s="2">
        <v>45201</v>
      </c>
      <c r="B67" s="1">
        <v>0.52777777777777779</v>
      </c>
      <c r="C67" t="s">
        <v>1163</v>
      </c>
      <c r="D67">
        <v>20</v>
      </c>
      <c r="E67" t="s">
        <v>1303</v>
      </c>
    </row>
    <row r="68" spans="1:5" x14ac:dyDescent="0.25">
      <c r="A68" s="2">
        <v>45202</v>
      </c>
      <c r="B68" s="1">
        <v>0.44305555555555554</v>
      </c>
      <c r="C68" t="s">
        <v>1587</v>
      </c>
      <c r="D68">
        <v>52</v>
      </c>
      <c r="E68" t="s">
        <v>1303</v>
      </c>
    </row>
    <row r="69" spans="1:5" x14ac:dyDescent="0.25">
      <c r="A69" s="2">
        <v>45202</v>
      </c>
      <c r="B69" s="1">
        <v>0.8041666666666667</v>
      </c>
      <c r="C69" t="s">
        <v>986</v>
      </c>
      <c r="D69">
        <v>115</v>
      </c>
      <c r="E69" t="s">
        <v>1303</v>
      </c>
    </row>
    <row r="70" spans="1:5" x14ac:dyDescent="0.25">
      <c r="A70" s="2">
        <v>45202</v>
      </c>
      <c r="B70" s="1">
        <v>4.791666666666667E-2</v>
      </c>
      <c r="C70" t="s">
        <v>1269</v>
      </c>
      <c r="D70">
        <v>115</v>
      </c>
      <c r="E70" t="s">
        <v>1303</v>
      </c>
    </row>
    <row r="71" spans="1:5" x14ac:dyDescent="0.25">
      <c r="A71" s="2">
        <v>45202</v>
      </c>
      <c r="B71" s="1">
        <v>9.5138888888888884E-2</v>
      </c>
      <c r="C71" t="s">
        <v>1520</v>
      </c>
      <c r="D71">
        <v>61</v>
      </c>
      <c r="E71" t="s">
        <v>1303</v>
      </c>
    </row>
    <row r="72" spans="1:5" x14ac:dyDescent="0.25">
      <c r="A72" s="2">
        <v>45202</v>
      </c>
      <c r="B72" s="1">
        <v>0.42083333333333334</v>
      </c>
      <c r="C72" t="s">
        <v>967</v>
      </c>
      <c r="D72">
        <v>84</v>
      </c>
      <c r="E72" t="s">
        <v>1300</v>
      </c>
    </row>
    <row r="73" spans="1:5" x14ac:dyDescent="0.25">
      <c r="A73" s="2">
        <v>45202</v>
      </c>
      <c r="B73" s="1">
        <v>5.486111111111111E-2</v>
      </c>
      <c r="C73" t="s">
        <v>1434</v>
      </c>
      <c r="D73">
        <v>11</v>
      </c>
      <c r="E73" t="s">
        <v>1300</v>
      </c>
    </row>
    <row r="74" spans="1:5" x14ac:dyDescent="0.25">
      <c r="A74" s="2">
        <v>45202</v>
      </c>
      <c r="B74" s="1">
        <v>0.49930555555555556</v>
      </c>
      <c r="C74" t="s">
        <v>1561</v>
      </c>
      <c r="D74">
        <v>57</v>
      </c>
      <c r="E74" t="s">
        <v>1303</v>
      </c>
    </row>
    <row r="75" spans="1:5" x14ac:dyDescent="0.25">
      <c r="A75" s="2">
        <v>45202</v>
      </c>
      <c r="B75" s="1">
        <v>0.77916666666666667</v>
      </c>
      <c r="C75" t="s">
        <v>1125</v>
      </c>
      <c r="D75">
        <v>61</v>
      </c>
      <c r="E75" t="s">
        <v>1305</v>
      </c>
    </row>
    <row r="76" spans="1:5" x14ac:dyDescent="0.25">
      <c r="A76" s="2">
        <v>45202</v>
      </c>
      <c r="B76" s="1">
        <v>0.31944444444444442</v>
      </c>
      <c r="C76" t="s">
        <v>1408</v>
      </c>
      <c r="D76">
        <v>115</v>
      </c>
      <c r="E76" t="s">
        <v>1303</v>
      </c>
    </row>
    <row r="77" spans="1:5" x14ac:dyDescent="0.25">
      <c r="A77" s="2">
        <v>45202</v>
      </c>
      <c r="B77" s="1">
        <v>0.64513888888888893</v>
      </c>
      <c r="C77" t="s">
        <v>1218</v>
      </c>
      <c r="D77">
        <v>106</v>
      </c>
      <c r="E77" t="s">
        <v>1305</v>
      </c>
    </row>
    <row r="78" spans="1:5" x14ac:dyDescent="0.25">
      <c r="A78" s="2">
        <v>45202</v>
      </c>
      <c r="B78" s="1">
        <v>0.69513888888888886</v>
      </c>
      <c r="C78" t="s">
        <v>1445</v>
      </c>
      <c r="D78">
        <v>21</v>
      </c>
      <c r="E78" t="s">
        <v>1300</v>
      </c>
    </row>
    <row r="79" spans="1:5" x14ac:dyDescent="0.25">
      <c r="A79" s="2">
        <v>45202</v>
      </c>
      <c r="B79" s="1">
        <v>0.65972222222222221</v>
      </c>
      <c r="C79" t="s">
        <v>1404</v>
      </c>
      <c r="D79">
        <v>42</v>
      </c>
      <c r="E79" t="s">
        <v>1300</v>
      </c>
    </row>
    <row r="80" spans="1:5" x14ac:dyDescent="0.25">
      <c r="A80" s="2">
        <v>45202</v>
      </c>
      <c r="B80" s="1">
        <v>0.91249999999999998</v>
      </c>
      <c r="C80" t="s">
        <v>1463</v>
      </c>
      <c r="D80">
        <v>68</v>
      </c>
      <c r="E80" t="s">
        <v>1305</v>
      </c>
    </row>
    <row r="81" spans="1:5" x14ac:dyDescent="0.25">
      <c r="A81" s="2">
        <v>45202</v>
      </c>
      <c r="B81" s="1">
        <v>0.72847222222222219</v>
      </c>
      <c r="C81" t="s">
        <v>1525</v>
      </c>
      <c r="D81">
        <v>18</v>
      </c>
      <c r="E81" t="s">
        <v>1300</v>
      </c>
    </row>
    <row r="82" spans="1:5" x14ac:dyDescent="0.25">
      <c r="A82" s="2">
        <v>45202</v>
      </c>
      <c r="B82" s="1">
        <v>0.74791666666666667</v>
      </c>
      <c r="C82" t="s">
        <v>1038</v>
      </c>
      <c r="D82">
        <v>28</v>
      </c>
      <c r="E82" t="s">
        <v>1303</v>
      </c>
    </row>
    <row r="83" spans="1:5" x14ac:dyDescent="0.25">
      <c r="A83" s="2">
        <v>45202</v>
      </c>
      <c r="B83" s="1">
        <v>0.8520833333333333</v>
      </c>
      <c r="C83" t="s">
        <v>856</v>
      </c>
      <c r="D83">
        <v>83</v>
      </c>
      <c r="E83" t="s">
        <v>1300</v>
      </c>
    </row>
    <row r="84" spans="1:5" x14ac:dyDescent="0.25">
      <c r="A84" s="2">
        <v>45202</v>
      </c>
      <c r="B84" s="1">
        <v>0.41249999999999998</v>
      </c>
      <c r="C84" t="s">
        <v>1194</v>
      </c>
      <c r="D84">
        <v>35</v>
      </c>
      <c r="E84" t="s">
        <v>1300</v>
      </c>
    </row>
    <row r="85" spans="1:5" x14ac:dyDescent="0.25">
      <c r="A85" s="2">
        <v>45202</v>
      </c>
      <c r="B85" s="1">
        <v>0.44305555555555554</v>
      </c>
      <c r="C85" t="s">
        <v>1479</v>
      </c>
      <c r="D85">
        <v>43</v>
      </c>
      <c r="E85" t="s">
        <v>1300</v>
      </c>
    </row>
    <row r="86" spans="1:5" x14ac:dyDescent="0.25">
      <c r="A86" s="2">
        <v>45202</v>
      </c>
      <c r="B86" s="1">
        <v>0.46944444444444444</v>
      </c>
      <c r="C86" t="s">
        <v>1528</v>
      </c>
      <c r="D86">
        <v>78</v>
      </c>
      <c r="E86" t="s">
        <v>1300</v>
      </c>
    </row>
    <row r="87" spans="1:5" x14ac:dyDescent="0.25">
      <c r="A87" s="2">
        <v>45202</v>
      </c>
      <c r="B87" s="1">
        <v>0.48749999999999999</v>
      </c>
      <c r="C87" t="s">
        <v>1546</v>
      </c>
      <c r="D87">
        <v>22</v>
      </c>
      <c r="E87" t="s">
        <v>1305</v>
      </c>
    </row>
    <row r="88" spans="1:5" x14ac:dyDescent="0.25">
      <c r="A88" s="2">
        <v>45202</v>
      </c>
      <c r="B88" s="1">
        <v>0.25972222222222224</v>
      </c>
      <c r="C88" t="s">
        <v>807</v>
      </c>
      <c r="D88">
        <v>79</v>
      </c>
      <c r="E88" t="s">
        <v>1300</v>
      </c>
    </row>
    <row r="89" spans="1:5" x14ac:dyDescent="0.25">
      <c r="A89" s="2">
        <v>45202</v>
      </c>
      <c r="B89" s="1">
        <v>0.37638888888888888</v>
      </c>
      <c r="C89" t="s">
        <v>1013</v>
      </c>
      <c r="D89">
        <v>28</v>
      </c>
      <c r="E89" t="s">
        <v>1300</v>
      </c>
    </row>
    <row r="90" spans="1:5" x14ac:dyDescent="0.25">
      <c r="A90" s="2">
        <v>45202</v>
      </c>
      <c r="B90" s="1">
        <v>0.69930555555555551</v>
      </c>
      <c r="C90" t="s">
        <v>800</v>
      </c>
      <c r="D90">
        <v>63</v>
      </c>
      <c r="E90" t="s">
        <v>1303</v>
      </c>
    </row>
    <row r="91" spans="1:5" x14ac:dyDescent="0.25">
      <c r="A91" s="2">
        <v>45202</v>
      </c>
      <c r="B91" s="1">
        <v>0.35</v>
      </c>
      <c r="C91" t="s">
        <v>1154</v>
      </c>
      <c r="D91">
        <v>78</v>
      </c>
      <c r="E91" t="s">
        <v>1300</v>
      </c>
    </row>
    <row r="92" spans="1:5" x14ac:dyDescent="0.25">
      <c r="A92" s="2">
        <v>45202</v>
      </c>
      <c r="B92" s="1">
        <v>0.28958333333333336</v>
      </c>
      <c r="C92" t="s">
        <v>1364</v>
      </c>
      <c r="D92">
        <v>103</v>
      </c>
      <c r="E92" t="s">
        <v>1303</v>
      </c>
    </row>
    <row r="93" spans="1:5" x14ac:dyDescent="0.25">
      <c r="A93" s="2">
        <v>45202</v>
      </c>
      <c r="B93" s="1">
        <v>0.16180555555555556</v>
      </c>
      <c r="C93" t="s">
        <v>888</v>
      </c>
      <c r="D93">
        <v>61</v>
      </c>
      <c r="E93" t="s">
        <v>1303</v>
      </c>
    </row>
    <row r="94" spans="1:5" x14ac:dyDescent="0.25">
      <c r="A94" s="2">
        <v>45202</v>
      </c>
      <c r="B94" s="1">
        <v>0.36180555555555555</v>
      </c>
      <c r="C94" t="s">
        <v>1617</v>
      </c>
      <c r="D94">
        <v>15</v>
      </c>
      <c r="E94" t="s">
        <v>1303</v>
      </c>
    </row>
    <row r="95" spans="1:5" x14ac:dyDescent="0.25">
      <c r="A95" s="2">
        <v>45202</v>
      </c>
      <c r="B95" s="1">
        <v>0.78055555555555556</v>
      </c>
      <c r="C95" t="s">
        <v>971</v>
      </c>
      <c r="D95">
        <v>53</v>
      </c>
      <c r="E95" t="s">
        <v>1305</v>
      </c>
    </row>
    <row r="96" spans="1:5" x14ac:dyDescent="0.25">
      <c r="A96" s="2">
        <v>45202</v>
      </c>
      <c r="B96" s="1">
        <v>0.21875</v>
      </c>
      <c r="C96" t="s">
        <v>949</v>
      </c>
      <c r="D96">
        <v>86</v>
      </c>
      <c r="E96" t="s">
        <v>1305</v>
      </c>
    </row>
    <row r="97" spans="1:5" x14ac:dyDescent="0.25">
      <c r="A97" s="2">
        <v>45202</v>
      </c>
      <c r="B97" s="1">
        <v>0.45416666666666666</v>
      </c>
      <c r="C97" t="s">
        <v>1406</v>
      </c>
      <c r="D97">
        <v>89</v>
      </c>
      <c r="E97" t="s">
        <v>1305</v>
      </c>
    </row>
    <row r="98" spans="1:5" x14ac:dyDescent="0.25">
      <c r="A98" s="2">
        <v>45202</v>
      </c>
      <c r="B98" s="1">
        <v>0.77569444444444446</v>
      </c>
      <c r="C98" t="s">
        <v>1218</v>
      </c>
      <c r="D98">
        <v>72</v>
      </c>
      <c r="E98" t="s">
        <v>1300</v>
      </c>
    </row>
    <row r="99" spans="1:5" x14ac:dyDescent="0.25">
      <c r="A99" s="2">
        <v>45202</v>
      </c>
      <c r="B99" s="1">
        <v>0.68611111111111112</v>
      </c>
      <c r="C99" t="s">
        <v>1501</v>
      </c>
      <c r="D99">
        <v>53</v>
      </c>
      <c r="E99" t="s">
        <v>1300</v>
      </c>
    </row>
    <row r="100" spans="1:5" x14ac:dyDescent="0.25">
      <c r="A100" s="2">
        <v>45202</v>
      </c>
      <c r="B100" s="1">
        <v>0.69513888888888886</v>
      </c>
      <c r="C100" t="s">
        <v>1477</v>
      </c>
      <c r="D100">
        <v>49</v>
      </c>
      <c r="E100" t="s">
        <v>1303</v>
      </c>
    </row>
    <row r="101" spans="1:5" x14ac:dyDescent="0.25">
      <c r="A101" s="2">
        <v>45202</v>
      </c>
      <c r="B101" s="1">
        <v>0.52916666666666667</v>
      </c>
      <c r="C101" t="s">
        <v>836</v>
      </c>
      <c r="D101">
        <v>109</v>
      </c>
      <c r="E101" t="s">
        <v>1303</v>
      </c>
    </row>
    <row r="102" spans="1:5" x14ac:dyDescent="0.25">
      <c r="A102" s="2">
        <v>45202</v>
      </c>
      <c r="B102" s="1">
        <v>0.86805555555555558</v>
      </c>
      <c r="C102" t="s">
        <v>1395</v>
      </c>
      <c r="D102">
        <v>91</v>
      </c>
      <c r="E102" t="s">
        <v>1303</v>
      </c>
    </row>
    <row r="103" spans="1:5" x14ac:dyDescent="0.25">
      <c r="A103" s="2">
        <v>45202</v>
      </c>
      <c r="B103" s="1">
        <v>0.71736111111111112</v>
      </c>
      <c r="C103" t="s">
        <v>1064</v>
      </c>
      <c r="D103">
        <v>115</v>
      </c>
      <c r="E103" t="s">
        <v>1305</v>
      </c>
    </row>
    <row r="104" spans="1:5" x14ac:dyDescent="0.25">
      <c r="A104" s="2">
        <v>45202</v>
      </c>
      <c r="B104" s="1">
        <v>0.2902777777777778</v>
      </c>
      <c r="C104" t="s">
        <v>1121</v>
      </c>
      <c r="D104">
        <v>103</v>
      </c>
      <c r="E104" t="s">
        <v>1303</v>
      </c>
    </row>
    <row r="105" spans="1:5" x14ac:dyDescent="0.25">
      <c r="A105" s="2">
        <v>45203</v>
      </c>
      <c r="B105" s="1">
        <v>0.86458333333333337</v>
      </c>
      <c r="C105" t="s">
        <v>1411</v>
      </c>
      <c r="D105">
        <v>100</v>
      </c>
      <c r="E105" t="s">
        <v>1305</v>
      </c>
    </row>
    <row r="106" spans="1:5" x14ac:dyDescent="0.25">
      <c r="A106" s="2">
        <v>45203</v>
      </c>
      <c r="B106" s="1">
        <v>0.91041666666666665</v>
      </c>
      <c r="C106" t="s">
        <v>960</v>
      </c>
      <c r="D106">
        <v>62</v>
      </c>
      <c r="E106" t="s">
        <v>1300</v>
      </c>
    </row>
    <row r="107" spans="1:5" x14ac:dyDescent="0.25">
      <c r="A107" s="2">
        <v>45203</v>
      </c>
      <c r="B107" s="1">
        <v>0.99791666666666667</v>
      </c>
      <c r="C107" t="s">
        <v>867</v>
      </c>
      <c r="D107">
        <v>101</v>
      </c>
      <c r="E107" t="s">
        <v>1305</v>
      </c>
    </row>
    <row r="108" spans="1:5" x14ac:dyDescent="0.25">
      <c r="A108" s="2">
        <v>45203</v>
      </c>
      <c r="B108" s="1">
        <v>0.25069444444444444</v>
      </c>
      <c r="C108" t="s">
        <v>1202</v>
      </c>
      <c r="D108">
        <v>49</v>
      </c>
      <c r="E108" t="s">
        <v>1303</v>
      </c>
    </row>
    <row r="109" spans="1:5" x14ac:dyDescent="0.25">
      <c r="A109" s="2">
        <v>45203</v>
      </c>
      <c r="B109" s="1">
        <v>0.67291666666666672</v>
      </c>
      <c r="C109" t="s">
        <v>1473</v>
      </c>
      <c r="D109">
        <v>82</v>
      </c>
      <c r="E109" t="s">
        <v>1300</v>
      </c>
    </row>
    <row r="110" spans="1:5" x14ac:dyDescent="0.25">
      <c r="A110" s="2">
        <v>45203</v>
      </c>
      <c r="B110" s="1">
        <v>0.42569444444444443</v>
      </c>
      <c r="C110" t="s">
        <v>1588</v>
      </c>
      <c r="D110">
        <v>62</v>
      </c>
      <c r="E110" t="s">
        <v>1300</v>
      </c>
    </row>
    <row r="111" spans="1:5" x14ac:dyDescent="0.25">
      <c r="A111" s="2">
        <v>45203</v>
      </c>
      <c r="B111" s="1">
        <v>0.44791666666666669</v>
      </c>
      <c r="C111" t="s">
        <v>1404</v>
      </c>
      <c r="D111">
        <v>84</v>
      </c>
      <c r="E111" t="s">
        <v>1305</v>
      </c>
    </row>
    <row r="112" spans="1:5" x14ac:dyDescent="0.25">
      <c r="A112" s="2">
        <v>45203</v>
      </c>
      <c r="B112" s="1">
        <v>0.71805555555555556</v>
      </c>
      <c r="C112" t="s">
        <v>1388</v>
      </c>
      <c r="D112">
        <v>114</v>
      </c>
      <c r="E112" t="s">
        <v>1303</v>
      </c>
    </row>
    <row r="113" spans="1:5" x14ac:dyDescent="0.25">
      <c r="A113" s="2">
        <v>45203</v>
      </c>
      <c r="B113" s="1">
        <v>0.27777777777777779</v>
      </c>
      <c r="C113" t="s">
        <v>1384</v>
      </c>
      <c r="D113">
        <v>79</v>
      </c>
      <c r="E113" t="s">
        <v>1303</v>
      </c>
    </row>
    <row r="114" spans="1:5" x14ac:dyDescent="0.25">
      <c r="A114" s="2">
        <v>45203</v>
      </c>
      <c r="B114" s="1">
        <v>0.71597222222222223</v>
      </c>
      <c r="C114" t="s">
        <v>1253</v>
      </c>
      <c r="D114">
        <v>68</v>
      </c>
      <c r="E114" t="s">
        <v>1303</v>
      </c>
    </row>
    <row r="115" spans="1:5" x14ac:dyDescent="0.25">
      <c r="A115" s="2">
        <v>45203</v>
      </c>
      <c r="B115" s="1">
        <v>0.60347222222222219</v>
      </c>
      <c r="C115" t="s">
        <v>1245</v>
      </c>
      <c r="D115">
        <v>106</v>
      </c>
      <c r="E115" t="s">
        <v>1303</v>
      </c>
    </row>
    <row r="116" spans="1:5" x14ac:dyDescent="0.25">
      <c r="A116" s="2">
        <v>45203</v>
      </c>
      <c r="B116" s="1">
        <v>0.89166666666666672</v>
      </c>
      <c r="C116" t="s">
        <v>1377</v>
      </c>
      <c r="D116">
        <v>7</v>
      </c>
      <c r="E116" t="s">
        <v>1303</v>
      </c>
    </row>
    <row r="117" spans="1:5" x14ac:dyDescent="0.25">
      <c r="A117" s="2">
        <v>45203</v>
      </c>
      <c r="B117" s="1">
        <v>0.59652777777777777</v>
      </c>
      <c r="C117" t="s">
        <v>841</v>
      </c>
      <c r="D117">
        <v>13</v>
      </c>
      <c r="E117" t="s">
        <v>1303</v>
      </c>
    </row>
    <row r="118" spans="1:5" x14ac:dyDescent="0.25">
      <c r="A118" s="2">
        <v>45203</v>
      </c>
      <c r="B118" s="1">
        <v>0.5708333333333333</v>
      </c>
      <c r="C118" t="s">
        <v>1618</v>
      </c>
      <c r="D118">
        <v>68</v>
      </c>
      <c r="E118" t="s">
        <v>1305</v>
      </c>
    </row>
    <row r="119" spans="1:5" x14ac:dyDescent="0.25">
      <c r="A119" s="2">
        <v>45203</v>
      </c>
      <c r="B119" s="1">
        <v>0.35833333333333334</v>
      </c>
      <c r="C119" t="s">
        <v>1433</v>
      </c>
      <c r="D119">
        <v>5</v>
      </c>
      <c r="E119" t="s">
        <v>1300</v>
      </c>
    </row>
    <row r="120" spans="1:5" x14ac:dyDescent="0.25">
      <c r="A120" s="2">
        <v>45203</v>
      </c>
      <c r="B120" s="1">
        <v>0.76041666666666663</v>
      </c>
      <c r="C120" t="s">
        <v>838</v>
      </c>
      <c r="D120">
        <v>18</v>
      </c>
      <c r="E120" t="s">
        <v>1305</v>
      </c>
    </row>
    <row r="121" spans="1:5" x14ac:dyDescent="0.25">
      <c r="A121" s="2">
        <v>45203</v>
      </c>
      <c r="B121" s="1">
        <v>0.9916666666666667</v>
      </c>
      <c r="C121" t="s">
        <v>1508</v>
      </c>
      <c r="D121">
        <v>5</v>
      </c>
      <c r="E121" t="s">
        <v>1305</v>
      </c>
    </row>
    <row r="122" spans="1:5" x14ac:dyDescent="0.25">
      <c r="A122" s="2">
        <v>45203</v>
      </c>
      <c r="B122" s="1">
        <v>0.22777777777777777</v>
      </c>
      <c r="C122" t="s">
        <v>1408</v>
      </c>
      <c r="D122">
        <v>61</v>
      </c>
      <c r="E122" t="s">
        <v>1303</v>
      </c>
    </row>
    <row r="123" spans="1:5" x14ac:dyDescent="0.25">
      <c r="A123" s="2">
        <v>45203</v>
      </c>
      <c r="B123" s="1">
        <v>0.22430555555555556</v>
      </c>
      <c r="C123" t="s">
        <v>919</v>
      </c>
      <c r="D123">
        <v>102</v>
      </c>
      <c r="E123" t="s">
        <v>1305</v>
      </c>
    </row>
    <row r="124" spans="1:5" x14ac:dyDescent="0.25">
      <c r="A124" s="2">
        <v>45203</v>
      </c>
      <c r="B124" s="1">
        <v>0.21388888888888888</v>
      </c>
      <c r="C124" t="s">
        <v>1106</v>
      </c>
      <c r="D124">
        <v>5</v>
      </c>
      <c r="E124" t="s">
        <v>1300</v>
      </c>
    </row>
    <row r="125" spans="1:5" x14ac:dyDescent="0.25">
      <c r="A125" s="2">
        <v>45203</v>
      </c>
      <c r="B125" s="1">
        <v>3.472222222222222E-3</v>
      </c>
      <c r="C125" t="s">
        <v>1524</v>
      </c>
      <c r="D125">
        <v>46</v>
      </c>
      <c r="E125" t="s">
        <v>1303</v>
      </c>
    </row>
    <row r="126" spans="1:5" x14ac:dyDescent="0.25">
      <c r="A126" s="2">
        <v>45203</v>
      </c>
      <c r="B126" s="1">
        <v>0.30486111111111114</v>
      </c>
      <c r="C126" t="s">
        <v>1197</v>
      </c>
      <c r="D126">
        <v>106</v>
      </c>
      <c r="E126" t="s">
        <v>1303</v>
      </c>
    </row>
    <row r="127" spans="1:5" x14ac:dyDescent="0.25">
      <c r="A127" s="2">
        <v>45203</v>
      </c>
      <c r="B127" s="1">
        <v>0.75069444444444444</v>
      </c>
      <c r="C127" t="s">
        <v>1214</v>
      </c>
      <c r="D127">
        <v>64</v>
      </c>
      <c r="E127" t="s">
        <v>1305</v>
      </c>
    </row>
    <row r="128" spans="1:5" x14ac:dyDescent="0.25">
      <c r="A128" s="2">
        <v>45203</v>
      </c>
      <c r="B128" s="1">
        <v>0.95833333333333337</v>
      </c>
      <c r="C128" t="s">
        <v>1584</v>
      </c>
      <c r="D128">
        <v>65</v>
      </c>
      <c r="E128" t="s">
        <v>1305</v>
      </c>
    </row>
    <row r="129" spans="1:5" x14ac:dyDescent="0.25">
      <c r="A129" s="2">
        <v>45203</v>
      </c>
      <c r="B129" s="1">
        <v>0.89375000000000004</v>
      </c>
      <c r="C129" t="s">
        <v>1328</v>
      </c>
      <c r="D129">
        <v>32</v>
      </c>
      <c r="E129" t="s">
        <v>1300</v>
      </c>
    </row>
    <row r="130" spans="1:5" x14ac:dyDescent="0.25">
      <c r="A130" s="2">
        <v>45203</v>
      </c>
      <c r="B130" s="1">
        <v>0.9506944444444444</v>
      </c>
      <c r="C130" t="s">
        <v>1273</v>
      </c>
      <c r="D130">
        <v>8</v>
      </c>
      <c r="E130" t="s">
        <v>1303</v>
      </c>
    </row>
    <row r="131" spans="1:5" x14ac:dyDescent="0.25">
      <c r="A131" s="2">
        <v>45203</v>
      </c>
      <c r="B131" s="1">
        <v>0.47708333333333336</v>
      </c>
      <c r="C131" t="s">
        <v>1462</v>
      </c>
      <c r="D131">
        <v>93</v>
      </c>
      <c r="E131" t="s">
        <v>1303</v>
      </c>
    </row>
    <row r="132" spans="1:5" x14ac:dyDescent="0.25">
      <c r="A132" s="2">
        <v>45203</v>
      </c>
      <c r="B132" s="1">
        <v>0.27361111111111114</v>
      </c>
      <c r="C132" t="s">
        <v>1325</v>
      </c>
      <c r="D132">
        <v>23</v>
      </c>
      <c r="E132" t="s">
        <v>1305</v>
      </c>
    </row>
    <row r="133" spans="1:5" x14ac:dyDescent="0.25">
      <c r="A133" s="2">
        <v>45203</v>
      </c>
      <c r="B133" s="1">
        <v>0.65208333333333335</v>
      </c>
      <c r="C133" t="s">
        <v>1119</v>
      </c>
      <c r="D133">
        <v>65</v>
      </c>
      <c r="E133" t="s">
        <v>1305</v>
      </c>
    </row>
    <row r="134" spans="1:5" x14ac:dyDescent="0.25">
      <c r="A134" s="2">
        <v>45203</v>
      </c>
      <c r="B134" s="1">
        <v>9.0277777777777769E-3</v>
      </c>
      <c r="C134" t="s">
        <v>1527</v>
      </c>
      <c r="D134">
        <v>49</v>
      </c>
      <c r="E134" t="s">
        <v>1300</v>
      </c>
    </row>
    <row r="135" spans="1:5" x14ac:dyDescent="0.25">
      <c r="A135" s="2">
        <v>45203</v>
      </c>
      <c r="B135" s="1">
        <v>5.9027777777777776E-2</v>
      </c>
      <c r="C135" t="s">
        <v>1329</v>
      </c>
      <c r="D135">
        <v>49</v>
      </c>
      <c r="E135" t="s">
        <v>1300</v>
      </c>
    </row>
    <row r="136" spans="1:5" x14ac:dyDescent="0.25">
      <c r="A136" s="2">
        <v>45203</v>
      </c>
      <c r="B136" s="1">
        <v>0.22152777777777777</v>
      </c>
      <c r="C136" t="s">
        <v>1045</v>
      </c>
      <c r="D136">
        <v>101</v>
      </c>
      <c r="E136" t="s">
        <v>1300</v>
      </c>
    </row>
    <row r="137" spans="1:5" x14ac:dyDescent="0.25">
      <c r="A137" s="2">
        <v>45203</v>
      </c>
      <c r="B137" s="1">
        <v>4.1666666666666664E-2</v>
      </c>
      <c r="C137" t="s">
        <v>901</v>
      </c>
      <c r="D137">
        <v>69</v>
      </c>
      <c r="E137" t="s">
        <v>1305</v>
      </c>
    </row>
    <row r="138" spans="1:5" x14ac:dyDescent="0.25">
      <c r="A138" s="2">
        <v>45203</v>
      </c>
      <c r="B138" s="1">
        <v>0.81041666666666667</v>
      </c>
      <c r="C138" t="s">
        <v>1348</v>
      </c>
      <c r="D138">
        <v>78</v>
      </c>
      <c r="E138" t="s">
        <v>1305</v>
      </c>
    </row>
    <row r="139" spans="1:5" x14ac:dyDescent="0.25">
      <c r="A139" s="2">
        <v>45203</v>
      </c>
      <c r="B139" s="1">
        <v>0.61527777777777781</v>
      </c>
      <c r="C139" t="s">
        <v>1533</v>
      </c>
      <c r="D139">
        <v>41</v>
      </c>
      <c r="E139" t="s">
        <v>1300</v>
      </c>
    </row>
    <row r="140" spans="1:5" x14ac:dyDescent="0.25">
      <c r="A140" s="2">
        <v>45203</v>
      </c>
      <c r="B140" s="1">
        <v>0.51180555555555551</v>
      </c>
      <c r="C140" t="s">
        <v>1109</v>
      </c>
      <c r="D140">
        <v>64</v>
      </c>
      <c r="E140" t="s">
        <v>1305</v>
      </c>
    </row>
    <row r="141" spans="1:5" x14ac:dyDescent="0.25">
      <c r="A141" s="2">
        <v>45203</v>
      </c>
      <c r="B141" s="1">
        <v>0.52222222222222225</v>
      </c>
      <c r="C141" t="s">
        <v>1013</v>
      </c>
      <c r="D141">
        <v>11</v>
      </c>
      <c r="E141" t="s">
        <v>1303</v>
      </c>
    </row>
    <row r="142" spans="1:5" x14ac:dyDescent="0.25">
      <c r="A142" s="2">
        <v>45203</v>
      </c>
      <c r="B142" s="1">
        <v>0.51736111111111116</v>
      </c>
      <c r="C142" t="s">
        <v>1179</v>
      </c>
      <c r="D142">
        <v>26</v>
      </c>
      <c r="E142" t="s">
        <v>1300</v>
      </c>
    </row>
    <row r="143" spans="1:5" x14ac:dyDescent="0.25">
      <c r="A143" s="2">
        <v>45203</v>
      </c>
      <c r="B143" s="1">
        <v>3.125E-2</v>
      </c>
      <c r="C143" t="s">
        <v>1307</v>
      </c>
      <c r="D143">
        <v>36</v>
      </c>
      <c r="E143" t="s">
        <v>1305</v>
      </c>
    </row>
    <row r="144" spans="1:5" x14ac:dyDescent="0.25">
      <c r="A144" s="2">
        <v>45203</v>
      </c>
      <c r="B144" s="1">
        <v>3.2638888888888891E-2</v>
      </c>
      <c r="C144" t="s">
        <v>1019</v>
      </c>
      <c r="D144">
        <v>73</v>
      </c>
      <c r="E144" t="s">
        <v>1300</v>
      </c>
    </row>
    <row r="145" spans="1:5" x14ac:dyDescent="0.25">
      <c r="A145" s="2">
        <v>45203</v>
      </c>
      <c r="B145" s="1">
        <v>0.32430555555555557</v>
      </c>
      <c r="C145" t="s">
        <v>1560</v>
      </c>
      <c r="D145">
        <v>34</v>
      </c>
      <c r="E145" t="s">
        <v>1300</v>
      </c>
    </row>
    <row r="146" spans="1:5" x14ac:dyDescent="0.25">
      <c r="A146" s="2">
        <v>45203</v>
      </c>
      <c r="B146" s="1">
        <v>0.88402777777777775</v>
      </c>
      <c r="C146" t="s">
        <v>1500</v>
      </c>
      <c r="D146">
        <v>116</v>
      </c>
      <c r="E146" t="s">
        <v>1303</v>
      </c>
    </row>
    <row r="147" spans="1:5" x14ac:dyDescent="0.25">
      <c r="A147" s="2">
        <v>45204</v>
      </c>
      <c r="B147" s="1">
        <v>0.33888888888888891</v>
      </c>
      <c r="C147" t="s">
        <v>1325</v>
      </c>
      <c r="D147">
        <v>60</v>
      </c>
      <c r="E147" t="s">
        <v>1300</v>
      </c>
    </row>
    <row r="148" spans="1:5" x14ac:dyDescent="0.25">
      <c r="A148" s="2">
        <v>45204</v>
      </c>
      <c r="B148" s="1">
        <v>0.20208333333333334</v>
      </c>
      <c r="C148" t="s">
        <v>1380</v>
      </c>
      <c r="D148">
        <v>10</v>
      </c>
      <c r="E148" t="s">
        <v>1300</v>
      </c>
    </row>
    <row r="149" spans="1:5" x14ac:dyDescent="0.25">
      <c r="A149" s="2">
        <v>45204</v>
      </c>
      <c r="B149" s="1">
        <v>0.28333333333333333</v>
      </c>
      <c r="C149" t="s">
        <v>1201</v>
      </c>
      <c r="D149">
        <v>11</v>
      </c>
      <c r="E149" t="s">
        <v>1305</v>
      </c>
    </row>
    <row r="150" spans="1:5" x14ac:dyDescent="0.25">
      <c r="A150" s="2">
        <v>45204</v>
      </c>
      <c r="B150" s="1">
        <v>0.57013888888888886</v>
      </c>
      <c r="C150" t="s">
        <v>1420</v>
      </c>
      <c r="D150">
        <v>13</v>
      </c>
      <c r="E150" t="s">
        <v>1305</v>
      </c>
    </row>
    <row r="151" spans="1:5" x14ac:dyDescent="0.25">
      <c r="A151" s="2">
        <v>45204</v>
      </c>
      <c r="B151" s="1">
        <v>0.94861111111111107</v>
      </c>
      <c r="C151" t="s">
        <v>1611</v>
      </c>
      <c r="D151">
        <v>47</v>
      </c>
      <c r="E151" t="s">
        <v>1303</v>
      </c>
    </row>
    <row r="152" spans="1:5" x14ac:dyDescent="0.25">
      <c r="A152" s="2">
        <v>45204</v>
      </c>
      <c r="B152" s="1">
        <v>1.1111111111111112E-2</v>
      </c>
      <c r="C152" t="s">
        <v>1105</v>
      </c>
      <c r="D152">
        <v>12</v>
      </c>
      <c r="E152" t="s">
        <v>1303</v>
      </c>
    </row>
    <row r="153" spans="1:5" x14ac:dyDescent="0.25">
      <c r="A153" s="2">
        <v>45204</v>
      </c>
      <c r="B153" s="1">
        <v>0.98611111111111116</v>
      </c>
      <c r="C153" t="s">
        <v>961</v>
      </c>
      <c r="D153">
        <v>76</v>
      </c>
      <c r="E153" t="s">
        <v>1303</v>
      </c>
    </row>
    <row r="154" spans="1:5" x14ac:dyDescent="0.25">
      <c r="A154" s="2">
        <v>45204</v>
      </c>
      <c r="B154" s="1">
        <v>0.12291666666666666</v>
      </c>
      <c r="C154" t="s">
        <v>990</v>
      </c>
      <c r="D154">
        <v>34</v>
      </c>
      <c r="E154" t="s">
        <v>1300</v>
      </c>
    </row>
    <row r="155" spans="1:5" x14ac:dyDescent="0.25">
      <c r="A155" s="2">
        <v>45204</v>
      </c>
      <c r="B155" s="1">
        <v>0.29722222222222222</v>
      </c>
      <c r="C155" t="s">
        <v>1157</v>
      </c>
      <c r="D155">
        <v>111</v>
      </c>
      <c r="E155" t="s">
        <v>1303</v>
      </c>
    </row>
    <row r="156" spans="1:5" x14ac:dyDescent="0.25">
      <c r="A156" s="2">
        <v>45204</v>
      </c>
      <c r="B156" s="1">
        <v>9.0277777777777776E-2</v>
      </c>
      <c r="C156" t="s">
        <v>1527</v>
      </c>
      <c r="D156">
        <v>93</v>
      </c>
      <c r="E156" t="s">
        <v>1305</v>
      </c>
    </row>
    <row r="157" spans="1:5" x14ac:dyDescent="0.25">
      <c r="A157" s="2">
        <v>45204</v>
      </c>
      <c r="B157" s="1">
        <v>0.90555555555555556</v>
      </c>
      <c r="C157" t="s">
        <v>1274</v>
      </c>
      <c r="D157">
        <v>61</v>
      </c>
      <c r="E157" t="s">
        <v>1300</v>
      </c>
    </row>
    <row r="158" spans="1:5" x14ac:dyDescent="0.25">
      <c r="A158" s="2">
        <v>45204</v>
      </c>
      <c r="B158" s="1">
        <v>0.57222222222222219</v>
      </c>
      <c r="C158" t="s">
        <v>1038</v>
      </c>
      <c r="D158">
        <v>88</v>
      </c>
      <c r="E158" t="s">
        <v>1305</v>
      </c>
    </row>
    <row r="159" spans="1:5" x14ac:dyDescent="0.25">
      <c r="A159" s="2">
        <v>45204</v>
      </c>
      <c r="B159" s="1">
        <v>0.55000000000000004</v>
      </c>
      <c r="C159" t="s">
        <v>852</v>
      </c>
      <c r="D159">
        <v>113</v>
      </c>
      <c r="E159" t="s">
        <v>1303</v>
      </c>
    </row>
    <row r="160" spans="1:5" x14ac:dyDescent="0.25">
      <c r="A160" s="2">
        <v>45204</v>
      </c>
      <c r="B160" s="1">
        <v>0.23749999999999999</v>
      </c>
      <c r="C160" t="s">
        <v>852</v>
      </c>
      <c r="D160">
        <v>21</v>
      </c>
      <c r="E160" t="s">
        <v>1303</v>
      </c>
    </row>
    <row r="161" spans="1:5" x14ac:dyDescent="0.25">
      <c r="A161" s="2">
        <v>45204</v>
      </c>
      <c r="B161" s="1">
        <v>0.26458333333333334</v>
      </c>
      <c r="C161" t="s">
        <v>1200</v>
      </c>
      <c r="D161">
        <v>90</v>
      </c>
      <c r="E161" t="s">
        <v>1305</v>
      </c>
    </row>
    <row r="162" spans="1:5" x14ac:dyDescent="0.25">
      <c r="A162" s="2">
        <v>45204</v>
      </c>
      <c r="B162" s="1">
        <v>0.53125</v>
      </c>
      <c r="C162" t="s">
        <v>1135</v>
      </c>
      <c r="D162">
        <v>47</v>
      </c>
      <c r="E162" t="s">
        <v>1300</v>
      </c>
    </row>
    <row r="163" spans="1:5" x14ac:dyDescent="0.25">
      <c r="A163" s="2">
        <v>45204</v>
      </c>
      <c r="B163" s="1">
        <v>0.68472222222222223</v>
      </c>
      <c r="C163" t="s">
        <v>1503</v>
      </c>
      <c r="D163">
        <v>92</v>
      </c>
      <c r="E163" t="s">
        <v>1300</v>
      </c>
    </row>
    <row r="164" spans="1:5" x14ac:dyDescent="0.25">
      <c r="A164" s="2">
        <v>45204</v>
      </c>
      <c r="B164" s="1">
        <v>0.91666666666666663</v>
      </c>
      <c r="C164" t="s">
        <v>1555</v>
      </c>
      <c r="D164">
        <v>64</v>
      </c>
      <c r="E164" t="s">
        <v>1305</v>
      </c>
    </row>
    <row r="165" spans="1:5" x14ac:dyDescent="0.25">
      <c r="A165" s="2">
        <v>45204</v>
      </c>
      <c r="B165" s="1">
        <v>0.84652777777777777</v>
      </c>
      <c r="C165" t="s">
        <v>1544</v>
      </c>
      <c r="D165">
        <v>16</v>
      </c>
      <c r="E165" t="s">
        <v>1305</v>
      </c>
    </row>
    <row r="166" spans="1:5" x14ac:dyDescent="0.25">
      <c r="A166" s="2">
        <v>45204</v>
      </c>
      <c r="B166" s="1">
        <v>9.0972222222222218E-2</v>
      </c>
      <c r="C166" t="s">
        <v>1522</v>
      </c>
      <c r="D166">
        <v>81</v>
      </c>
      <c r="E166" t="s">
        <v>1300</v>
      </c>
    </row>
    <row r="167" spans="1:5" x14ac:dyDescent="0.25">
      <c r="A167" s="2">
        <v>45204</v>
      </c>
      <c r="B167" s="1">
        <v>0.47152777777777777</v>
      </c>
      <c r="C167" t="s">
        <v>873</v>
      </c>
      <c r="D167">
        <v>10</v>
      </c>
      <c r="E167" t="s">
        <v>1300</v>
      </c>
    </row>
    <row r="168" spans="1:5" x14ac:dyDescent="0.25">
      <c r="A168" s="2">
        <v>45204</v>
      </c>
      <c r="B168" s="1">
        <v>0.66527777777777775</v>
      </c>
      <c r="C168" t="s">
        <v>1456</v>
      </c>
      <c r="D168">
        <v>56</v>
      </c>
      <c r="E168" t="s">
        <v>1300</v>
      </c>
    </row>
    <row r="169" spans="1:5" x14ac:dyDescent="0.25">
      <c r="A169" s="2">
        <v>45204</v>
      </c>
      <c r="B169" s="1">
        <v>0.59097222222222223</v>
      </c>
      <c r="C169" t="s">
        <v>922</v>
      </c>
      <c r="D169">
        <v>108</v>
      </c>
      <c r="E169" t="s">
        <v>1303</v>
      </c>
    </row>
    <row r="170" spans="1:5" x14ac:dyDescent="0.25">
      <c r="A170" s="2">
        <v>45204</v>
      </c>
      <c r="B170" s="1">
        <v>0.89583333333333337</v>
      </c>
      <c r="C170" t="s">
        <v>1432</v>
      </c>
      <c r="D170">
        <v>42</v>
      </c>
      <c r="E170" t="s">
        <v>1303</v>
      </c>
    </row>
    <row r="171" spans="1:5" x14ac:dyDescent="0.25">
      <c r="A171" s="2">
        <v>45204</v>
      </c>
      <c r="B171" s="1">
        <v>0.625</v>
      </c>
      <c r="C171" t="s">
        <v>1268</v>
      </c>
      <c r="D171">
        <v>94</v>
      </c>
      <c r="E171" t="s">
        <v>1305</v>
      </c>
    </row>
    <row r="172" spans="1:5" x14ac:dyDescent="0.25">
      <c r="A172" s="2">
        <v>45204</v>
      </c>
      <c r="B172" s="1">
        <v>0.75902777777777775</v>
      </c>
      <c r="C172" t="s">
        <v>1427</v>
      </c>
      <c r="D172">
        <v>105</v>
      </c>
      <c r="E172" t="s">
        <v>1305</v>
      </c>
    </row>
    <row r="173" spans="1:5" x14ac:dyDescent="0.25">
      <c r="A173" s="2">
        <v>45204</v>
      </c>
      <c r="B173" s="1">
        <v>0.81527777777777777</v>
      </c>
      <c r="C173" t="s">
        <v>1202</v>
      </c>
      <c r="D173">
        <v>71</v>
      </c>
      <c r="E173" t="s">
        <v>1305</v>
      </c>
    </row>
    <row r="174" spans="1:5" x14ac:dyDescent="0.25">
      <c r="A174" s="2">
        <v>45204</v>
      </c>
      <c r="B174" s="1">
        <v>0.61597222222222225</v>
      </c>
      <c r="C174" t="s">
        <v>1182</v>
      </c>
      <c r="D174">
        <v>41</v>
      </c>
      <c r="E174" t="s">
        <v>1305</v>
      </c>
    </row>
    <row r="175" spans="1:5" x14ac:dyDescent="0.25">
      <c r="A175" s="2">
        <v>45204</v>
      </c>
      <c r="B175" s="1">
        <v>0.93125000000000002</v>
      </c>
      <c r="C175" t="s">
        <v>1483</v>
      </c>
      <c r="D175">
        <v>66</v>
      </c>
      <c r="E175" t="s">
        <v>1300</v>
      </c>
    </row>
    <row r="176" spans="1:5" x14ac:dyDescent="0.25">
      <c r="A176" s="2">
        <v>45204</v>
      </c>
      <c r="B176" s="1">
        <v>0.39166666666666666</v>
      </c>
      <c r="C176" t="s">
        <v>1369</v>
      </c>
      <c r="D176">
        <v>98</v>
      </c>
      <c r="E176" t="s">
        <v>1305</v>
      </c>
    </row>
    <row r="177" spans="1:5" x14ac:dyDescent="0.25">
      <c r="A177" s="2">
        <v>45204</v>
      </c>
      <c r="B177" s="1">
        <v>0.96250000000000002</v>
      </c>
      <c r="C177" t="s">
        <v>1302</v>
      </c>
      <c r="D177">
        <v>100</v>
      </c>
      <c r="E177" t="s">
        <v>1303</v>
      </c>
    </row>
    <row r="178" spans="1:5" x14ac:dyDescent="0.25">
      <c r="A178" s="2">
        <v>45204</v>
      </c>
      <c r="B178" s="1">
        <v>0.31458333333333333</v>
      </c>
      <c r="C178" t="s">
        <v>1413</v>
      </c>
      <c r="D178">
        <v>120</v>
      </c>
      <c r="E178" t="s">
        <v>1303</v>
      </c>
    </row>
    <row r="179" spans="1:5" x14ac:dyDescent="0.25">
      <c r="A179" s="2">
        <v>45204</v>
      </c>
      <c r="B179" s="1">
        <v>0.76666666666666672</v>
      </c>
      <c r="C179" t="s">
        <v>1164</v>
      </c>
      <c r="D179">
        <v>9</v>
      </c>
      <c r="E179" t="s">
        <v>1305</v>
      </c>
    </row>
    <row r="180" spans="1:5" x14ac:dyDescent="0.25">
      <c r="A180" s="2">
        <v>45205</v>
      </c>
      <c r="B180" s="1">
        <v>0.52986111111111112</v>
      </c>
      <c r="C180" t="s">
        <v>907</v>
      </c>
      <c r="D180">
        <v>74</v>
      </c>
      <c r="E180" t="s">
        <v>1303</v>
      </c>
    </row>
    <row r="181" spans="1:5" x14ac:dyDescent="0.25">
      <c r="A181" s="2">
        <v>45205</v>
      </c>
      <c r="B181" s="1">
        <v>0.44097222222222221</v>
      </c>
      <c r="C181" t="s">
        <v>832</v>
      </c>
      <c r="D181">
        <v>115</v>
      </c>
      <c r="E181" t="s">
        <v>1303</v>
      </c>
    </row>
    <row r="182" spans="1:5" x14ac:dyDescent="0.25">
      <c r="A182" s="2">
        <v>45205</v>
      </c>
      <c r="B182" s="1">
        <v>0.2361111111111111</v>
      </c>
      <c r="C182" t="s">
        <v>1382</v>
      </c>
      <c r="D182">
        <v>67</v>
      </c>
      <c r="E182" t="s">
        <v>1303</v>
      </c>
    </row>
    <row r="183" spans="1:5" x14ac:dyDescent="0.25">
      <c r="A183" s="2">
        <v>45205</v>
      </c>
      <c r="B183" s="1">
        <v>0.34513888888888888</v>
      </c>
      <c r="C183" t="s">
        <v>866</v>
      </c>
      <c r="D183">
        <v>109</v>
      </c>
      <c r="E183" t="s">
        <v>1303</v>
      </c>
    </row>
    <row r="184" spans="1:5" x14ac:dyDescent="0.25">
      <c r="A184" s="2">
        <v>45205</v>
      </c>
      <c r="B184" s="1">
        <v>0.92986111111111114</v>
      </c>
      <c r="C184" t="s">
        <v>1188</v>
      </c>
      <c r="D184">
        <v>82</v>
      </c>
      <c r="E184" t="s">
        <v>1305</v>
      </c>
    </row>
    <row r="185" spans="1:5" x14ac:dyDescent="0.25">
      <c r="A185" s="2">
        <v>45205</v>
      </c>
      <c r="B185" s="1">
        <v>0.81666666666666665</v>
      </c>
      <c r="C185" t="s">
        <v>1358</v>
      </c>
      <c r="D185">
        <v>33</v>
      </c>
      <c r="E185" t="s">
        <v>1305</v>
      </c>
    </row>
    <row r="186" spans="1:5" x14ac:dyDescent="0.25">
      <c r="A186" s="2">
        <v>45205</v>
      </c>
      <c r="B186" s="1">
        <v>0.52708333333333335</v>
      </c>
      <c r="C186" t="s">
        <v>1074</v>
      </c>
      <c r="D186">
        <v>40</v>
      </c>
      <c r="E186" t="s">
        <v>1305</v>
      </c>
    </row>
    <row r="187" spans="1:5" x14ac:dyDescent="0.25">
      <c r="A187" s="2">
        <v>45205</v>
      </c>
      <c r="B187" s="1">
        <v>0.71111111111111114</v>
      </c>
      <c r="C187" t="s">
        <v>1385</v>
      </c>
      <c r="D187">
        <v>109</v>
      </c>
      <c r="E187" t="s">
        <v>1305</v>
      </c>
    </row>
    <row r="188" spans="1:5" x14ac:dyDescent="0.25">
      <c r="A188" s="2">
        <v>45205</v>
      </c>
      <c r="B188" s="1">
        <v>0.77569444444444446</v>
      </c>
      <c r="C188" t="s">
        <v>1478</v>
      </c>
      <c r="D188">
        <v>56</v>
      </c>
      <c r="E188" t="s">
        <v>1305</v>
      </c>
    </row>
    <row r="189" spans="1:5" x14ac:dyDescent="0.25">
      <c r="A189" s="2">
        <v>45205</v>
      </c>
      <c r="B189" s="1">
        <v>0.87222222222222223</v>
      </c>
      <c r="C189" t="s">
        <v>1582</v>
      </c>
      <c r="D189">
        <v>17</v>
      </c>
      <c r="E189" t="s">
        <v>1300</v>
      </c>
    </row>
    <row r="190" spans="1:5" x14ac:dyDescent="0.25">
      <c r="A190" s="2">
        <v>45205</v>
      </c>
      <c r="B190" s="1">
        <v>0.3659722222222222</v>
      </c>
      <c r="C190" t="s">
        <v>1502</v>
      </c>
      <c r="D190">
        <v>32</v>
      </c>
      <c r="E190" t="s">
        <v>1300</v>
      </c>
    </row>
    <row r="191" spans="1:5" x14ac:dyDescent="0.25">
      <c r="A191" s="2">
        <v>45205</v>
      </c>
      <c r="B191" s="1">
        <v>0.96875</v>
      </c>
      <c r="C191" t="s">
        <v>1534</v>
      </c>
      <c r="D191">
        <v>84</v>
      </c>
      <c r="E191" t="s">
        <v>1303</v>
      </c>
    </row>
    <row r="192" spans="1:5" x14ac:dyDescent="0.25">
      <c r="A192" s="2">
        <v>45205</v>
      </c>
      <c r="B192" s="1">
        <v>5.2777777777777778E-2</v>
      </c>
      <c r="C192" t="s">
        <v>900</v>
      </c>
      <c r="D192">
        <v>102</v>
      </c>
      <c r="E192" t="s">
        <v>1303</v>
      </c>
    </row>
    <row r="193" spans="1:5" x14ac:dyDescent="0.25">
      <c r="A193" s="2">
        <v>45205</v>
      </c>
      <c r="B193" s="1">
        <v>0.10277777777777777</v>
      </c>
      <c r="C193" t="s">
        <v>1416</v>
      </c>
      <c r="D193">
        <v>84</v>
      </c>
      <c r="E193" t="s">
        <v>1305</v>
      </c>
    </row>
    <row r="194" spans="1:5" x14ac:dyDescent="0.25">
      <c r="A194" s="2">
        <v>45205</v>
      </c>
      <c r="B194" s="1">
        <v>0.47152777777777777</v>
      </c>
      <c r="C194" t="s">
        <v>844</v>
      </c>
      <c r="D194">
        <v>50</v>
      </c>
      <c r="E194" t="s">
        <v>1303</v>
      </c>
    </row>
    <row r="195" spans="1:5" x14ac:dyDescent="0.25">
      <c r="A195" s="2">
        <v>45205</v>
      </c>
      <c r="B195" s="3">
        <v>1.8055555555555554E-2</v>
      </c>
      <c r="C195" t="s">
        <v>1127</v>
      </c>
      <c r="D195">
        <v>67</v>
      </c>
      <c r="E195" t="s">
        <v>1305</v>
      </c>
    </row>
    <row r="196" spans="1:5" x14ac:dyDescent="0.25">
      <c r="A196" s="2">
        <v>45205</v>
      </c>
      <c r="B196" s="3">
        <v>0.89166666666666672</v>
      </c>
      <c r="C196" t="s">
        <v>1511</v>
      </c>
      <c r="D196">
        <v>45</v>
      </c>
      <c r="E196" t="s">
        <v>1303</v>
      </c>
    </row>
    <row r="197" spans="1:5" x14ac:dyDescent="0.25">
      <c r="A197" s="2">
        <v>45205</v>
      </c>
      <c r="B197" s="1">
        <v>0.48055555555555557</v>
      </c>
      <c r="C197" t="s">
        <v>1465</v>
      </c>
      <c r="D197">
        <v>43</v>
      </c>
      <c r="E197" t="s">
        <v>1303</v>
      </c>
    </row>
    <row r="198" spans="1:5" x14ac:dyDescent="0.25">
      <c r="A198" s="2">
        <v>45205</v>
      </c>
      <c r="B198" s="1">
        <v>0.46388888888888891</v>
      </c>
      <c r="C198" t="s">
        <v>972</v>
      </c>
      <c r="D198">
        <v>103</v>
      </c>
      <c r="E198" t="s">
        <v>1300</v>
      </c>
    </row>
    <row r="199" spans="1:5" x14ac:dyDescent="0.25">
      <c r="A199" s="2">
        <v>45205</v>
      </c>
      <c r="B199" s="1">
        <v>0.76875000000000004</v>
      </c>
      <c r="C199" t="s">
        <v>966</v>
      </c>
      <c r="D199">
        <v>36</v>
      </c>
      <c r="E199" t="s">
        <v>1300</v>
      </c>
    </row>
    <row r="200" spans="1:5" x14ac:dyDescent="0.25">
      <c r="A200" s="2">
        <v>45205</v>
      </c>
      <c r="B200" s="1">
        <v>5.2083333333333336E-2</v>
      </c>
      <c r="C200" t="s">
        <v>825</v>
      </c>
      <c r="D200">
        <v>81</v>
      </c>
      <c r="E200" t="s">
        <v>1305</v>
      </c>
    </row>
    <row r="201" spans="1:5" x14ac:dyDescent="0.25">
      <c r="A201" s="2">
        <v>45205</v>
      </c>
      <c r="B201" s="1">
        <v>0.79374999999999996</v>
      </c>
      <c r="C201" t="s">
        <v>1439</v>
      </c>
      <c r="D201">
        <v>99</v>
      </c>
      <c r="E201" t="s">
        <v>1303</v>
      </c>
    </row>
    <row r="202" spans="1:5" x14ac:dyDescent="0.25">
      <c r="A202" s="2">
        <v>45205</v>
      </c>
      <c r="B202" s="1">
        <v>0.47430555555555554</v>
      </c>
      <c r="C202" t="s">
        <v>1233</v>
      </c>
      <c r="D202">
        <v>25</v>
      </c>
      <c r="E202" t="s">
        <v>1300</v>
      </c>
    </row>
    <row r="203" spans="1:5" x14ac:dyDescent="0.25">
      <c r="A203" s="2">
        <v>45205</v>
      </c>
      <c r="B203" s="1">
        <v>1.3888888888888888E-2</v>
      </c>
      <c r="C203" t="s">
        <v>1179</v>
      </c>
      <c r="D203">
        <v>35</v>
      </c>
      <c r="E203" t="s">
        <v>1303</v>
      </c>
    </row>
    <row r="204" spans="1:5" x14ac:dyDescent="0.25">
      <c r="A204" s="2">
        <v>45205</v>
      </c>
      <c r="B204" s="1">
        <v>0.64027777777777772</v>
      </c>
      <c r="C204" t="s">
        <v>1367</v>
      </c>
      <c r="D204">
        <v>52</v>
      </c>
      <c r="E204" t="s">
        <v>1300</v>
      </c>
    </row>
    <row r="205" spans="1:5" x14ac:dyDescent="0.25">
      <c r="A205" s="2">
        <v>45205</v>
      </c>
      <c r="B205" s="1">
        <v>0.33680555555555558</v>
      </c>
      <c r="C205" t="s">
        <v>1545</v>
      </c>
      <c r="D205">
        <v>119</v>
      </c>
      <c r="E205" t="s">
        <v>1305</v>
      </c>
    </row>
    <row r="206" spans="1:5" x14ac:dyDescent="0.25">
      <c r="A206" s="2">
        <v>45205</v>
      </c>
      <c r="B206" s="1">
        <v>0.15416666666666667</v>
      </c>
      <c r="C206" t="s">
        <v>1293</v>
      </c>
      <c r="D206">
        <v>12</v>
      </c>
      <c r="E206" t="s">
        <v>1300</v>
      </c>
    </row>
    <row r="207" spans="1:5" x14ac:dyDescent="0.25">
      <c r="A207" s="2">
        <v>45205</v>
      </c>
      <c r="B207" s="1">
        <v>0.80555555555555558</v>
      </c>
      <c r="C207" t="s">
        <v>1580</v>
      </c>
      <c r="D207">
        <v>110</v>
      </c>
      <c r="E207" t="s">
        <v>1300</v>
      </c>
    </row>
    <row r="208" spans="1:5" x14ac:dyDescent="0.25">
      <c r="A208" s="2">
        <v>45205</v>
      </c>
      <c r="B208" s="1">
        <v>0.17847222222222223</v>
      </c>
      <c r="C208" t="s">
        <v>1079</v>
      </c>
      <c r="D208">
        <v>42</v>
      </c>
      <c r="E208" t="s">
        <v>1303</v>
      </c>
    </row>
    <row r="209" spans="1:5" x14ac:dyDescent="0.25">
      <c r="A209" s="2">
        <v>45205</v>
      </c>
      <c r="B209" s="1">
        <v>0.8305555555555556</v>
      </c>
      <c r="C209" t="s">
        <v>1242</v>
      </c>
      <c r="D209">
        <v>52</v>
      </c>
      <c r="E209" t="s">
        <v>1300</v>
      </c>
    </row>
    <row r="210" spans="1:5" x14ac:dyDescent="0.25">
      <c r="A210" s="2">
        <v>45205</v>
      </c>
      <c r="B210" s="1">
        <v>0.16944444444444445</v>
      </c>
      <c r="C210" t="s">
        <v>1007</v>
      </c>
      <c r="D210">
        <v>18</v>
      </c>
      <c r="E210" t="s">
        <v>1303</v>
      </c>
    </row>
    <row r="211" spans="1:5" x14ac:dyDescent="0.25">
      <c r="A211" s="2">
        <v>45205</v>
      </c>
      <c r="B211" s="1">
        <v>0.11041666666666666</v>
      </c>
      <c r="C211" t="s">
        <v>1318</v>
      </c>
      <c r="D211">
        <v>104</v>
      </c>
      <c r="E211" t="s">
        <v>1300</v>
      </c>
    </row>
    <row r="212" spans="1:5" x14ac:dyDescent="0.25">
      <c r="A212" s="2">
        <v>45205</v>
      </c>
      <c r="B212" s="1">
        <v>0.6</v>
      </c>
      <c r="C212" t="s">
        <v>1320</v>
      </c>
      <c r="D212">
        <v>19</v>
      </c>
      <c r="E212" t="s">
        <v>1303</v>
      </c>
    </row>
    <row r="213" spans="1:5" x14ac:dyDescent="0.25">
      <c r="A213" s="2">
        <v>45205</v>
      </c>
      <c r="B213" s="1">
        <v>0.72916666666666663</v>
      </c>
      <c r="C213" t="s">
        <v>1060</v>
      </c>
      <c r="D213">
        <v>106</v>
      </c>
      <c r="E213" t="s">
        <v>1305</v>
      </c>
    </row>
    <row r="214" spans="1:5" x14ac:dyDescent="0.25">
      <c r="A214" s="2">
        <v>45205</v>
      </c>
      <c r="B214" s="1">
        <v>0.65069444444444446</v>
      </c>
      <c r="C214" t="s">
        <v>946</v>
      </c>
      <c r="D214">
        <v>63</v>
      </c>
      <c r="E214" t="s">
        <v>1300</v>
      </c>
    </row>
    <row r="215" spans="1:5" x14ac:dyDescent="0.25">
      <c r="A215" s="2">
        <v>45205</v>
      </c>
      <c r="B215" s="1">
        <v>0.35347222222222224</v>
      </c>
      <c r="C215" t="s">
        <v>1104</v>
      </c>
      <c r="D215">
        <v>52</v>
      </c>
      <c r="E215" t="s">
        <v>1303</v>
      </c>
    </row>
    <row r="216" spans="1:5" x14ac:dyDescent="0.25">
      <c r="A216" s="2">
        <v>45205</v>
      </c>
      <c r="B216" s="1">
        <v>0.58611111111111114</v>
      </c>
      <c r="C216" t="s">
        <v>1586</v>
      </c>
      <c r="D216">
        <v>89</v>
      </c>
      <c r="E216" t="s">
        <v>1305</v>
      </c>
    </row>
    <row r="217" spans="1:5" x14ac:dyDescent="0.25">
      <c r="A217" s="2">
        <v>45205</v>
      </c>
      <c r="B217" s="1">
        <v>0.19166666666666668</v>
      </c>
      <c r="C217" t="s">
        <v>1147</v>
      </c>
      <c r="D217">
        <v>34</v>
      </c>
      <c r="E217" t="s">
        <v>1300</v>
      </c>
    </row>
    <row r="218" spans="1:5" x14ac:dyDescent="0.25">
      <c r="A218" s="2">
        <v>45206</v>
      </c>
      <c r="B218" s="1">
        <v>0.3840277777777778</v>
      </c>
      <c r="C218" t="s">
        <v>1337</v>
      </c>
      <c r="D218">
        <v>109</v>
      </c>
      <c r="E218" t="s">
        <v>1305</v>
      </c>
    </row>
    <row r="219" spans="1:5" x14ac:dyDescent="0.25">
      <c r="A219" s="2">
        <v>45206</v>
      </c>
      <c r="B219" s="1">
        <v>0.57222222222222219</v>
      </c>
      <c r="C219" t="s">
        <v>1459</v>
      </c>
      <c r="D219">
        <v>10</v>
      </c>
      <c r="E219" t="s">
        <v>1300</v>
      </c>
    </row>
    <row r="220" spans="1:5" x14ac:dyDescent="0.25">
      <c r="A220" s="2">
        <v>45206</v>
      </c>
      <c r="B220" s="1">
        <v>0.23333333333333334</v>
      </c>
      <c r="C220" t="s">
        <v>1056</v>
      </c>
      <c r="D220">
        <v>26</v>
      </c>
      <c r="E220" t="s">
        <v>1305</v>
      </c>
    </row>
    <row r="221" spans="1:5" x14ac:dyDescent="0.25">
      <c r="A221" s="2">
        <v>45206</v>
      </c>
      <c r="B221" s="1">
        <v>0.27361111111111114</v>
      </c>
      <c r="C221" t="s">
        <v>1332</v>
      </c>
      <c r="D221">
        <v>117</v>
      </c>
      <c r="E221" t="s">
        <v>1305</v>
      </c>
    </row>
    <row r="222" spans="1:5" x14ac:dyDescent="0.25">
      <c r="A222" s="2">
        <v>45206</v>
      </c>
      <c r="B222" s="1">
        <v>0.85763888888888884</v>
      </c>
      <c r="C222" t="s">
        <v>1257</v>
      </c>
      <c r="D222">
        <v>45</v>
      </c>
      <c r="E222" t="s">
        <v>1305</v>
      </c>
    </row>
    <row r="223" spans="1:5" x14ac:dyDescent="0.25">
      <c r="A223" s="2">
        <v>45206</v>
      </c>
      <c r="B223" s="1">
        <v>0.2590277777777778</v>
      </c>
      <c r="C223" t="s">
        <v>1624</v>
      </c>
      <c r="D223">
        <v>104</v>
      </c>
      <c r="E223" t="s">
        <v>1300</v>
      </c>
    </row>
    <row r="224" spans="1:5" x14ac:dyDescent="0.25">
      <c r="A224" s="2">
        <v>45206</v>
      </c>
      <c r="B224" s="1">
        <v>0.95694444444444449</v>
      </c>
      <c r="C224" t="s">
        <v>1284</v>
      </c>
      <c r="D224">
        <v>32</v>
      </c>
      <c r="E224" t="s">
        <v>1303</v>
      </c>
    </row>
    <row r="225" spans="1:5" x14ac:dyDescent="0.25">
      <c r="A225" s="2">
        <v>45206</v>
      </c>
      <c r="B225" s="1">
        <v>0.9194444444444444</v>
      </c>
      <c r="C225" t="s">
        <v>967</v>
      </c>
      <c r="D225">
        <v>13</v>
      </c>
      <c r="E225" t="s">
        <v>1303</v>
      </c>
    </row>
    <row r="226" spans="1:5" x14ac:dyDescent="0.25">
      <c r="A226" s="2">
        <v>45206</v>
      </c>
      <c r="B226" s="1">
        <v>0.36666666666666664</v>
      </c>
      <c r="C226" t="s">
        <v>1628</v>
      </c>
      <c r="D226">
        <v>30</v>
      </c>
      <c r="E226" t="s">
        <v>1305</v>
      </c>
    </row>
    <row r="227" spans="1:5" x14ac:dyDescent="0.25">
      <c r="A227" s="2">
        <v>45206</v>
      </c>
      <c r="B227" s="1">
        <v>0.6875</v>
      </c>
      <c r="C227" t="s">
        <v>1144</v>
      </c>
      <c r="D227">
        <v>76</v>
      </c>
      <c r="E227" t="s">
        <v>1305</v>
      </c>
    </row>
    <row r="228" spans="1:5" x14ac:dyDescent="0.25">
      <c r="A228" s="2">
        <v>45206</v>
      </c>
      <c r="B228" s="1">
        <v>0.5395833333333333</v>
      </c>
      <c r="C228" t="s">
        <v>1048</v>
      </c>
      <c r="D228">
        <v>43</v>
      </c>
      <c r="E228" t="s">
        <v>1300</v>
      </c>
    </row>
    <row r="229" spans="1:5" x14ac:dyDescent="0.25">
      <c r="A229" s="2">
        <v>45206</v>
      </c>
      <c r="B229" s="1">
        <v>0.51597222222222228</v>
      </c>
      <c r="C229" t="s">
        <v>1228</v>
      </c>
      <c r="D229">
        <v>108</v>
      </c>
      <c r="E229" t="s">
        <v>1300</v>
      </c>
    </row>
    <row r="230" spans="1:5" x14ac:dyDescent="0.25">
      <c r="A230" s="2">
        <v>45206</v>
      </c>
      <c r="B230" s="1">
        <v>0.56388888888888888</v>
      </c>
      <c r="C230" t="s">
        <v>1073</v>
      </c>
      <c r="D230">
        <v>37</v>
      </c>
      <c r="E230" t="s">
        <v>1300</v>
      </c>
    </row>
    <row r="231" spans="1:5" x14ac:dyDescent="0.25">
      <c r="A231" s="2">
        <v>45206</v>
      </c>
      <c r="B231" s="1">
        <v>0.1673611111111111</v>
      </c>
      <c r="C231" t="s">
        <v>921</v>
      </c>
      <c r="D231">
        <v>64</v>
      </c>
      <c r="E231" t="s">
        <v>1303</v>
      </c>
    </row>
    <row r="232" spans="1:5" x14ac:dyDescent="0.25">
      <c r="A232" s="2">
        <v>45206</v>
      </c>
      <c r="B232" s="1">
        <v>0.97430555555555554</v>
      </c>
      <c r="C232" t="s">
        <v>1035</v>
      </c>
      <c r="D232">
        <v>53</v>
      </c>
      <c r="E232" t="s">
        <v>1303</v>
      </c>
    </row>
    <row r="233" spans="1:5" x14ac:dyDescent="0.25">
      <c r="A233" s="2">
        <v>45206</v>
      </c>
      <c r="B233" s="1">
        <v>0.90277777777777779</v>
      </c>
      <c r="C233" t="s">
        <v>1633</v>
      </c>
      <c r="D233">
        <v>75</v>
      </c>
      <c r="E233" t="s">
        <v>1305</v>
      </c>
    </row>
    <row r="234" spans="1:5" x14ac:dyDescent="0.25">
      <c r="A234" s="2">
        <v>45206</v>
      </c>
      <c r="B234" s="1">
        <v>0.28680555555555554</v>
      </c>
      <c r="C234" t="s">
        <v>1199</v>
      </c>
      <c r="D234">
        <v>96</v>
      </c>
      <c r="E234" t="s">
        <v>1303</v>
      </c>
    </row>
    <row r="235" spans="1:5" x14ac:dyDescent="0.25">
      <c r="A235" s="2">
        <v>45206</v>
      </c>
      <c r="B235" s="1">
        <v>2.7083333333333334E-2</v>
      </c>
      <c r="C235" t="s">
        <v>1038</v>
      </c>
      <c r="D235">
        <v>36</v>
      </c>
      <c r="E235" t="s">
        <v>1305</v>
      </c>
    </row>
    <row r="236" spans="1:5" x14ac:dyDescent="0.25">
      <c r="A236" s="2">
        <v>45206</v>
      </c>
      <c r="B236" s="1">
        <v>0.36249999999999999</v>
      </c>
      <c r="C236" t="s">
        <v>891</v>
      </c>
      <c r="D236">
        <v>60</v>
      </c>
      <c r="E236" t="s">
        <v>1305</v>
      </c>
    </row>
    <row r="237" spans="1:5" x14ac:dyDescent="0.25">
      <c r="A237" s="2">
        <v>45206</v>
      </c>
      <c r="B237" s="1">
        <v>0.63680555555555551</v>
      </c>
      <c r="C237" t="s">
        <v>1091</v>
      </c>
      <c r="D237">
        <v>32</v>
      </c>
      <c r="E237" t="s">
        <v>1305</v>
      </c>
    </row>
    <row r="238" spans="1:5" x14ac:dyDescent="0.25">
      <c r="A238" s="2">
        <v>45206</v>
      </c>
      <c r="B238" s="1">
        <v>0.43472222222222223</v>
      </c>
      <c r="C238" t="s">
        <v>1315</v>
      </c>
      <c r="D238">
        <v>98</v>
      </c>
      <c r="E238" t="s">
        <v>1300</v>
      </c>
    </row>
    <row r="239" spans="1:5" x14ac:dyDescent="0.25">
      <c r="A239" s="2">
        <v>45206</v>
      </c>
      <c r="B239" s="1">
        <v>0.36666666666666664</v>
      </c>
      <c r="C239" t="s">
        <v>1404</v>
      </c>
      <c r="D239">
        <v>69</v>
      </c>
      <c r="E239" t="s">
        <v>1303</v>
      </c>
    </row>
    <row r="240" spans="1:5" x14ac:dyDescent="0.25">
      <c r="A240" s="2">
        <v>45206</v>
      </c>
      <c r="B240" s="1">
        <v>0.7680555555555556</v>
      </c>
      <c r="C240" t="s">
        <v>1481</v>
      </c>
      <c r="D240">
        <v>35</v>
      </c>
      <c r="E240" t="s">
        <v>1305</v>
      </c>
    </row>
    <row r="241" spans="1:5" x14ac:dyDescent="0.25">
      <c r="A241" s="2">
        <v>45206</v>
      </c>
      <c r="B241" s="1">
        <v>0.16250000000000001</v>
      </c>
      <c r="C241" t="s">
        <v>1426</v>
      </c>
      <c r="D241">
        <v>69</v>
      </c>
      <c r="E241" t="s">
        <v>1300</v>
      </c>
    </row>
    <row r="242" spans="1:5" x14ac:dyDescent="0.25">
      <c r="A242" s="2">
        <v>45206</v>
      </c>
      <c r="B242" s="1">
        <v>0.47222222222222221</v>
      </c>
      <c r="C242" t="s">
        <v>1512</v>
      </c>
      <c r="D242">
        <v>69</v>
      </c>
      <c r="E242" t="s">
        <v>1305</v>
      </c>
    </row>
    <row r="243" spans="1:5" x14ac:dyDescent="0.25">
      <c r="A243" s="2">
        <v>45206</v>
      </c>
      <c r="B243" s="1">
        <v>0.44305555555555554</v>
      </c>
      <c r="C243" t="s">
        <v>1052</v>
      </c>
      <c r="D243">
        <v>48</v>
      </c>
      <c r="E243" t="s">
        <v>1305</v>
      </c>
    </row>
    <row r="244" spans="1:5" x14ac:dyDescent="0.25">
      <c r="A244" s="2">
        <v>45207</v>
      </c>
      <c r="B244" s="1">
        <v>0.71388888888888891</v>
      </c>
      <c r="C244" t="s">
        <v>1417</v>
      </c>
      <c r="D244">
        <v>99</v>
      </c>
      <c r="E244" t="s">
        <v>1303</v>
      </c>
    </row>
    <row r="245" spans="1:5" x14ac:dyDescent="0.25">
      <c r="A245" s="2">
        <v>45207</v>
      </c>
      <c r="B245" s="1">
        <v>0.37986111111111109</v>
      </c>
      <c r="C245" t="s">
        <v>1419</v>
      </c>
      <c r="D245">
        <v>118</v>
      </c>
      <c r="E245" t="s">
        <v>1305</v>
      </c>
    </row>
    <row r="246" spans="1:5" x14ac:dyDescent="0.25">
      <c r="A246" s="2">
        <v>45207</v>
      </c>
      <c r="B246" s="1">
        <v>0.57916666666666672</v>
      </c>
      <c r="C246" t="s">
        <v>1071</v>
      </c>
      <c r="D246">
        <v>68</v>
      </c>
      <c r="E246" t="s">
        <v>1300</v>
      </c>
    </row>
    <row r="247" spans="1:5" x14ac:dyDescent="0.25">
      <c r="A247" s="2">
        <v>45207</v>
      </c>
      <c r="B247" s="1">
        <v>1.1111111111111112E-2</v>
      </c>
      <c r="C247" t="s">
        <v>953</v>
      </c>
      <c r="D247">
        <v>32</v>
      </c>
      <c r="E247" t="s">
        <v>1300</v>
      </c>
    </row>
    <row r="248" spans="1:5" x14ac:dyDescent="0.25">
      <c r="A248" s="2">
        <v>45207</v>
      </c>
      <c r="B248" s="1">
        <v>0.40625</v>
      </c>
      <c r="C248" t="s">
        <v>1336</v>
      </c>
      <c r="D248">
        <v>49</v>
      </c>
      <c r="E248" t="s">
        <v>1303</v>
      </c>
    </row>
    <row r="249" spans="1:5" x14ac:dyDescent="0.25">
      <c r="A249" s="2">
        <v>45207</v>
      </c>
      <c r="B249" s="1">
        <v>0.7729166666666667</v>
      </c>
      <c r="C249" t="s">
        <v>1511</v>
      </c>
      <c r="D249">
        <v>55</v>
      </c>
      <c r="E249" t="s">
        <v>1303</v>
      </c>
    </row>
    <row r="250" spans="1:5" x14ac:dyDescent="0.25">
      <c r="A250" s="2">
        <v>45207</v>
      </c>
      <c r="B250" s="1">
        <v>0.9555555555555556</v>
      </c>
      <c r="C250" t="s">
        <v>1119</v>
      </c>
      <c r="D250">
        <v>73</v>
      </c>
      <c r="E250" t="s">
        <v>1303</v>
      </c>
    </row>
    <row r="251" spans="1:5" x14ac:dyDescent="0.25">
      <c r="A251" s="2">
        <v>45207</v>
      </c>
      <c r="B251" s="1">
        <v>0.35069444444444442</v>
      </c>
      <c r="C251" t="s">
        <v>1622</v>
      </c>
      <c r="D251">
        <v>75</v>
      </c>
      <c r="E251" t="s">
        <v>1305</v>
      </c>
    </row>
    <row r="252" spans="1:5" x14ac:dyDescent="0.25">
      <c r="A252" s="2">
        <v>45207</v>
      </c>
      <c r="B252" s="1">
        <v>0.17291666666666666</v>
      </c>
      <c r="C252" t="s">
        <v>1453</v>
      </c>
      <c r="D252">
        <v>73</v>
      </c>
      <c r="E252" t="s">
        <v>1305</v>
      </c>
    </row>
    <row r="253" spans="1:5" x14ac:dyDescent="0.25">
      <c r="A253" s="2">
        <v>45207</v>
      </c>
      <c r="B253" s="1">
        <v>0.59930555555555554</v>
      </c>
      <c r="C253" t="s">
        <v>1277</v>
      </c>
      <c r="D253">
        <v>59</v>
      </c>
      <c r="E253" t="s">
        <v>1300</v>
      </c>
    </row>
    <row r="254" spans="1:5" x14ac:dyDescent="0.25">
      <c r="A254" s="2">
        <v>45207</v>
      </c>
      <c r="B254" s="1">
        <v>0.52638888888888891</v>
      </c>
      <c r="C254" t="s">
        <v>851</v>
      </c>
      <c r="D254">
        <v>78</v>
      </c>
      <c r="E254" t="s">
        <v>1305</v>
      </c>
    </row>
    <row r="255" spans="1:5" x14ac:dyDescent="0.25">
      <c r="A255" s="2">
        <v>45207</v>
      </c>
      <c r="B255" s="1">
        <v>0.12708333333333333</v>
      </c>
      <c r="C255" t="s">
        <v>922</v>
      </c>
      <c r="D255">
        <v>38</v>
      </c>
      <c r="E255" t="s">
        <v>1300</v>
      </c>
    </row>
    <row r="256" spans="1:5" x14ac:dyDescent="0.25">
      <c r="A256" s="2">
        <v>45207</v>
      </c>
      <c r="B256" s="1">
        <v>0.84583333333333333</v>
      </c>
      <c r="C256" t="s">
        <v>1402</v>
      </c>
      <c r="D256">
        <v>12</v>
      </c>
      <c r="E256" t="s">
        <v>1305</v>
      </c>
    </row>
    <row r="257" spans="1:5" x14ac:dyDescent="0.25">
      <c r="A257" s="2">
        <v>45207</v>
      </c>
      <c r="B257" s="1">
        <v>0.14027777777777778</v>
      </c>
      <c r="C257" t="s">
        <v>909</v>
      </c>
      <c r="D257">
        <v>46</v>
      </c>
      <c r="E257" t="s">
        <v>1303</v>
      </c>
    </row>
    <row r="258" spans="1:5" x14ac:dyDescent="0.25">
      <c r="A258" s="2">
        <v>45207</v>
      </c>
      <c r="B258" s="1">
        <v>0.98263888888888884</v>
      </c>
      <c r="C258" t="s">
        <v>1115</v>
      </c>
      <c r="D258">
        <v>25</v>
      </c>
      <c r="E258" t="s">
        <v>1305</v>
      </c>
    </row>
    <row r="259" spans="1:5" x14ac:dyDescent="0.25">
      <c r="A259" s="2">
        <v>45207</v>
      </c>
      <c r="B259" s="1">
        <v>0.9604166666666667</v>
      </c>
      <c r="C259" t="s">
        <v>1135</v>
      </c>
      <c r="D259">
        <v>23</v>
      </c>
      <c r="E259" t="s">
        <v>1305</v>
      </c>
    </row>
    <row r="260" spans="1:5" x14ac:dyDescent="0.25">
      <c r="A260" s="2">
        <v>45207</v>
      </c>
      <c r="B260" s="1">
        <v>0.19930555555555557</v>
      </c>
      <c r="C260" t="s">
        <v>1597</v>
      </c>
      <c r="D260">
        <v>28</v>
      </c>
      <c r="E260" t="s">
        <v>1303</v>
      </c>
    </row>
    <row r="261" spans="1:5" x14ac:dyDescent="0.25">
      <c r="A261" s="2">
        <v>45207</v>
      </c>
      <c r="B261" s="1">
        <v>0.54305555555555551</v>
      </c>
      <c r="C261" t="s">
        <v>1396</v>
      </c>
      <c r="D261">
        <v>54</v>
      </c>
      <c r="E261" t="s">
        <v>1300</v>
      </c>
    </row>
    <row r="262" spans="1:5" x14ac:dyDescent="0.25">
      <c r="A262" s="2">
        <v>45207</v>
      </c>
      <c r="B262" s="1">
        <v>0.13333333333333333</v>
      </c>
      <c r="C262" t="s">
        <v>847</v>
      </c>
      <c r="D262">
        <v>66</v>
      </c>
      <c r="E262" t="s">
        <v>1303</v>
      </c>
    </row>
    <row r="263" spans="1:5" x14ac:dyDescent="0.25">
      <c r="A263" s="2">
        <v>45207</v>
      </c>
      <c r="B263" s="1">
        <v>0.36805555555555558</v>
      </c>
      <c r="C263" t="s">
        <v>1110</v>
      </c>
      <c r="D263">
        <v>46</v>
      </c>
      <c r="E263" t="s">
        <v>1300</v>
      </c>
    </row>
    <row r="264" spans="1:5" x14ac:dyDescent="0.25">
      <c r="A264" s="2">
        <v>45207</v>
      </c>
      <c r="B264" s="1">
        <v>0.30486111111111114</v>
      </c>
      <c r="C264" t="s">
        <v>1304</v>
      </c>
      <c r="D264">
        <v>50</v>
      </c>
      <c r="E264" t="s">
        <v>1303</v>
      </c>
    </row>
    <row r="265" spans="1:5" x14ac:dyDescent="0.25">
      <c r="A265" s="2">
        <v>45207</v>
      </c>
      <c r="B265" s="1">
        <v>0.70138888888888884</v>
      </c>
      <c r="C265" t="s">
        <v>1232</v>
      </c>
      <c r="D265">
        <v>27</v>
      </c>
      <c r="E265" t="s">
        <v>1305</v>
      </c>
    </row>
    <row r="266" spans="1:5" x14ac:dyDescent="0.25">
      <c r="A266" s="2">
        <v>45207</v>
      </c>
      <c r="B266" s="1">
        <v>0.61111111111111116</v>
      </c>
      <c r="C266" t="s">
        <v>1351</v>
      </c>
      <c r="D266">
        <v>107</v>
      </c>
      <c r="E266" t="s">
        <v>1303</v>
      </c>
    </row>
    <row r="267" spans="1:5" x14ac:dyDescent="0.25">
      <c r="A267" s="2">
        <v>45207</v>
      </c>
      <c r="B267" s="1">
        <v>0.90833333333333333</v>
      </c>
      <c r="C267" t="s">
        <v>1497</v>
      </c>
      <c r="D267">
        <v>103</v>
      </c>
      <c r="E267" t="s">
        <v>1300</v>
      </c>
    </row>
    <row r="268" spans="1:5" x14ac:dyDescent="0.25">
      <c r="A268" s="2">
        <v>45207</v>
      </c>
      <c r="B268" s="1">
        <v>0.10277777777777777</v>
      </c>
      <c r="C268" t="s">
        <v>905</v>
      </c>
      <c r="D268">
        <v>41</v>
      </c>
      <c r="E268" t="s">
        <v>1300</v>
      </c>
    </row>
    <row r="269" spans="1:5" x14ac:dyDescent="0.25">
      <c r="A269" s="2">
        <v>45207</v>
      </c>
      <c r="B269" s="1">
        <v>0.14930555555555555</v>
      </c>
      <c r="C269" t="s">
        <v>1126</v>
      </c>
      <c r="D269">
        <v>101</v>
      </c>
      <c r="E269" t="s">
        <v>1305</v>
      </c>
    </row>
    <row r="270" spans="1:5" x14ac:dyDescent="0.25">
      <c r="A270" s="2">
        <v>45207</v>
      </c>
      <c r="B270" s="1">
        <v>0.12430555555555556</v>
      </c>
      <c r="C270" t="s">
        <v>1552</v>
      </c>
      <c r="D270">
        <v>77</v>
      </c>
      <c r="E270" t="s">
        <v>1305</v>
      </c>
    </row>
    <row r="271" spans="1:5" x14ac:dyDescent="0.25">
      <c r="A271" s="2">
        <v>45207</v>
      </c>
      <c r="B271" s="1">
        <v>7.0833333333333331E-2</v>
      </c>
      <c r="C271" t="s">
        <v>994</v>
      </c>
      <c r="D271">
        <v>94</v>
      </c>
      <c r="E271" t="s">
        <v>1303</v>
      </c>
    </row>
    <row r="272" spans="1:5" x14ac:dyDescent="0.25">
      <c r="A272" s="2">
        <v>45207</v>
      </c>
      <c r="B272" s="1">
        <v>0.9194444444444444</v>
      </c>
      <c r="C272" t="s">
        <v>1583</v>
      </c>
      <c r="D272">
        <v>42</v>
      </c>
      <c r="E272" t="s">
        <v>1300</v>
      </c>
    </row>
    <row r="273" spans="1:5" x14ac:dyDescent="0.25">
      <c r="A273" s="2">
        <v>45207</v>
      </c>
      <c r="B273" s="1">
        <v>0.98750000000000004</v>
      </c>
      <c r="C273" t="s">
        <v>854</v>
      </c>
      <c r="D273">
        <v>15</v>
      </c>
      <c r="E273" t="s">
        <v>1303</v>
      </c>
    </row>
    <row r="274" spans="1:5" x14ac:dyDescent="0.25">
      <c r="A274" s="2">
        <v>45207</v>
      </c>
      <c r="B274" s="1">
        <v>0.52500000000000002</v>
      </c>
      <c r="C274" t="s">
        <v>1514</v>
      </c>
      <c r="D274">
        <v>83</v>
      </c>
      <c r="E274" t="s">
        <v>1300</v>
      </c>
    </row>
    <row r="275" spans="1:5" x14ac:dyDescent="0.25">
      <c r="A275" s="2">
        <v>45207</v>
      </c>
      <c r="B275" s="1">
        <v>0.47222222222222221</v>
      </c>
      <c r="C275" t="s">
        <v>1581</v>
      </c>
      <c r="D275">
        <v>30</v>
      </c>
      <c r="E275" t="s">
        <v>1305</v>
      </c>
    </row>
    <row r="276" spans="1:5" x14ac:dyDescent="0.25">
      <c r="A276" s="2">
        <v>45207</v>
      </c>
      <c r="B276" s="1">
        <v>0.34236111111111112</v>
      </c>
      <c r="C276" t="s">
        <v>821</v>
      </c>
      <c r="D276">
        <v>28</v>
      </c>
      <c r="E276" t="s">
        <v>1300</v>
      </c>
    </row>
    <row r="277" spans="1:5" x14ac:dyDescent="0.25">
      <c r="A277" s="2">
        <v>45207</v>
      </c>
      <c r="B277" s="1">
        <v>0.66805555555555551</v>
      </c>
      <c r="C277" t="s">
        <v>857</v>
      </c>
      <c r="D277">
        <v>113</v>
      </c>
      <c r="E277" t="s">
        <v>1300</v>
      </c>
    </row>
    <row r="278" spans="1:5" x14ac:dyDescent="0.25">
      <c r="A278" s="2">
        <v>45207</v>
      </c>
      <c r="B278" s="1">
        <v>7.4305555555555555E-2</v>
      </c>
      <c r="C278" t="s">
        <v>857</v>
      </c>
      <c r="D278">
        <v>57</v>
      </c>
      <c r="E278" t="s">
        <v>1300</v>
      </c>
    </row>
    <row r="279" spans="1:5" x14ac:dyDescent="0.25">
      <c r="A279" s="2">
        <v>45208</v>
      </c>
      <c r="B279" s="1">
        <v>0.17222222222222222</v>
      </c>
      <c r="C279" t="s">
        <v>1328</v>
      </c>
      <c r="D279">
        <v>87</v>
      </c>
      <c r="E279" t="s">
        <v>1300</v>
      </c>
    </row>
    <row r="280" spans="1:5" x14ac:dyDescent="0.25">
      <c r="A280" s="2">
        <v>45208</v>
      </c>
      <c r="B280" s="1">
        <v>0.96180555555555558</v>
      </c>
      <c r="C280" t="s">
        <v>1113</v>
      </c>
      <c r="D280">
        <v>68</v>
      </c>
      <c r="E280" t="s">
        <v>1300</v>
      </c>
    </row>
    <row r="281" spans="1:5" x14ac:dyDescent="0.25">
      <c r="A281" s="2">
        <v>45208</v>
      </c>
      <c r="B281" s="1">
        <v>7.4999999999999997E-2</v>
      </c>
      <c r="C281" t="s">
        <v>1425</v>
      </c>
      <c r="D281">
        <v>82</v>
      </c>
      <c r="E281" t="s">
        <v>1305</v>
      </c>
    </row>
    <row r="282" spans="1:5" x14ac:dyDescent="0.25">
      <c r="A282" s="2">
        <v>45208</v>
      </c>
      <c r="B282" s="1">
        <v>0.30138888888888887</v>
      </c>
      <c r="C282" t="s">
        <v>1301</v>
      </c>
      <c r="D282">
        <v>38</v>
      </c>
      <c r="E282" t="s">
        <v>1300</v>
      </c>
    </row>
    <row r="283" spans="1:5" x14ac:dyDescent="0.25">
      <c r="A283" s="2">
        <v>45208</v>
      </c>
      <c r="B283" s="1">
        <v>0.19444444444444445</v>
      </c>
      <c r="C283" t="s">
        <v>1476</v>
      </c>
      <c r="D283">
        <v>98</v>
      </c>
      <c r="E283" t="s">
        <v>1303</v>
      </c>
    </row>
    <row r="284" spans="1:5" x14ac:dyDescent="0.25">
      <c r="A284" s="2">
        <v>45208</v>
      </c>
      <c r="B284" s="1">
        <v>0.86388888888888893</v>
      </c>
      <c r="C284" t="s">
        <v>1276</v>
      </c>
      <c r="D284">
        <v>92</v>
      </c>
      <c r="E284" t="s">
        <v>1300</v>
      </c>
    </row>
    <row r="285" spans="1:5" x14ac:dyDescent="0.25">
      <c r="A285" s="2">
        <v>45208</v>
      </c>
      <c r="B285" s="1">
        <v>0.50624999999999998</v>
      </c>
      <c r="C285" t="s">
        <v>1591</v>
      </c>
      <c r="D285">
        <v>91</v>
      </c>
      <c r="E285" t="s">
        <v>1305</v>
      </c>
    </row>
    <row r="286" spans="1:5" x14ac:dyDescent="0.25">
      <c r="A286" s="2">
        <v>45208</v>
      </c>
      <c r="B286" s="1">
        <v>0.27916666666666667</v>
      </c>
      <c r="C286" t="s">
        <v>1008</v>
      </c>
      <c r="D286">
        <v>41</v>
      </c>
      <c r="E286" t="s">
        <v>1303</v>
      </c>
    </row>
    <row r="287" spans="1:5" x14ac:dyDescent="0.25">
      <c r="A287" s="2">
        <v>45208</v>
      </c>
      <c r="B287" s="1">
        <v>0.95902777777777781</v>
      </c>
      <c r="C287" t="s">
        <v>991</v>
      </c>
      <c r="D287">
        <v>98</v>
      </c>
      <c r="E287" t="s">
        <v>1305</v>
      </c>
    </row>
    <row r="288" spans="1:5" x14ac:dyDescent="0.25">
      <c r="A288" s="2">
        <v>45208</v>
      </c>
      <c r="B288" s="1">
        <v>0.55833333333333335</v>
      </c>
      <c r="C288" t="s">
        <v>1212</v>
      </c>
      <c r="D288">
        <v>44</v>
      </c>
      <c r="E288" t="s">
        <v>1305</v>
      </c>
    </row>
    <row r="289" spans="1:5" x14ac:dyDescent="0.25">
      <c r="A289" s="2">
        <v>45208</v>
      </c>
      <c r="B289" s="1">
        <v>7.2916666666666671E-2</v>
      </c>
      <c r="C289" t="s">
        <v>964</v>
      </c>
      <c r="D289">
        <v>68</v>
      </c>
      <c r="E289" t="s">
        <v>1300</v>
      </c>
    </row>
    <row r="290" spans="1:5" x14ac:dyDescent="0.25">
      <c r="A290" s="2">
        <v>45208</v>
      </c>
      <c r="B290" s="1">
        <v>0.52986111111111112</v>
      </c>
      <c r="C290" t="s">
        <v>1507</v>
      </c>
      <c r="D290">
        <v>72</v>
      </c>
      <c r="E290" t="s">
        <v>1305</v>
      </c>
    </row>
    <row r="291" spans="1:5" x14ac:dyDescent="0.25">
      <c r="A291" s="2">
        <v>45208</v>
      </c>
      <c r="B291" s="1">
        <v>0.16944444444444445</v>
      </c>
      <c r="C291" t="s">
        <v>1244</v>
      </c>
      <c r="D291">
        <v>47</v>
      </c>
      <c r="E291" t="s">
        <v>1300</v>
      </c>
    </row>
    <row r="292" spans="1:5" x14ac:dyDescent="0.25">
      <c r="A292" s="2">
        <v>45208</v>
      </c>
      <c r="B292" s="1">
        <v>0.50555555555555554</v>
      </c>
      <c r="C292" t="s">
        <v>1343</v>
      </c>
      <c r="D292">
        <v>31</v>
      </c>
      <c r="E292" t="s">
        <v>1305</v>
      </c>
    </row>
    <row r="293" spans="1:5" x14ac:dyDescent="0.25">
      <c r="A293" s="2">
        <v>45208</v>
      </c>
      <c r="B293" s="1">
        <v>7.3611111111111113E-2</v>
      </c>
      <c r="C293" t="s">
        <v>818</v>
      </c>
      <c r="D293">
        <v>85</v>
      </c>
      <c r="E293" t="s">
        <v>1303</v>
      </c>
    </row>
    <row r="294" spans="1:5" x14ac:dyDescent="0.25">
      <c r="A294" s="2">
        <v>45208</v>
      </c>
      <c r="B294" s="1">
        <v>0.59444444444444444</v>
      </c>
      <c r="C294" t="s">
        <v>1415</v>
      </c>
      <c r="D294">
        <v>50</v>
      </c>
      <c r="E294" t="s">
        <v>1300</v>
      </c>
    </row>
    <row r="295" spans="1:5" x14ac:dyDescent="0.25">
      <c r="A295" s="2">
        <v>45208</v>
      </c>
      <c r="B295" s="1">
        <v>0.71111111111111114</v>
      </c>
      <c r="C295" t="s">
        <v>1462</v>
      </c>
      <c r="D295">
        <v>75</v>
      </c>
      <c r="E295" t="s">
        <v>1303</v>
      </c>
    </row>
    <row r="296" spans="1:5" x14ac:dyDescent="0.25">
      <c r="A296" s="2">
        <v>45208</v>
      </c>
      <c r="B296" s="1">
        <v>4.7222222222222221E-2</v>
      </c>
      <c r="C296" t="s">
        <v>1327</v>
      </c>
      <c r="D296">
        <v>92</v>
      </c>
      <c r="E296" t="s">
        <v>1305</v>
      </c>
    </row>
    <row r="297" spans="1:5" x14ac:dyDescent="0.25">
      <c r="A297" s="2">
        <v>45208</v>
      </c>
      <c r="B297" s="1">
        <v>0.10833333333333334</v>
      </c>
      <c r="C297" t="s">
        <v>1230</v>
      </c>
      <c r="D297">
        <v>102</v>
      </c>
      <c r="E297" t="s">
        <v>1303</v>
      </c>
    </row>
    <row r="298" spans="1:5" x14ac:dyDescent="0.25">
      <c r="A298" s="2">
        <v>45208</v>
      </c>
      <c r="B298" s="1">
        <v>0.52847222222222223</v>
      </c>
      <c r="C298" t="s">
        <v>1126</v>
      </c>
      <c r="D298">
        <v>33</v>
      </c>
      <c r="E298" t="s">
        <v>1303</v>
      </c>
    </row>
    <row r="299" spans="1:5" x14ac:dyDescent="0.25">
      <c r="A299" s="2">
        <v>45208</v>
      </c>
      <c r="B299" s="1">
        <v>0.49444444444444446</v>
      </c>
      <c r="C299" t="s">
        <v>1457</v>
      </c>
      <c r="D299">
        <v>59</v>
      </c>
      <c r="E299" t="s">
        <v>1303</v>
      </c>
    </row>
    <row r="300" spans="1:5" x14ac:dyDescent="0.25">
      <c r="A300" s="2">
        <v>45208</v>
      </c>
      <c r="B300" s="1">
        <v>0.76249999999999996</v>
      </c>
      <c r="C300" t="s">
        <v>1601</v>
      </c>
      <c r="D300">
        <v>101</v>
      </c>
      <c r="E300" t="s">
        <v>1300</v>
      </c>
    </row>
    <row r="301" spans="1:5" x14ac:dyDescent="0.25">
      <c r="A301" s="2">
        <v>45208</v>
      </c>
      <c r="B301" s="1">
        <v>0.44374999999999998</v>
      </c>
      <c r="C301" t="s">
        <v>1170</v>
      </c>
      <c r="D301">
        <v>7</v>
      </c>
      <c r="E301" t="s">
        <v>1305</v>
      </c>
    </row>
    <row r="302" spans="1:5" x14ac:dyDescent="0.25">
      <c r="A302" s="2">
        <v>45208</v>
      </c>
      <c r="B302" s="1">
        <v>0.66249999999999998</v>
      </c>
      <c r="C302" t="s">
        <v>1594</v>
      </c>
      <c r="D302">
        <v>104</v>
      </c>
      <c r="E302" t="s">
        <v>1305</v>
      </c>
    </row>
    <row r="303" spans="1:5" x14ac:dyDescent="0.25">
      <c r="A303" s="2">
        <v>45208</v>
      </c>
      <c r="B303" s="1">
        <v>0.95763888888888893</v>
      </c>
      <c r="C303" t="s">
        <v>989</v>
      </c>
      <c r="D303">
        <v>115</v>
      </c>
      <c r="E303" t="s">
        <v>1300</v>
      </c>
    </row>
    <row r="304" spans="1:5" x14ac:dyDescent="0.25">
      <c r="A304" s="2">
        <v>45208</v>
      </c>
      <c r="B304" s="1">
        <v>8.4027777777777785E-2</v>
      </c>
      <c r="C304" t="s">
        <v>1571</v>
      </c>
      <c r="D304">
        <v>50</v>
      </c>
      <c r="E304" t="s">
        <v>1303</v>
      </c>
    </row>
    <row r="305" spans="1:5" x14ac:dyDescent="0.25">
      <c r="A305" s="2">
        <v>45209</v>
      </c>
      <c r="B305" s="1">
        <v>0.35486111111111113</v>
      </c>
      <c r="C305" t="s">
        <v>1182</v>
      </c>
      <c r="D305">
        <v>99</v>
      </c>
      <c r="E305" t="s">
        <v>1303</v>
      </c>
    </row>
    <row r="306" spans="1:5" x14ac:dyDescent="0.25">
      <c r="A306" s="2">
        <v>45209</v>
      </c>
      <c r="B306" s="1">
        <v>9.4444444444444442E-2</v>
      </c>
      <c r="C306" t="s">
        <v>1475</v>
      </c>
      <c r="D306">
        <v>96</v>
      </c>
      <c r="E306" t="s">
        <v>1300</v>
      </c>
    </row>
    <row r="307" spans="1:5" x14ac:dyDescent="0.25">
      <c r="A307" s="2">
        <v>45209</v>
      </c>
      <c r="B307" s="1">
        <v>0.32708333333333334</v>
      </c>
      <c r="C307" t="s">
        <v>938</v>
      </c>
      <c r="D307">
        <v>107</v>
      </c>
      <c r="E307" t="s">
        <v>1303</v>
      </c>
    </row>
    <row r="308" spans="1:5" x14ac:dyDescent="0.25">
      <c r="A308" s="2">
        <v>45209</v>
      </c>
      <c r="B308" s="1">
        <v>0.68402777777777779</v>
      </c>
      <c r="C308" t="s">
        <v>1389</v>
      </c>
      <c r="D308">
        <v>44</v>
      </c>
      <c r="E308" t="s">
        <v>1305</v>
      </c>
    </row>
    <row r="309" spans="1:5" x14ac:dyDescent="0.25">
      <c r="A309" s="2">
        <v>45209</v>
      </c>
      <c r="B309" s="1">
        <v>0.95486111111111116</v>
      </c>
      <c r="C309" t="s">
        <v>1386</v>
      </c>
      <c r="D309">
        <v>57</v>
      </c>
      <c r="E309" t="s">
        <v>1300</v>
      </c>
    </row>
    <row r="310" spans="1:5" x14ac:dyDescent="0.25">
      <c r="A310" s="2">
        <v>45209</v>
      </c>
      <c r="B310" s="1">
        <v>0.92152777777777772</v>
      </c>
      <c r="C310" t="s">
        <v>1127</v>
      </c>
      <c r="D310">
        <v>119</v>
      </c>
      <c r="E310" t="s">
        <v>1300</v>
      </c>
    </row>
    <row r="311" spans="1:5" x14ac:dyDescent="0.25">
      <c r="A311" s="2">
        <v>45209</v>
      </c>
      <c r="B311" s="1">
        <v>0.52430555555555558</v>
      </c>
      <c r="C311" t="s">
        <v>1289</v>
      </c>
      <c r="D311">
        <v>27</v>
      </c>
      <c r="E311" t="s">
        <v>1305</v>
      </c>
    </row>
    <row r="312" spans="1:5" x14ac:dyDescent="0.25">
      <c r="A312" s="2">
        <v>45209</v>
      </c>
      <c r="B312" s="1">
        <v>0.77708333333333335</v>
      </c>
      <c r="C312" t="s">
        <v>1111</v>
      </c>
      <c r="D312">
        <v>40</v>
      </c>
      <c r="E312" t="s">
        <v>1305</v>
      </c>
    </row>
    <row r="313" spans="1:5" x14ac:dyDescent="0.25">
      <c r="A313" s="2">
        <v>45209</v>
      </c>
      <c r="B313" s="1">
        <v>0.98888888888888893</v>
      </c>
      <c r="C313" t="s">
        <v>1547</v>
      </c>
      <c r="D313">
        <v>80</v>
      </c>
      <c r="E313" t="s">
        <v>1303</v>
      </c>
    </row>
    <row r="314" spans="1:5" x14ac:dyDescent="0.25">
      <c r="A314" s="2">
        <v>45209</v>
      </c>
      <c r="B314" s="1">
        <v>0.92569444444444449</v>
      </c>
      <c r="C314" t="s">
        <v>1492</v>
      </c>
      <c r="D314">
        <v>35</v>
      </c>
      <c r="E314" t="s">
        <v>1300</v>
      </c>
    </row>
    <row r="315" spans="1:5" x14ac:dyDescent="0.25">
      <c r="A315" s="2">
        <v>45209</v>
      </c>
      <c r="B315" s="1">
        <v>0.18333333333333332</v>
      </c>
      <c r="C315" t="s">
        <v>1551</v>
      </c>
      <c r="D315">
        <v>81</v>
      </c>
      <c r="E315" t="s">
        <v>1303</v>
      </c>
    </row>
    <row r="316" spans="1:5" x14ac:dyDescent="0.25">
      <c r="A316" s="2">
        <v>45209</v>
      </c>
      <c r="B316" s="1">
        <v>0.78194444444444444</v>
      </c>
      <c r="C316" t="s">
        <v>1479</v>
      </c>
      <c r="D316">
        <v>10</v>
      </c>
      <c r="E316" t="s">
        <v>1303</v>
      </c>
    </row>
    <row r="317" spans="1:5" x14ac:dyDescent="0.25">
      <c r="A317" s="2">
        <v>45209</v>
      </c>
      <c r="B317" s="1">
        <v>0.58819444444444446</v>
      </c>
      <c r="C317" t="s">
        <v>1362</v>
      </c>
      <c r="D317">
        <v>41</v>
      </c>
      <c r="E317" t="s">
        <v>1303</v>
      </c>
    </row>
    <row r="318" spans="1:5" x14ac:dyDescent="0.25">
      <c r="A318" s="2">
        <v>45209</v>
      </c>
      <c r="B318" s="1">
        <v>0.81527777777777777</v>
      </c>
      <c r="C318" t="s">
        <v>1345</v>
      </c>
      <c r="D318">
        <v>115</v>
      </c>
      <c r="E318" t="s">
        <v>1305</v>
      </c>
    </row>
    <row r="319" spans="1:5" x14ac:dyDescent="0.25">
      <c r="A319" s="2">
        <v>45209</v>
      </c>
      <c r="B319" s="1">
        <v>0.72499999999999998</v>
      </c>
      <c r="C319" t="s">
        <v>1450</v>
      </c>
      <c r="D319">
        <v>97</v>
      </c>
      <c r="E319" t="s">
        <v>1305</v>
      </c>
    </row>
    <row r="320" spans="1:5" x14ac:dyDescent="0.25">
      <c r="A320" s="2">
        <v>45209</v>
      </c>
      <c r="B320" s="1">
        <v>0.65972222222222221</v>
      </c>
      <c r="C320" t="s">
        <v>904</v>
      </c>
      <c r="D320">
        <v>67</v>
      </c>
      <c r="E320" t="s">
        <v>1305</v>
      </c>
    </row>
    <row r="321" spans="1:5" x14ac:dyDescent="0.25">
      <c r="A321" s="2">
        <v>45209</v>
      </c>
      <c r="B321" s="1">
        <v>0.82430555555555551</v>
      </c>
      <c r="C321" t="s">
        <v>1202</v>
      </c>
      <c r="D321">
        <v>93</v>
      </c>
      <c r="E321" t="s">
        <v>1305</v>
      </c>
    </row>
    <row r="322" spans="1:5" x14ac:dyDescent="0.25">
      <c r="A322" s="2">
        <v>45209</v>
      </c>
      <c r="B322" s="1">
        <v>0.25138888888888888</v>
      </c>
      <c r="C322" t="s">
        <v>1423</v>
      </c>
      <c r="D322">
        <v>46</v>
      </c>
      <c r="E322" t="s">
        <v>1303</v>
      </c>
    </row>
    <row r="323" spans="1:5" x14ac:dyDescent="0.25">
      <c r="A323" s="2">
        <v>45209</v>
      </c>
      <c r="B323" s="1">
        <v>0.97777777777777775</v>
      </c>
      <c r="C323" t="s">
        <v>1548</v>
      </c>
      <c r="D323">
        <v>6</v>
      </c>
      <c r="E323" t="s">
        <v>1305</v>
      </c>
    </row>
    <row r="324" spans="1:5" x14ac:dyDescent="0.25">
      <c r="A324" s="2">
        <v>45209</v>
      </c>
      <c r="B324" s="1">
        <v>0.23958333333333334</v>
      </c>
      <c r="C324" t="s">
        <v>1464</v>
      </c>
      <c r="D324">
        <v>42</v>
      </c>
      <c r="E324" t="s">
        <v>1305</v>
      </c>
    </row>
    <row r="325" spans="1:5" x14ac:dyDescent="0.25">
      <c r="A325" s="2">
        <v>45209</v>
      </c>
      <c r="B325" s="1">
        <v>0.36527777777777776</v>
      </c>
      <c r="C325" t="s">
        <v>1258</v>
      </c>
      <c r="D325">
        <v>120</v>
      </c>
      <c r="E325" t="s">
        <v>1300</v>
      </c>
    </row>
    <row r="326" spans="1:5" x14ac:dyDescent="0.25">
      <c r="A326" s="2">
        <v>45209</v>
      </c>
      <c r="B326" s="1">
        <v>0.26874999999999999</v>
      </c>
      <c r="C326" t="s">
        <v>1360</v>
      </c>
      <c r="D326">
        <v>94</v>
      </c>
      <c r="E326" t="s">
        <v>1303</v>
      </c>
    </row>
    <row r="327" spans="1:5" x14ac:dyDescent="0.25">
      <c r="A327" s="2">
        <v>45209</v>
      </c>
      <c r="B327" s="1">
        <v>0.3888888888888889</v>
      </c>
      <c r="C327" t="s">
        <v>1567</v>
      </c>
      <c r="D327">
        <v>44</v>
      </c>
      <c r="E327" t="s">
        <v>1300</v>
      </c>
    </row>
    <row r="328" spans="1:5" x14ac:dyDescent="0.25">
      <c r="A328" s="2">
        <v>45209</v>
      </c>
      <c r="B328" s="1">
        <v>0.53125</v>
      </c>
      <c r="C328" t="s">
        <v>941</v>
      </c>
      <c r="D328">
        <v>63</v>
      </c>
      <c r="E328" t="s">
        <v>1300</v>
      </c>
    </row>
    <row r="329" spans="1:5" x14ac:dyDescent="0.25">
      <c r="A329" s="2">
        <v>45209</v>
      </c>
      <c r="B329" s="1">
        <v>0.98888888888888893</v>
      </c>
      <c r="C329" t="s">
        <v>990</v>
      </c>
      <c r="D329">
        <v>51</v>
      </c>
      <c r="E329" t="s">
        <v>1303</v>
      </c>
    </row>
    <row r="330" spans="1:5" x14ac:dyDescent="0.25">
      <c r="A330" s="2">
        <v>45209</v>
      </c>
      <c r="B330" s="1">
        <v>0.21527777777777779</v>
      </c>
      <c r="C330" t="s">
        <v>868</v>
      </c>
      <c r="D330">
        <v>23</v>
      </c>
      <c r="E330" t="s">
        <v>1305</v>
      </c>
    </row>
    <row r="331" spans="1:5" x14ac:dyDescent="0.25">
      <c r="A331" s="2">
        <v>45209</v>
      </c>
      <c r="B331" s="1">
        <v>0.67986111111111114</v>
      </c>
      <c r="C331" t="s">
        <v>1353</v>
      </c>
      <c r="D331">
        <v>115</v>
      </c>
      <c r="E331" t="s">
        <v>1305</v>
      </c>
    </row>
    <row r="332" spans="1:5" x14ac:dyDescent="0.25">
      <c r="A332" s="2">
        <v>45209</v>
      </c>
      <c r="B332" s="1">
        <v>0.94097222222222221</v>
      </c>
      <c r="C332" t="s">
        <v>1500</v>
      </c>
      <c r="D332">
        <v>30</v>
      </c>
      <c r="E332" t="s">
        <v>1305</v>
      </c>
    </row>
    <row r="333" spans="1:5" x14ac:dyDescent="0.25">
      <c r="A333" s="2">
        <v>45209</v>
      </c>
      <c r="B333" s="1">
        <v>1.6666666666666666E-2</v>
      </c>
      <c r="C333" t="s">
        <v>1598</v>
      </c>
      <c r="D333">
        <v>43</v>
      </c>
      <c r="E333" t="s">
        <v>1300</v>
      </c>
    </row>
    <row r="334" spans="1:5" x14ac:dyDescent="0.25">
      <c r="A334" s="2">
        <v>45209</v>
      </c>
      <c r="B334" s="1">
        <v>0.17430555555555555</v>
      </c>
      <c r="C334" t="s">
        <v>1566</v>
      </c>
      <c r="D334">
        <v>5</v>
      </c>
      <c r="E334" t="s">
        <v>1300</v>
      </c>
    </row>
    <row r="335" spans="1:5" x14ac:dyDescent="0.25">
      <c r="A335" s="2">
        <v>45209</v>
      </c>
      <c r="B335" s="1">
        <v>0.55833333333333335</v>
      </c>
      <c r="C335" t="s">
        <v>1022</v>
      </c>
      <c r="D335">
        <v>66</v>
      </c>
      <c r="E335" t="s">
        <v>1303</v>
      </c>
    </row>
    <row r="336" spans="1:5" x14ac:dyDescent="0.25">
      <c r="A336" s="2">
        <v>45209</v>
      </c>
      <c r="B336" s="1">
        <v>0.89861111111111114</v>
      </c>
      <c r="C336" t="s">
        <v>1126</v>
      </c>
      <c r="D336">
        <v>29</v>
      </c>
      <c r="E336" t="s">
        <v>1303</v>
      </c>
    </row>
    <row r="337" spans="1:5" x14ac:dyDescent="0.25">
      <c r="A337" s="2">
        <v>45209</v>
      </c>
      <c r="B337" s="1">
        <v>0.90138888888888891</v>
      </c>
      <c r="C337" t="s">
        <v>822</v>
      </c>
      <c r="D337">
        <v>68</v>
      </c>
      <c r="E337" t="s">
        <v>1303</v>
      </c>
    </row>
    <row r="338" spans="1:5" x14ac:dyDescent="0.25">
      <c r="A338" s="2">
        <v>45209</v>
      </c>
      <c r="B338" s="1">
        <v>0.90763888888888888</v>
      </c>
      <c r="C338" t="s">
        <v>1156</v>
      </c>
      <c r="D338">
        <v>99</v>
      </c>
      <c r="E338" t="s">
        <v>1305</v>
      </c>
    </row>
    <row r="339" spans="1:5" x14ac:dyDescent="0.25">
      <c r="A339" s="2">
        <v>45209</v>
      </c>
      <c r="B339" s="1">
        <v>0.90486111111111112</v>
      </c>
      <c r="C339" t="s">
        <v>1317</v>
      </c>
      <c r="D339">
        <v>45</v>
      </c>
      <c r="E339" t="s">
        <v>1305</v>
      </c>
    </row>
    <row r="340" spans="1:5" x14ac:dyDescent="0.25">
      <c r="A340" s="2">
        <v>45209</v>
      </c>
      <c r="B340" s="1">
        <v>0.58194444444444449</v>
      </c>
      <c r="C340" t="s">
        <v>1531</v>
      </c>
      <c r="D340">
        <v>93</v>
      </c>
      <c r="E340" t="s">
        <v>1303</v>
      </c>
    </row>
    <row r="341" spans="1:5" x14ac:dyDescent="0.25">
      <c r="A341" s="2">
        <v>45209</v>
      </c>
      <c r="B341" s="1">
        <v>0.8520833333333333</v>
      </c>
      <c r="C341" t="s">
        <v>1292</v>
      </c>
      <c r="D341">
        <v>91</v>
      </c>
      <c r="E341" t="s">
        <v>1305</v>
      </c>
    </row>
    <row r="342" spans="1:5" x14ac:dyDescent="0.25">
      <c r="A342" s="2">
        <v>45209</v>
      </c>
      <c r="B342" s="1">
        <v>0.93888888888888888</v>
      </c>
      <c r="C342" t="s">
        <v>1199</v>
      </c>
      <c r="D342">
        <v>37</v>
      </c>
      <c r="E342" t="s">
        <v>1303</v>
      </c>
    </row>
    <row r="343" spans="1:5" x14ac:dyDescent="0.25">
      <c r="A343" s="2">
        <v>45209</v>
      </c>
      <c r="B343" s="1">
        <v>0.46250000000000002</v>
      </c>
      <c r="C343" t="s">
        <v>1429</v>
      </c>
      <c r="D343">
        <v>102</v>
      </c>
      <c r="E343" t="s">
        <v>1305</v>
      </c>
    </row>
    <row r="344" spans="1:5" x14ac:dyDescent="0.25">
      <c r="A344" s="2">
        <v>45209</v>
      </c>
      <c r="B344" s="1">
        <v>0.91388888888888886</v>
      </c>
      <c r="C344" t="s">
        <v>1194</v>
      </c>
      <c r="D344">
        <v>111</v>
      </c>
      <c r="E344" t="s">
        <v>1305</v>
      </c>
    </row>
    <row r="345" spans="1:5" x14ac:dyDescent="0.25">
      <c r="A345" s="2">
        <v>45210</v>
      </c>
      <c r="B345" s="1">
        <v>0.70347222222222228</v>
      </c>
      <c r="C345" t="s">
        <v>1130</v>
      </c>
      <c r="D345">
        <v>20</v>
      </c>
      <c r="E345" t="s">
        <v>1300</v>
      </c>
    </row>
    <row r="346" spans="1:5" x14ac:dyDescent="0.25">
      <c r="A346" s="2">
        <v>45210</v>
      </c>
      <c r="B346" s="1">
        <v>0.36666666666666664</v>
      </c>
      <c r="C346" t="s">
        <v>859</v>
      </c>
      <c r="D346">
        <v>67</v>
      </c>
      <c r="E346" t="s">
        <v>1303</v>
      </c>
    </row>
    <row r="347" spans="1:5" x14ac:dyDescent="0.25">
      <c r="A347" s="2">
        <v>45210</v>
      </c>
      <c r="B347" s="1">
        <v>0.96111111111111114</v>
      </c>
      <c r="C347" t="s">
        <v>1123</v>
      </c>
      <c r="D347">
        <v>66</v>
      </c>
      <c r="E347" t="s">
        <v>1300</v>
      </c>
    </row>
    <row r="348" spans="1:5" x14ac:dyDescent="0.25">
      <c r="A348" s="2">
        <v>45210</v>
      </c>
      <c r="B348" s="1">
        <v>0.91249999999999998</v>
      </c>
      <c r="C348" t="s">
        <v>1352</v>
      </c>
      <c r="D348">
        <v>119</v>
      </c>
      <c r="E348" t="s">
        <v>1305</v>
      </c>
    </row>
    <row r="349" spans="1:5" x14ac:dyDescent="0.25">
      <c r="A349" s="2">
        <v>45210</v>
      </c>
      <c r="B349" s="1">
        <v>7.6388888888888886E-3</v>
      </c>
      <c r="C349" t="s">
        <v>1429</v>
      </c>
      <c r="D349">
        <v>59</v>
      </c>
      <c r="E349" t="s">
        <v>1303</v>
      </c>
    </row>
    <row r="350" spans="1:5" x14ac:dyDescent="0.25">
      <c r="A350" s="2">
        <v>45210</v>
      </c>
      <c r="B350" s="1">
        <v>0.27013888888888887</v>
      </c>
      <c r="C350" t="s">
        <v>1365</v>
      </c>
      <c r="D350">
        <v>104</v>
      </c>
      <c r="E350" t="s">
        <v>1305</v>
      </c>
    </row>
    <row r="351" spans="1:5" x14ac:dyDescent="0.25">
      <c r="A351" s="2">
        <v>45210</v>
      </c>
      <c r="B351" s="1">
        <v>0.68958333333333333</v>
      </c>
      <c r="C351" t="s">
        <v>961</v>
      </c>
      <c r="D351">
        <v>16</v>
      </c>
      <c r="E351" t="s">
        <v>1300</v>
      </c>
    </row>
    <row r="352" spans="1:5" x14ac:dyDescent="0.25">
      <c r="A352" s="2">
        <v>45210</v>
      </c>
      <c r="B352" s="1">
        <v>0.92638888888888893</v>
      </c>
      <c r="C352" t="s">
        <v>1257</v>
      </c>
      <c r="D352">
        <v>45</v>
      </c>
      <c r="E352" t="s">
        <v>1303</v>
      </c>
    </row>
    <row r="353" spans="1:5" x14ac:dyDescent="0.25">
      <c r="A353" s="2">
        <v>45210</v>
      </c>
      <c r="B353" s="1">
        <v>0.12847222222222221</v>
      </c>
      <c r="C353" t="s">
        <v>1312</v>
      </c>
      <c r="D353">
        <v>115</v>
      </c>
      <c r="E353" t="s">
        <v>1300</v>
      </c>
    </row>
    <row r="354" spans="1:5" x14ac:dyDescent="0.25">
      <c r="A354" s="2">
        <v>45210</v>
      </c>
      <c r="B354" s="1">
        <v>0.5</v>
      </c>
      <c r="C354" t="s">
        <v>1526</v>
      </c>
      <c r="D354">
        <v>30</v>
      </c>
      <c r="E354" t="s">
        <v>1300</v>
      </c>
    </row>
    <row r="355" spans="1:5" x14ac:dyDescent="0.25">
      <c r="A355" s="2">
        <v>45210</v>
      </c>
      <c r="B355" s="1">
        <v>0.87986111111111109</v>
      </c>
      <c r="C355" t="s">
        <v>835</v>
      </c>
      <c r="D355">
        <v>53</v>
      </c>
      <c r="E355" t="s">
        <v>1300</v>
      </c>
    </row>
    <row r="356" spans="1:5" x14ac:dyDescent="0.25">
      <c r="A356" s="2">
        <v>45210</v>
      </c>
      <c r="B356" s="1">
        <v>0.90833333333333333</v>
      </c>
      <c r="C356" t="s">
        <v>1081</v>
      </c>
      <c r="D356">
        <v>57</v>
      </c>
      <c r="E356" t="s">
        <v>1305</v>
      </c>
    </row>
    <row r="357" spans="1:5" x14ac:dyDescent="0.25">
      <c r="A357" s="2">
        <v>45210</v>
      </c>
      <c r="B357" s="1">
        <v>0.68611111111111112</v>
      </c>
      <c r="C357" t="s">
        <v>1081</v>
      </c>
      <c r="D357">
        <v>62</v>
      </c>
      <c r="E357" t="s">
        <v>1303</v>
      </c>
    </row>
    <row r="358" spans="1:5" x14ac:dyDescent="0.25">
      <c r="A358" s="2">
        <v>45210</v>
      </c>
      <c r="B358" s="1">
        <v>0.45833333333333331</v>
      </c>
      <c r="C358" t="s">
        <v>949</v>
      </c>
      <c r="D358">
        <v>95</v>
      </c>
      <c r="E358" t="s">
        <v>1303</v>
      </c>
    </row>
    <row r="359" spans="1:5" x14ac:dyDescent="0.25">
      <c r="A359" s="2">
        <v>45210</v>
      </c>
      <c r="B359" s="1">
        <v>0.83611111111111114</v>
      </c>
      <c r="C359" t="s">
        <v>1470</v>
      </c>
      <c r="D359">
        <v>25</v>
      </c>
      <c r="E359" t="s">
        <v>1305</v>
      </c>
    </row>
    <row r="360" spans="1:5" x14ac:dyDescent="0.25">
      <c r="A360" s="2">
        <v>45210</v>
      </c>
      <c r="B360" s="1">
        <v>0.39166666666666666</v>
      </c>
      <c r="C360" t="s">
        <v>964</v>
      </c>
      <c r="D360">
        <v>85</v>
      </c>
      <c r="E360" t="s">
        <v>1303</v>
      </c>
    </row>
    <row r="361" spans="1:5" x14ac:dyDescent="0.25">
      <c r="A361" s="2">
        <v>45210</v>
      </c>
      <c r="B361" s="1">
        <v>3.125E-2</v>
      </c>
      <c r="C361" t="s">
        <v>854</v>
      </c>
      <c r="D361">
        <v>63</v>
      </c>
      <c r="E361" t="s">
        <v>1305</v>
      </c>
    </row>
    <row r="362" spans="1:5" x14ac:dyDescent="0.25">
      <c r="A362" s="2">
        <v>45210</v>
      </c>
      <c r="B362" s="1">
        <v>0.89583333333333337</v>
      </c>
      <c r="C362" t="s">
        <v>1244</v>
      </c>
      <c r="D362">
        <v>110</v>
      </c>
      <c r="E362" t="s">
        <v>1305</v>
      </c>
    </row>
    <row r="363" spans="1:5" x14ac:dyDescent="0.25">
      <c r="A363" s="2">
        <v>45210</v>
      </c>
      <c r="B363" s="1">
        <v>5.1388888888888887E-2</v>
      </c>
      <c r="C363" t="s">
        <v>980</v>
      </c>
      <c r="D363">
        <v>73</v>
      </c>
      <c r="E363" t="s">
        <v>1300</v>
      </c>
    </row>
    <row r="364" spans="1:5" x14ac:dyDescent="0.25">
      <c r="A364" s="2">
        <v>45210</v>
      </c>
      <c r="B364" s="1">
        <v>0.9243055555555556</v>
      </c>
      <c r="C364" t="s">
        <v>1606</v>
      </c>
      <c r="D364">
        <v>32</v>
      </c>
      <c r="E364" t="s">
        <v>1303</v>
      </c>
    </row>
    <row r="365" spans="1:5" x14ac:dyDescent="0.25">
      <c r="A365" s="2">
        <v>45210</v>
      </c>
      <c r="B365" s="1">
        <v>0.80555555555555558</v>
      </c>
      <c r="C365" t="s">
        <v>1485</v>
      </c>
      <c r="D365">
        <v>97</v>
      </c>
      <c r="E365" t="s">
        <v>1300</v>
      </c>
    </row>
    <row r="366" spans="1:5" x14ac:dyDescent="0.25">
      <c r="A366" s="2">
        <v>45210</v>
      </c>
      <c r="B366" s="1">
        <v>5.4166666666666669E-2</v>
      </c>
      <c r="C366" t="s">
        <v>1412</v>
      </c>
      <c r="D366">
        <v>68</v>
      </c>
      <c r="E366" t="s">
        <v>1305</v>
      </c>
    </row>
    <row r="367" spans="1:5" x14ac:dyDescent="0.25">
      <c r="A367" s="2">
        <v>45210</v>
      </c>
      <c r="B367" s="1">
        <v>0.28055555555555556</v>
      </c>
      <c r="C367" t="s">
        <v>1009</v>
      </c>
      <c r="D367">
        <v>43</v>
      </c>
      <c r="E367" t="s">
        <v>1303</v>
      </c>
    </row>
    <row r="368" spans="1:5" x14ac:dyDescent="0.25">
      <c r="A368" s="2">
        <v>45210</v>
      </c>
      <c r="B368" s="1">
        <v>0.97916666666666663</v>
      </c>
      <c r="C368" t="s">
        <v>1397</v>
      </c>
      <c r="D368">
        <v>114</v>
      </c>
      <c r="E368" t="s">
        <v>1305</v>
      </c>
    </row>
    <row r="369" spans="1:5" x14ac:dyDescent="0.25">
      <c r="A369" s="2">
        <v>45210</v>
      </c>
      <c r="B369" s="1">
        <v>0.51180555555555551</v>
      </c>
      <c r="C369" t="s">
        <v>1577</v>
      </c>
      <c r="D369">
        <v>27</v>
      </c>
      <c r="E369" t="s">
        <v>1303</v>
      </c>
    </row>
    <row r="370" spans="1:5" x14ac:dyDescent="0.25">
      <c r="A370" s="2">
        <v>45210</v>
      </c>
      <c r="B370" s="1">
        <v>0.49722222222222223</v>
      </c>
      <c r="C370" t="s">
        <v>1026</v>
      </c>
      <c r="D370">
        <v>75</v>
      </c>
      <c r="E370" t="s">
        <v>1305</v>
      </c>
    </row>
    <row r="371" spans="1:5" x14ac:dyDescent="0.25">
      <c r="A371" s="2">
        <v>45210</v>
      </c>
      <c r="B371" s="1">
        <v>0.83680555555555558</v>
      </c>
      <c r="C371" t="s">
        <v>1059</v>
      </c>
      <c r="D371">
        <v>118</v>
      </c>
      <c r="E371" t="s">
        <v>1300</v>
      </c>
    </row>
    <row r="372" spans="1:5" x14ac:dyDescent="0.25">
      <c r="A372" s="2">
        <v>45210</v>
      </c>
      <c r="B372" s="1">
        <v>0.89027777777777772</v>
      </c>
      <c r="C372" t="s">
        <v>1387</v>
      </c>
      <c r="D372">
        <v>118</v>
      </c>
      <c r="E372" t="s">
        <v>1300</v>
      </c>
    </row>
    <row r="373" spans="1:5" x14ac:dyDescent="0.25">
      <c r="A373" s="2">
        <v>45210</v>
      </c>
      <c r="B373" s="1">
        <v>0.16805555555555557</v>
      </c>
      <c r="C373" t="s">
        <v>1085</v>
      </c>
      <c r="D373">
        <v>110</v>
      </c>
      <c r="E373" t="s">
        <v>1300</v>
      </c>
    </row>
    <row r="374" spans="1:5" x14ac:dyDescent="0.25">
      <c r="A374" s="2">
        <v>45210</v>
      </c>
      <c r="B374" s="1">
        <v>0.24722222222222223</v>
      </c>
      <c r="C374" t="s">
        <v>1575</v>
      </c>
      <c r="D374">
        <v>74</v>
      </c>
      <c r="E374" t="s">
        <v>1300</v>
      </c>
    </row>
    <row r="375" spans="1:5" x14ac:dyDescent="0.25">
      <c r="A375" s="2">
        <v>45210</v>
      </c>
      <c r="B375" s="1">
        <v>0.56805555555555554</v>
      </c>
      <c r="C375" t="s">
        <v>804</v>
      </c>
      <c r="D375">
        <v>96</v>
      </c>
      <c r="E375" t="s">
        <v>1300</v>
      </c>
    </row>
    <row r="376" spans="1:5" x14ac:dyDescent="0.25">
      <c r="A376" s="2">
        <v>45210</v>
      </c>
      <c r="B376" s="1">
        <v>0.92152777777777772</v>
      </c>
      <c r="C376" t="s">
        <v>1518</v>
      </c>
      <c r="D376">
        <v>86</v>
      </c>
      <c r="E376" t="s">
        <v>1303</v>
      </c>
    </row>
    <row r="377" spans="1:5" x14ac:dyDescent="0.25">
      <c r="A377" s="2">
        <v>45210</v>
      </c>
      <c r="B377" s="1">
        <v>0.80277777777777781</v>
      </c>
      <c r="C377" t="s">
        <v>1393</v>
      </c>
      <c r="D377">
        <v>9</v>
      </c>
      <c r="E377" t="s">
        <v>1303</v>
      </c>
    </row>
    <row r="378" spans="1:5" x14ac:dyDescent="0.25">
      <c r="A378" s="2">
        <v>45210</v>
      </c>
      <c r="B378" s="1">
        <v>0.84097222222222223</v>
      </c>
      <c r="C378" t="s">
        <v>1392</v>
      </c>
      <c r="D378">
        <v>7</v>
      </c>
      <c r="E378" t="s">
        <v>1300</v>
      </c>
    </row>
    <row r="379" spans="1:5" x14ac:dyDescent="0.25">
      <c r="A379" s="2">
        <v>45210</v>
      </c>
      <c r="B379" s="1">
        <v>0.8354166666666667</v>
      </c>
      <c r="C379" t="s">
        <v>1241</v>
      </c>
      <c r="D379">
        <v>80</v>
      </c>
      <c r="E379" t="s">
        <v>1303</v>
      </c>
    </row>
    <row r="380" spans="1:5" x14ac:dyDescent="0.25">
      <c r="A380" s="2">
        <v>45210</v>
      </c>
      <c r="B380" s="1">
        <v>0.30972222222222223</v>
      </c>
      <c r="C380" t="s">
        <v>1455</v>
      </c>
      <c r="D380">
        <v>47</v>
      </c>
      <c r="E380" t="s">
        <v>1303</v>
      </c>
    </row>
    <row r="381" spans="1:5" x14ac:dyDescent="0.25">
      <c r="A381" s="2">
        <v>45210</v>
      </c>
      <c r="B381" s="1">
        <v>0.38958333333333334</v>
      </c>
      <c r="C381" t="s">
        <v>891</v>
      </c>
      <c r="D381">
        <v>85</v>
      </c>
      <c r="E381" t="s">
        <v>1300</v>
      </c>
    </row>
    <row r="382" spans="1:5" x14ac:dyDescent="0.25">
      <c r="A382" s="2">
        <v>45210</v>
      </c>
      <c r="B382" s="1">
        <v>0.67500000000000004</v>
      </c>
      <c r="C382" t="s">
        <v>1398</v>
      </c>
      <c r="D382">
        <v>86</v>
      </c>
      <c r="E382" t="s">
        <v>1305</v>
      </c>
    </row>
    <row r="383" spans="1:5" x14ac:dyDescent="0.25">
      <c r="A383" s="2">
        <v>45210</v>
      </c>
      <c r="B383" s="1">
        <v>0.45</v>
      </c>
      <c r="C383" t="s">
        <v>997</v>
      </c>
      <c r="D383">
        <v>66</v>
      </c>
      <c r="E383" t="s">
        <v>1300</v>
      </c>
    </row>
    <row r="384" spans="1:5" x14ac:dyDescent="0.25">
      <c r="A384" s="2">
        <v>45211</v>
      </c>
      <c r="B384" s="1">
        <v>0.72499999999999998</v>
      </c>
      <c r="C384" t="s">
        <v>1258</v>
      </c>
      <c r="D384">
        <v>84</v>
      </c>
      <c r="E384" t="s">
        <v>1305</v>
      </c>
    </row>
    <row r="385" spans="1:5" x14ac:dyDescent="0.25">
      <c r="A385" s="2">
        <v>45211</v>
      </c>
      <c r="B385" s="1">
        <v>0.38055555555555554</v>
      </c>
      <c r="C385" t="s">
        <v>1608</v>
      </c>
      <c r="D385">
        <v>84</v>
      </c>
      <c r="E385" t="s">
        <v>1300</v>
      </c>
    </row>
    <row r="386" spans="1:5" x14ac:dyDescent="0.25">
      <c r="A386" s="2">
        <v>45211</v>
      </c>
      <c r="B386" s="1">
        <v>9.8611111111111108E-2</v>
      </c>
      <c r="C386" t="s">
        <v>927</v>
      </c>
      <c r="D386">
        <v>59</v>
      </c>
      <c r="E386" t="s">
        <v>1305</v>
      </c>
    </row>
    <row r="387" spans="1:5" x14ac:dyDescent="0.25">
      <c r="A387" s="2">
        <v>45211</v>
      </c>
      <c r="B387" s="1">
        <v>1.4583333333333334E-2</v>
      </c>
      <c r="C387" t="s">
        <v>1592</v>
      </c>
      <c r="D387">
        <v>7</v>
      </c>
      <c r="E387" t="s">
        <v>1305</v>
      </c>
    </row>
    <row r="388" spans="1:5" x14ac:dyDescent="0.25">
      <c r="A388" s="2">
        <v>45211</v>
      </c>
      <c r="B388" s="1">
        <v>0.38263888888888886</v>
      </c>
      <c r="C388" t="s">
        <v>1330</v>
      </c>
      <c r="D388">
        <v>105</v>
      </c>
      <c r="E388" t="s">
        <v>1300</v>
      </c>
    </row>
    <row r="389" spans="1:5" x14ac:dyDescent="0.25">
      <c r="A389" s="2">
        <v>45211</v>
      </c>
      <c r="B389" s="1">
        <v>0.92500000000000004</v>
      </c>
      <c r="C389" t="s">
        <v>1367</v>
      </c>
      <c r="D389">
        <v>40</v>
      </c>
      <c r="E389" t="s">
        <v>1305</v>
      </c>
    </row>
    <row r="390" spans="1:5" x14ac:dyDescent="0.25">
      <c r="A390" s="2">
        <v>45211</v>
      </c>
      <c r="B390" s="1">
        <v>0.21944444444444444</v>
      </c>
      <c r="C390" t="s">
        <v>1226</v>
      </c>
      <c r="D390">
        <v>5</v>
      </c>
      <c r="E390" t="s">
        <v>1300</v>
      </c>
    </row>
    <row r="391" spans="1:5" x14ac:dyDescent="0.25">
      <c r="A391" s="2">
        <v>45211</v>
      </c>
      <c r="B391" s="1">
        <v>0.71180555555555558</v>
      </c>
      <c r="C391" t="s">
        <v>1525</v>
      </c>
      <c r="D391">
        <v>82</v>
      </c>
      <c r="E391" t="s">
        <v>1303</v>
      </c>
    </row>
    <row r="392" spans="1:5" x14ac:dyDescent="0.25">
      <c r="A392" s="2">
        <v>45211</v>
      </c>
      <c r="B392" s="1">
        <v>0.73333333333333328</v>
      </c>
      <c r="C392" t="s">
        <v>1467</v>
      </c>
      <c r="D392">
        <v>108</v>
      </c>
      <c r="E392" t="s">
        <v>1303</v>
      </c>
    </row>
    <row r="393" spans="1:5" x14ac:dyDescent="0.25">
      <c r="A393" s="2">
        <v>45211</v>
      </c>
      <c r="B393" s="1">
        <v>0.42499999999999999</v>
      </c>
      <c r="C393" t="s">
        <v>1070</v>
      </c>
      <c r="D393">
        <v>57</v>
      </c>
      <c r="E393" t="s">
        <v>1303</v>
      </c>
    </row>
    <row r="394" spans="1:5" x14ac:dyDescent="0.25">
      <c r="A394" s="2">
        <v>45211</v>
      </c>
      <c r="B394" s="1">
        <v>0.10694444444444444</v>
      </c>
      <c r="C394" t="s">
        <v>1293</v>
      </c>
      <c r="D394">
        <v>87</v>
      </c>
      <c r="E394" t="s">
        <v>1305</v>
      </c>
    </row>
    <row r="395" spans="1:5" x14ac:dyDescent="0.25">
      <c r="A395" s="2">
        <v>45211</v>
      </c>
      <c r="B395" s="1">
        <v>0.31666666666666665</v>
      </c>
      <c r="C395" t="s">
        <v>1146</v>
      </c>
      <c r="D395">
        <v>93</v>
      </c>
      <c r="E395" t="s">
        <v>1305</v>
      </c>
    </row>
    <row r="396" spans="1:5" x14ac:dyDescent="0.25">
      <c r="A396" s="2">
        <v>45211</v>
      </c>
      <c r="B396" s="1">
        <v>0.72291666666666665</v>
      </c>
      <c r="C396" t="s">
        <v>1206</v>
      </c>
      <c r="D396">
        <v>28</v>
      </c>
      <c r="E396" t="s">
        <v>1300</v>
      </c>
    </row>
    <row r="397" spans="1:5" x14ac:dyDescent="0.25">
      <c r="A397" s="2">
        <v>45211</v>
      </c>
      <c r="B397" s="1">
        <v>0.2902777777777778</v>
      </c>
      <c r="C397" t="s">
        <v>1575</v>
      </c>
      <c r="D397">
        <v>73</v>
      </c>
      <c r="E397" t="s">
        <v>1305</v>
      </c>
    </row>
    <row r="398" spans="1:5" x14ac:dyDescent="0.25">
      <c r="A398" s="2">
        <v>45211</v>
      </c>
      <c r="B398" s="1">
        <v>0.22430555555555556</v>
      </c>
      <c r="C398" t="s">
        <v>1223</v>
      </c>
      <c r="D398">
        <v>37</v>
      </c>
      <c r="E398" t="s">
        <v>1300</v>
      </c>
    </row>
    <row r="399" spans="1:5" x14ac:dyDescent="0.25">
      <c r="A399" s="2">
        <v>45211</v>
      </c>
      <c r="B399" s="1">
        <v>0.58750000000000002</v>
      </c>
      <c r="C399" t="s">
        <v>1234</v>
      </c>
      <c r="D399">
        <v>27</v>
      </c>
      <c r="E399" t="s">
        <v>1305</v>
      </c>
    </row>
    <row r="400" spans="1:5" x14ac:dyDescent="0.25">
      <c r="A400" s="2">
        <v>45211</v>
      </c>
      <c r="B400" s="1">
        <v>0.12847222222222221</v>
      </c>
      <c r="C400" t="s">
        <v>813</v>
      </c>
      <c r="D400">
        <v>110</v>
      </c>
      <c r="E400" t="s">
        <v>1303</v>
      </c>
    </row>
    <row r="401" spans="1:5" x14ac:dyDescent="0.25">
      <c r="A401" s="2">
        <v>45211</v>
      </c>
      <c r="B401" s="1">
        <v>0.36805555555555558</v>
      </c>
      <c r="C401" t="s">
        <v>1375</v>
      </c>
      <c r="D401">
        <v>15</v>
      </c>
      <c r="E401" t="s">
        <v>1303</v>
      </c>
    </row>
    <row r="402" spans="1:5" x14ac:dyDescent="0.25">
      <c r="A402" s="2">
        <v>45211</v>
      </c>
      <c r="B402" s="1">
        <v>0.32430555555555557</v>
      </c>
      <c r="C402" t="s">
        <v>1600</v>
      </c>
      <c r="D402">
        <v>120</v>
      </c>
      <c r="E402" t="s">
        <v>1305</v>
      </c>
    </row>
    <row r="403" spans="1:5" x14ac:dyDescent="0.25">
      <c r="A403" s="2">
        <v>45211</v>
      </c>
      <c r="B403" s="1">
        <v>0.99305555555555558</v>
      </c>
      <c r="C403" t="s">
        <v>1349</v>
      </c>
      <c r="D403">
        <v>29</v>
      </c>
      <c r="E403" t="s">
        <v>1303</v>
      </c>
    </row>
    <row r="404" spans="1:5" x14ac:dyDescent="0.25">
      <c r="A404" s="2">
        <v>45211</v>
      </c>
      <c r="B404" s="1">
        <v>0.33750000000000002</v>
      </c>
      <c r="C404" t="s">
        <v>1078</v>
      </c>
      <c r="D404">
        <v>88</v>
      </c>
      <c r="E404" t="s">
        <v>1303</v>
      </c>
    </row>
    <row r="405" spans="1:5" x14ac:dyDescent="0.25">
      <c r="A405" s="2">
        <v>45211</v>
      </c>
      <c r="B405" s="1">
        <v>0.12361111111111112</v>
      </c>
      <c r="C405" t="s">
        <v>1359</v>
      </c>
      <c r="D405">
        <v>87</v>
      </c>
      <c r="E405" t="s">
        <v>1300</v>
      </c>
    </row>
    <row r="406" spans="1:5" x14ac:dyDescent="0.25">
      <c r="A406" s="2">
        <v>45211</v>
      </c>
      <c r="B406" s="1">
        <v>0.49583333333333335</v>
      </c>
      <c r="C406" t="s">
        <v>1359</v>
      </c>
      <c r="D406">
        <v>61</v>
      </c>
      <c r="E406" t="s">
        <v>1303</v>
      </c>
    </row>
    <row r="407" spans="1:5" x14ac:dyDescent="0.25">
      <c r="A407" s="2">
        <v>45211</v>
      </c>
      <c r="B407" s="1">
        <v>0.14722222222222223</v>
      </c>
      <c r="C407" t="s">
        <v>1566</v>
      </c>
      <c r="D407">
        <v>89</v>
      </c>
      <c r="E407" t="s">
        <v>1303</v>
      </c>
    </row>
    <row r="408" spans="1:5" x14ac:dyDescent="0.25">
      <c r="A408" s="2">
        <v>45211</v>
      </c>
      <c r="B408" s="1">
        <v>0.61041666666666672</v>
      </c>
      <c r="C408" t="s">
        <v>1176</v>
      </c>
      <c r="D408">
        <v>114</v>
      </c>
      <c r="E408" t="s">
        <v>1300</v>
      </c>
    </row>
    <row r="409" spans="1:5" x14ac:dyDescent="0.25">
      <c r="A409" s="2">
        <v>45211</v>
      </c>
      <c r="B409" s="1">
        <v>0.38611111111111113</v>
      </c>
      <c r="C409" t="s">
        <v>1387</v>
      </c>
      <c r="D409">
        <v>13</v>
      </c>
      <c r="E409" t="s">
        <v>1303</v>
      </c>
    </row>
    <row r="410" spans="1:5" x14ac:dyDescent="0.25">
      <c r="A410" s="2">
        <v>45211</v>
      </c>
      <c r="B410" s="1">
        <v>0.47708333333333336</v>
      </c>
      <c r="C410" t="s">
        <v>834</v>
      </c>
      <c r="D410">
        <v>111</v>
      </c>
      <c r="E410" t="s">
        <v>1300</v>
      </c>
    </row>
    <row r="411" spans="1:5" x14ac:dyDescent="0.25">
      <c r="A411" s="2">
        <v>45211</v>
      </c>
      <c r="B411" s="1">
        <v>6.3888888888888884E-2</v>
      </c>
      <c r="C411" t="s">
        <v>1148</v>
      </c>
      <c r="D411">
        <v>6</v>
      </c>
      <c r="E411" t="s">
        <v>1305</v>
      </c>
    </row>
    <row r="412" spans="1:5" x14ac:dyDescent="0.25">
      <c r="A412" s="2">
        <v>45211</v>
      </c>
      <c r="B412" s="1">
        <v>0.7055555555555556</v>
      </c>
      <c r="C412" t="s">
        <v>1511</v>
      </c>
      <c r="D412">
        <v>95</v>
      </c>
      <c r="E412" t="s">
        <v>1303</v>
      </c>
    </row>
    <row r="413" spans="1:5" x14ac:dyDescent="0.25">
      <c r="A413" s="2">
        <v>45211</v>
      </c>
      <c r="B413" s="1">
        <v>0.23472222222222222</v>
      </c>
      <c r="C413" t="s">
        <v>932</v>
      </c>
      <c r="D413">
        <v>62</v>
      </c>
      <c r="E413" t="s">
        <v>1305</v>
      </c>
    </row>
    <row r="414" spans="1:5" x14ac:dyDescent="0.25">
      <c r="A414" s="2">
        <v>45211</v>
      </c>
      <c r="B414" s="1">
        <v>0.90833333333333333</v>
      </c>
      <c r="C414" t="s">
        <v>1430</v>
      </c>
      <c r="D414">
        <v>32</v>
      </c>
      <c r="E414" t="s">
        <v>1303</v>
      </c>
    </row>
    <row r="415" spans="1:5" x14ac:dyDescent="0.25">
      <c r="A415" s="2">
        <v>45211</v>
      </c>
      <c r="B415" s="1">
        <v>0.88888888888888884</v>
      </c>
      <c r="C415" t="s">
        <v>836</v>
      </c>
      <c r="D415">
        <v>87</v>
      </c>
      <c r="E415" t="s">
        <v>1303</v>
      </c>
    </row>
    <row r="416" spans="1:5" x14ac:dyDescent="0.25">
      <c r="A416" s="2">
        <v>45211</v>
      </c>
      <c r="B416" s="1">
        <v>0.10625</v>
      </c>
      <c r="C416" t="s">
        <v>892</v>
      </c>
      <c r="D416">
        <v>107</v>
      </c>
      <c r="E416" t="s">
        <v>1300</v>
      </c>
    </row>
    <row r="417" spans="1:5" x14ac:dyDescent="0.25">
      <c r="A417" s="2">
        <v>45211</v>
      </c>
      <c r="B417" s="1">
        <v>0.54652777777777772</v>
      </c>
      <c r="C417" t="s">
        <v>1334</v>
      </c>
      <c r="D417">
        <v>115</v>
      </c>
      <c r="E417" t="s">
        <v>1300</v>
      </c>
    </row>
    <row r="418" spans="1:5" x14ac:dyDescent="0.25">
      <c r="A418" s="2">
        <v>45211</v>
      </c>
      <c r="B418" s="1">
        <v>0.38958333333333334</v>
      </c>
      <c r="C418" t="s">
        <v>1532</v>
      </c>
      <c r="D418">
        <v>76</v>
      </c>
      <c r="E418" t="s">
        <v>1303</v>
      </c>
    </row>
    <row r="419" spans="1:5" x14ac:dyDescent="0.25">
      <c r="A419" s="2">
        <v>45211</v>
      </c>
      <c r="B419" s="1">
        <v>4.583333333333333E-2</v>
      </c>
      <c r="C419" t="s">
        <v>929</v>
      </c>
      <c r="D419">
        <v>18</v>
      </c>
      <c r="E419" t="s">
        <v>1305</v>
      </c>
    </row>
    <row r="420" spans="1:5" x14ac:dyDescent="0.25">
      <c r="A420" s="2">
        <v>45211</v>
      </c>
      <c r="B420" s="1">
        <v>0.70625000000000004</v>
      </c>
      <c r="C420" t="s">
        <v>1474</v>
      </c>
      <c r="D420">
        <v>115</v>
      </c>
      <c r="E420" t="s">
        <v>1305</v>
      </c>
    </row>
    <row r="421" spans="1:5" x14ac:dyDescent="0.25">
      <c r="A421" s="2">
        <v>45211</v>
      </c>
      <c r="B421" s="1">
        <v>0.55972222222222223</v>
      </c>
      <c r="C421" t="s">
        <v>1319</v>
      </c>
      <c r="D421">
        <v>69</v>
      </c>
      <c r="E421" t="s">
        <v>1303</v>
      </c>
    </row>
    <row r="422" spans="1:5" x14ac:dyDescent="0.25">
      <c r="A422" s="2">
        <v>45211</v>
      </c>
      <c r="B422" s="1">
        <v>0.42430555555555555</v>
      </c>
      <c r="C422" t="s">
        <v>1193</v>
      </c>
      <c r="D422">
        <v>116</v>
      </c>
      <c r="E422" t="s">
        <v>1303</v>
      </c>
    </row>
    <row r="423" spans="1:5" x14ac:dyDescent="0.25">
      <c r="A423" s="2">
        <v>45211</v>
      </c>
      <c r="B423" s="1">
        <v>0.27916666666666667</v>
      </c>
      <c r="C423" t="s">
        <v>1179</v>
      </c>
      <c r="D423">
        <v>75</v>
      </c>
      <c r="E423" t="s">
        <v>1300</v>
      </c>
    </row>
    <row r="424" spans="1:5" x14ac:dyDescent="0.25">
      <c r="A424" s="2">
        <v>45211</v>
      </c>
      <c r="B424" s="1">
        <v>7.9861111111111105E-2</v>
      </c>
      <c r="C424" t="s">
        <v>1461</v>
      </c>
      <c r="D424">
        <v>59</v>
      </c>
      <c r="E424" t="s">
        <v>1303</v>
      </c>
    </row>
    <row r="425" spans="1:5" x14ac:dyDescent="0.25">
      <c r="A425" s="2">
        <v>45211</v>
      </c>
      <c r="B425" s="1">
        <v>0.90486111111111112</v>
      </c>
      <c r="C425" t="s">
        <v>1009</v>
      </c>
      <c r="D425">
        <v>45</v>
      </c>
      <c r="E425" t="s">
        <v>1305</v>
      </c>
    </row>
    <row r="426" spans="1:5" x14ac:dyDescent="0.25">
      <c r="A426" s="2">
        <v>45211</v>
      </c>
      <c r="B426" s="1">
        <v>0.10555555555555556</v>
      </c>
      <c r="C426" t="s">
        <v>1318</v>
      </c>
      <c r="D426">
        <v>67</v>
      </c>
      <c r="E426" t="s">
        <v>1300</v>
      </c>
    </row>
    <row r="427" spans="1:5" x14ac:dyDescent="0.25">
      <c r="A427" s="2">
        <v>45211</v>
      </c>
      <c r="B427" s="1">
        <v>0.61875000000000002</v>
      </c>
      <c r="C427" t="s">
        <v>1189</v>
      </c>
      <c r="D427">
        <v>92</v>
      </c>
      <c r="E427" t="s">
        <v>1300</v>
      </c>
    </row>
    <row r="428" spans="1:5" x14ac:dyDescent="0.25">
      <c r="A428" s="2">
        <v>45212</v>
      </c>
      <c r="B428" s="1">
        <v>0.75486111111111109</v>
      </c>
      <c r="C428" t="s">
        <v>1289</v>
      </c>
      <c r="D428">
        <v>112</v>
      </c>
      <c r="E428" t="s">
        <v>1305</v>
      </c>
    </row>
    <row r="429" spans="1:5" x14ac:dyDescent="0.25">
      <c r="A429" s="2">
        <v>45212</v>
      </c>
      <c r="B429" s="1">
        <v>0.20069444444444445</v>
      </c>
      <c r="C429" t="s">
        <v>1430</v>
      </c>
      <c r="D429">
        <v>82</v>
      </c>
      <c r="E429" t="s">
        <v>1300</v>
      </c>
    </row>
    <row r="430" spans="1:5" x14ac:dyDescent="0.25">
      <c r="A430" s="2">
        <v>45212</v>
      </c>
      <c r="B430" s="1">
        <v>0.31597222222222221</v>
      </c>
      <c r="C430" t="s">
        <v>1377</v>
      </c>
      <c r="D430">
        <v>112</v>
      </c>
      <c r="E430" t="s">
        <v>1300</v>
      </c>
    </row>
    <row r="431" spans="1:5" x14ac:dyDescent="0.25">
      <c r="A431" s="2">
        <v>45212</v>
      </c>
      <c r="B431" s="1">
        <v>0.87569444444444444</v>
      </c>
      <c r="C431" t="s">
        <v>1283</v>
      </c>
      <c r="D431">
        <v>23</v>
      </c>
      <c r="E431" t="s">
        <v>1300</v>
      </c>
    </row>
    <row r="432" spans="1:5" x14ac:dyDescent="0.25">
      <c r="A432" s="2">
        <v>45212</v>
      </c>
      <c r="B432" s="1">
        <v>0.90138888888888891</v>
      </c>
      <c r="C432" t="s">
        <v>1048</v>
      </c>
      <c r="D432">
        <v>58</v>
      </c>
      <c r="E432" t="s">
        <v>1300</v>
      </c>
    </row>
    <row r="433" spans="1:5" x14ac:dyDescent="0.25">
      <c r="A433" s="2">
        <v>45212</v>
      </c>
      <c r="B433" s="1">
        <v>0.96527777777777779</v>
      </c>
      <c r="C433" t="s">
        <v>1020</v>
      </c>
      <c r="D433">
        <v>27</v>
      </c>
      <c r="E433" t="s">
        <v>1305</v>
      </c>
    </row>
    <row r="434" spans="1:5" x14ac:dyDescent="0.25">
      <c r="A434" s="2">
        <v>45212</v>
      </c>
      <c r="B434" s="1">
        <v>0.17430555555555555</v>
      </c>
      <c r="C434" t="s">
        <v>1563</v>
      </c>
      <c r="D434">
        <v>112</v>
      </c>
      <c r="E434" t="s">
        <v>1305</v>
      </c>
    </row>
    <row r="435" spans="1:5" x14ac:dyDescent="0.25">
      <c r="A435" s="2">
        <v>45212</v>
      </c>
      <c r="B435" s="1">
        <v>0.41736111111111113</v>
      </c>
      <c r="C435" t="s">
        <v>960</v>
      </c>
      <c r="D435">
        <v>55</v>
      </c>
      <c r="E435" t="s">
        <v>1303</v>
      </c>
    </row>
    <row r="436" spans="1:5" x14ac:dyDescent="0.25">
      <c r="A436" s="2">
        <v>45212</v>
      </c>
      <c r="B436" s="1">
        <v>0.44722222222222224</v>
      </c>
      <c r="C436" t="s">
        <v>1013</v>
      </c>
      <c r="D436">
        <v>88</v>
      </c>
      <c r="E436" t="s">
        <v>1303</v>
      </c>
    </row>
    <row r="437" spans="1:5" x14ac:dyDescent="0.25">
      <c r="A437" s="2">
        <v>45212</v>
      </c>
      <c r="B437" s="1">
        <v>0.61736111111111114</v>
      </c>
      <c r="C437" t="s">
        <v>1529</v>
      </c>
      <c r="D437">
        <v>28</v>
      </c>
      <c r="E437" t="s">
        <v>1300</v>
      </c>
    </row>
    <row r="438" spans="1:5" x14ac:dyDescent="0.25">
      <c r="A438" s="2">
        <v>45212</v>
      </c>
      <c r="B438" s="1">
        <v>0.62638888888888888</v>
      </c>
      <c r="C438" t="s">
        <v>1455</v>
      </c>
      <c r="D438">
        <v>107</v>
      </c>
      <c r="E438" t="s">
        <v>1303</v>
      </c>
    </row>
    <row r="439" spans="1:5" x14ac:dyDescent="0.25">
      <c r="A439" s="2">
        <v>45212</v>
      </c>
      <c r="B439" s="1">
        <v>0.72083333333333333</v>
      </c>
      <c r="C439" t="s">
        <v>1259</v>
      </c>
      <c r="D439">
        <v>33</v>
      </c>
      <c r="E439" t="s">
        <v>1305</v>
      </c>
    </row>
    <row r="440" spans="1:5" x14ac:dyDescent="0.25">
      <c r="A440" s="2">
        <v>45212</v>
      </c>
      <c r="B440" s="1">
        <v>0.24027777777777778</v>
      </c>
      <c r="C440" t="s">
        <v>1461</v>
      </c>
      <c r="D440">
        <v>54</v>
      </c>
      <c r="E440" t="s">
        <v>1303</v>
      </c>
    </row>
    <row r="441" spans="1:5" x14ac:dyDescent="0.25">
      <c r="A441" s="2">
        <v>45212</v>
      </c>
      <c r="B441" s="1">
        <v>0.14027777777777778</v>
      </c>
      <c r="C441" t="s">
        <v>797</v>
      </c>
      <c r="D441">
        <v>19</v>
      </c>
      <c r="E441" t="s">
        <v>1303</v>
      </c>
    </row>
    <row r="442" spans="1:5" x14ac:dyDescent="0.25">
      <c r="A442" s="2">
        <v>45212</v>
      </c>
      <c r="B442" s="1">
        <v>0.62430555555555556</v>
      </c>
      <c r="C442" t="s">
        <v>1395</v>
      </c>
      <c r="D442">
        <v>113</v>
      </c>
      <c r="E442" t="s">
        <v>1305</v>
      </c>
    </row>
    <row r="443" spans="1:5" x14ac:dyDescent="0.25">
      <c r="A443" s="2">
        <v>45212</v>
      </c>
      <c r="B443" s="1">
        <v>0.11527777777777778</v>
      </c>
      <c r="C443" t="s">
        <v>925</v>
      </c>
      <c r="D443">
        <v>15</v>
      </c>
      <c r="E443" t="s">
        <v>1303</v>
      </c>
    </row>
    <row r="444" spans="1:5" x14ac:dyDescent="0.25">
      <c r="A444" s="2">
        <v>45212</v>
      </c>
      <c r="B444" s="1">
        <v>0.59930555555555554</v>
      </c>
      <c r="C444" t="s">
        <v>1278</v>
      </c>
      <c r="D444">
        <v>58</v>
      </c>
      <c r="E444" t="s">
        <v>1303</v>
      </c>
    </row>
    <row r="445" spans="1:5" x14ac:dyDescent="0.25">
      <c r="A445" s="2">
        <v>45212</v>
      </c>
      <c r="B445" s="1">
        <v>0.56805555555555554</v>
      </c>
      <c r="C445" t="s">
        <v>1296</v>
      </c>
      <c r="D445">
        <v>42</v>
      </c>
      <c r="E445" t="s">
        <v>1303</v>
      </c>
    </row>
    <row r="446" spans="1:5" x14ac:dyDescent="0.25">
      <c r="A446" s="2">
        <v>45212</v>
      </c>
      <c r="B446" s="1">
        <v>0.9291666666666667</v>
      </c>
      <c r="C446" t="s">
        <v>1355</v>
      </c>
      <c r="D446">
        <v>118</v>
      </c>
      <c r="E446" t="s">
        <v>1305</v>
      </c>
    </row>
    <row r="447" spans="1:5" x14ac:dyDescent="0.25">
      <c r="A447" s="2">
        <v>45212</v>
      </c>
      <c r="B447" s="1">
        <v>0.48541666666666666</v>
      </c>
      <c r="C447" t="s">
        <v>1614</v>
      </c>
      <c r="D447">
        <v>75</v>
      </c>
      <c r="E447" t="s">
        <v>1300</v>
      </c>
    </row>
    <row r="448" spans="1:5" x14ac:dyDescent="0.25">
      <c r="A448" s="2">
        <v>45212</v>
      </c>
      <c r="B448" s="1">
        <v>0.77430555555555558</v>
      </c>
      <c r="C448" t="s">
        <v>1589</v>
      </c>
      <c r="D448">
        <v>33</v>
      </c>
      <c r="E448" t="s">
        <v>1300</v>
      </c>
    </row>
    <row r="449" spans="1:5" x14ac:dyDescent="0.25">
      <c r="A449" s="2">
        <v>45212</v>
      </c>
      <c r="B449" s="1">
        <v>0.31111111111111112</v>
      </c>
      <c r="C449" t="s">
        <v>1249</v>
      </c>
      <c r="D449">
        <v>79</v>
      </c>
      <c r="E449" t="s">
        <v>1300</v>
      </c>
    </row>
    <row r="450" spans="1:5" x14ac:dyDescent="0.25">
      <c r="A450" s="2">
        <v>45212</v>
      </c>
      <c r="B450" s="1">
        <v>0.68055555555555558</v>
      </c>
      <c r="C450" t="s">
        <v>1505</v>
      </c>
      <c r="D450">
        <v>63</v>
      </c>
      <c r="E450" t="s">
        <v>1300</v>
      </c>
    </row>
    <row r="451" spans="1:5" x14ac:dyDescent="0.25">
      <c r="A451" s="2">
        <v>45212</v>
      </c>
      <c r="B451" s="1">
        <v>0.87986111111111109</v>
      </c>
      <c r="C451" t="s">
        <v>1460</v>
      </c>
      <c r="D451">
        <v>99</v>
      </c>
      <c r="E451" t="s">
        <v>1300</v>
      </c>
    </row>
    <row r="452" spans="1:5" x14ac:dyDescent="0.25">
      <c r="A452" s="2">
        <v>45213</v>
      </c>
      <c r="B452" s="1">
        <v>0.23819444444444443</v>
      </c>
      <c r="C452" t="s">
        <v>975</v>
      </c>
      <c r="D452">
        <v>53</v>
      </c>
      <c r="E452" t="s">
        <v>1303</v>
      </c>
    </row>
    <row r="453" spans="1:5" x14ac:dyDescent="0.25">
      <c r="A453" s="2">
        <v>45213</v>
      </c>
      <c r="B453" s="1">
        <v>0.51875000000000004</v>
      </c>
      <c r="C453" t="s">
        <v>1087</v>
      </c>
      <c r="D453">
        <v>88</v>
      </c>
      <c r="E453" t="s">
        <v>1303</v>
      </c>
    </row>
    <row r="454" spans="1:5" x14ac:dyDescent="0.25">
      <c r="A454" s="2">
        <v>45213</v>
      </c>
      <c r="B454" s="1">
        <v>0.77986111111111112</v>
      </c>
      <c r="C454" t="s">
        <v>1229</v>
      </c>
      <c r="D454">
        <v>120</v>
      </c>
      <c r="E454" t="s">
        <v>1300</v>
      </c>
    </row>
    <row r="455" spans="1:5" x14ac:dyDescent="0.25">
      <c r="A455" s="2">
        <v>45213</v>
      </c>
      <c r="B455" s="1">
        <v>0.57777777777777772</v>
      </c>
      <c r="C455" t="s">
        <v>1469</v>
      </c>
      <c r="D455">
        <v>93</v>
      </c>
      <c r="E455" t="s">
        <v>1303</v>
      </c>
    </row>
    <row r="456" spans="1:5" x14ac:dyDescent="0.25">
      <c r="A456" s="2">
        <v>45213</v>
      </c>
      <c r="B456" s="1">
        <v>0.41736111111111113</v>
      </c>
      <c r="C456" t="s">
        <v>1456</v>
      </c>
      <c r="D456">
        <v>100</v>
      </c>
      <c r="E456" t="s">
        <v>1300</v>
      </c>
    </row>
    <row r="457" spans="1:5" x14ac:dyDescent="0.25">
      <c r="A457" s="2">
        <v>45213</v>
      </c>
      <c r="B457" s="1">
        <v>0.58472222222222225</v>
      </c>
      <c r="C457" t="s">
        <v>1616</v>
      </c>
      <c r="D457">
        <v>35</v>
      </c>
      <c r="E457" t="s">
        <v>1303</v>
      </c>
    </row>
    <row r="458" spans="1:5" x14ac:dyDescent="0.25">
      <c r="A458" s="2">
        <v>45213</v>
      </c>
      <c r="B458" s="1">
        <v>0.92222222222222228</v>
      </c>
      <c r="C458" t="s">
        <v>1506</v>
      </c>
      <c r="D458">
        <v>40</v>
      </c>
      <c r="E458" t="s">
        <v>1300</v>
      </c>
    </row>
    <row r="459" spans="1:5" x14ac:dyDescent="0.25">
      <c r="A459" s="2">
        <v>45213</v>
      </c>
      <c r="B459" s="1">
        <v>0.82222222222222219</v>
      </c>
      <c r="C459" t="s">
        <v>1623</v>
      </c>
      <c r="D459">
        <v>100</v>
      </c>
      <c r="E459" t="s">
        <v>1303</v>
      </c>
    </row>
    <row r="460" spans="1:5" x14ac:dyDescent="0.25">
      <c r="A460" s="2">
        <v>45213</v>
      </c>
      <c r="B460" s="1">
        <v>0.96319444444444446</v>
      </c>
      <c r="C460" t="s">
        <v>1609</v>
      </c>
      <c r="D460">
        <v>25</v>
      </c>
      <c r="E460" t="s">
        <v>1303</v>
      </c>
    </row>
    <row r="461" spans="1:5" x14ac:dyDescent="0.25">
      <c r="A461" s="2">
        <v>45213</v>
      </c>
      <c r="B461" s="1">
        <v>0.4465277777777778</v>
      </c>
      <c r="C461" t="s">
        <v>1447</v>
      </c>
      <c r="D461">
        <v>111</v>
      </c>
      <c r="E461" t="s">
        <v>1300</v>
      </c>
    </row>
    <row r="462" spans="1:5" x14ac:dyDescent="0.25">
      <c r="A462" s="2">
        <v>45213</v>
      </c>
      <c r="B462" s="1">
        <v>0.89166666666666672</v>
      </c>
      <c r="C462" t="s">
        <v>1356</v>
      </c>
      <c r="D462">
        <v>104</v>
      </c>
      <c r="E462" t="s">
        <v>1300</v>
      </c>
    </row>
    <row r="463" spans="1:5" x14ac:dyDescent="0.25">
      <c r="A463" s="2">
        <v>45213</v>
      </c>
      <c r="B463" s="1">
        <v>0.90763888888888888</v>
      </c>
      <c r="C463" t="s">
        <v>995</v>
      </c>
      <c r="D463">
        <v>52</v>
      </c>
      <c r="E463" t="s">
        <v>1300</v>
      </c>
    </row>
    <row r="464" spans="1:5" x14ac:dyDescent="0.25">
      <c r="A464" s="2">
        <v>45213</v>
      </c>
      <c r="B464" s="1">
        <v>0.3347222222222222</v>
      </c>
      <c r="C464" t="s">
        <v>1421</v>
      </c>
      <c r="D464">
        <v>62</v>
      </c>
      <c r="E464" t="s">
        <v>1300</v>
      </c>
    </row>
    <row r="465" spans="1:5" x14ac:dyDescent="0.25">
      <c r="A465" s="2">
        <v>45213</v>
      </c>
      <c r="B465" s="1">
        <v>0.7631944444444444</v>
      </c>
      <c r="C465" t="s">
        <v>1130</v>
      </c>
      <c r="D465">
        <v>119</v>
      </c>
      <c r="E465" t="s">
        <v>1305</v>
      </c>
    </row>
    <row r="466" spans="1:5" x14ac:dyDescent="0.25">
      <c r="A466" s="2">
        <v>45213</v>
      </c>
      <c r="B466" s="1">
        <v>0.25416666666666665</v>
      </c>
      <c r="C466" t="s">
        <v>885</v>
      </c>
      <c r="D466">
        <v>73</v>
      </c>
      <c r="E466" t="s">
        <v>1305</v>
      </c>
    </row>
    <row r="467" spans="1:5" x14ac:dyDescent="0.25">
      <c r="A467" s="2">
        <v>45213</v>
      </c>
      <c r="B467" s="1">
        <v>0.59305555555555556</v>
      </c>
      <c r="C467" t="s">
        <v>1498</v>
      </c>
      <c r="D467">
        <v>50</v>
      </c>
      <c r="E467" t="s">
        <v>1305</v>
      </c>
    </row>
    <row r="468" spans="1:5" x14ac:dyDescent="0.25">
      <c r="A468" s="2">
        <v>45213</v>
      </c>
      <c r="B468" s="1">
        <v>2.2916666666666665E-2</v>
      </c>
      <c r="C468" t="s">
        <v>993</v>
      </c>
      <c r="D468">
        <v>56</v>
      </c>
      <c r="E468" t="s">
        <v>1305</v>
      </c>
    </row>
    <row r="469" spans="1:5" x14ac:dyDescent="0.25">
      <c r="A469" s="2">
        <v>45213</v>
      </c>
      <c r="B469" s="1">
        <v>6.6666666666666666E-2</v>
      </c>
      <c r="C469" t="s">
        <v>927</v>
      </c>
      <c r="D469">
        <v>63</v>
      </c>
      <c r="E469" t="s">
        <v>1300</v>
      </c>
    </row>
    <row r="470" spans="1:5" x14ac:dyDescent="0.25">
      <c r="A470" s="2">
        <v>45213</v>
      </c>
      <c r="B470" s="1">
        <v>0.34236111111111112</v>
      </c>
      <c r="C470" t="s">
        <v>1225</v>
      </c>
      <c r="D470">
        <v>63</v>
      </c>
      <c r="E470" t="s">
        <v>1303</v>
      </c>
    </row>
    <row r="471" spans="1:5" x14ac:dyDescent="0.25">
      <c r="A471" s="2">
        <v>45213</v>
      </c>
      <c r="B471" s="1">
        <v>0.31111111111111112</v>
      </c>
      <c r="C471" t="s">
        <v>1249</v>
      </c>
      <c r="D471">
        <v>22</v>
      </c>
      <c r="E471" t="s">
        <v>1303</v>
      </c>
    </row>
    <row r="472" spans="1:5" x14ac:dyDescent="0.25">
      <c r="A472" s="2">
        <v>45213</v>
      </c>
      <c r="B472" s="1">
        <v>0.60763888888888884</v>
      </c>
      <c r="C472" t="s">
        <v>1523</v>
      </c>
      <c r="D472">
        <v>22</v>
      </c>
      <c r="E472" t="s">
        <v>1300</v>
      </c>
    </row>
    <row r="473" spans="1:5" x14ac:dyDescent="0.25">
      <c r="A473" s="2">
        <v>45213</v>
      </c>
      <c r="B473" s="1">
        <v>0.21041666666666667</v>
      </c>
      <c r="C473" t="s">
        <v>1290</v>
      </c>
      <c r="D473">
        <v>28</v>
      </c>
      <c r="E473" t="s">
        <v>1305</v>
      </c>
    </row>
    <row r="474" spans="1:5" x14ac:dyDescent="0.25">
      <c r="A474" s="2">
        <v>45213</v>
      </c>
      <c r="B474" s="1">
        <v>0.9604166666666667</v>
      </c>
      <c r="C474" t="s">
        <v>1431</v>
      </c>
      <c r="D474">
        <v>103</v>
      </c>
      <c r="E474" t="s">
        <v>1303</v>
      </c>
    </row>
    <row r="475" spans="1:5" x14ac:dyDescent="0.25">
      <c r="A475" s="2">
        <v>45213</v>
      </c>
      <c r="B475" s="1">
        <v>0.23749999999999999</v>
      </c>
      <c r="C475" t="s">
        <v>1277</v>
      </c>
      <c r="D475">
        <v>68</v>
      </c>
      <c r="E475" t="s">
        <v>1305</v>
      </c>
    </row>
    <row r="476" spans="1:5" x14ac:dyDescent="0.25">
      <c r="A476" s="2">
        <v>45213</v>
      </c>
      <c r="B476" s="1">
        <v>4.2361111111111113E-2</v>
      </c>
      <c r="C476" t="s">
        <v>993</v>
      </c>
      <c r="D476">
        <v>119</v>
      </c>
      <c r="E476" t="s">
        <v>1303</v>
      </c>
    </row>
    <row r="477" spans="1:5" x14ac:dyDescent="0.25">
      <c r="A477" s="2">
        <v>45213</v>
      </c>
      <c r="B477" s="1">
        <v>0.87222222222222223</v>
      </c>
      <c r="C477" t="s">
        <v>934</v>
      </c>
      <c r="D477">
        <v>46</v>
      </c>
      <c r="E477" t="s">
        <v>1303</v>
      </c>
    </row>
    <row r="478" spans="1:5" x14ac:dyDescent="0.25">
      <c r="A478" s="2">
        <v>45213</v>
      </c>
      <c r="B478" s="1">
        <v>0.1451388888888889</v>
      </c>
      <c r="C478" t="s">
        <v>1033</v>
      </c>
      <c r="D478">
        <v>105</v>
      </c>
      <c r="E478" t="s">
        <v>1303</v>
      </c>
    </row>
    <row r="479" spans="1:5" x14ac:dyDescent="0.25">
      <c r="A479" s="2">
        <v>45213</v>
      </c>
      <c r="B479" s="1">
        <v>0.94861111111111107</v>
      </c>
      <c r="C479" t="s">
        <v>908</v>
      </c>
      <c r="D479">
        <v>72</v>
      </c>
      <c r="E479" t="s">
        <v>1303</v>
      </c>
    </row>
    <row r="480" spans="1:5" x14ac:dyDescent="0.25">
      <c r="A480" s="2">
        <v>45213</v>
      </c>
      <c r="B480" s="1">
        <v>0.35138888888888886</v>
      </c>
      <c r="C480" t="s">
        <v>937</v>
      </c>
      <c r="D480">
        <v>86</v>
      </c>
      <c r="E480" t="s">
        <v>1305</v>
      </c>
    </row>
    <row r="481" spans="1:5" x14ac:dyDescent="0.25">
      <c r="A481" s="2">
        <v>45213</v>
      </c>
      <c r="B481" s="1">
        <v>0.1125</v>
      </c>
      <c r="C481" t="s">
        <v>1351</v>
      </c>
      <c r="D481">
        <v>93</v>
      </c>
      <c r="E481" t="s">
        <v>1300</v>
      </c>
    </row>
    <row r="482" spans="1:5" x14ac:dyDescent="0.25">
      <c r="A482" s="2">
        <v>45213</v>
      </c>
      <c r="B482" s="1">
        <v>0.32847222222222222</v>
      </c>
      <c r="C482" t="s">
        <v>1517</v>
      </c>
      <c r="D482">
        <v>22</v>
      </c>
      <c r="E482" t="s">
        <v>1305</v>
      </c>
    </row>
    <row r="483" spans="1:5" x14ac:dyDescent="0.25">
      <c r="A483" s="2">
        <v>45213</v>
      </c>
      <c r="B483" s="1">
        <v>0.4284722222222222</v>
      </c>
      <c r="C483" t="s">
        <v>1311</v>
      </c>
      <c r="D483">
        <v>101</v>
      </c>
      <c r="E483" t="s">
        <v>1303</v>
      </c>
    </row>
    <row r="484" spans="1:5" x14ac:dyDescent="0.25">
      <c r="A484" s="2">
        <v>45213</v>
      </c>
      <c r="B484" s="1">
        <v>0.64583333333333337</v>
      </c>
      <c r="C484" t="s">
        <v>1196</v>
      </c>
      <c r="D484">
        <v>95</v>
      </c>
      <c r="E484" t="s">
        <v>1300</v>
      </c>
    </row>
    <row r="485" spans="1:5" x14ac:dyDescent="0.25">
      <c r="A485" s="2">
        <v>45213</v>
      </c>
      <c r="B485" s="1">
        <v>0.59791666666666665</v>
      </c>
      <c r="C485" t="s">
        <v>1437</v>
      </c>
      <c r="D485">
        <v>108</v>
      </c>
      <c r="E485" t="s">
        <v>1303</v>
      </c>
    </row>
    <row r="486" spans="1:5" x14ac:dyDescent="0.25">
      <c r="A486" s="2">
        <v>45213</v>
      </c>
      <c r="B486" s="1">
        <v>2.7083333333333334E-2</v>
      </c>
      <c r="C486" t="s">
        <v>1039</v>
      </c>
      <c r="D486">
        <v>68</v>
      </c>
      <c r="E486" t="s">
        <v>1305</v>
      </c>
    </row>
    <row r="487" spans="1:5" x14ac:dyDescent="0.25">
      <c r="A487" s="2">
        <v>45213</v>
      </c>
      <c r="B487" s="1">
        <v>0.77083333333333337</v>
      </c>
      <c r="C487" t="s">
        <v>1612</v>
      </c>
      <c r="D487">
        <v>11</v>
      </c>
      <c r="E487" t="s">
        <v>1305</v>
      </c>
    </row>
    <row r="488" spans="1:5" x14ac:dyDescent="0.25">
      <c r="A488" s="2">
        <v>45214</v>
      </c>
      <c r="B488" s="1">
        <v>0.16805555555555557</v>
      </c>
      <c r="C488" t="s">
        <v>1270</v>
      </c>
      <c r="D488">
        <v>106</v>
      </c>
      <c r="E488" t="s">
        <v>1300</v>
      </c>
    </row>
    <row r="489" spans="1:5" x14ac:dyDescent="0.25">
      <c r="A489" s="2">
        <v>45214</v>
      </c>
      <c r="B489" s="1">
        <v>0.74097222222222225</v>
      </c>
      <c r="C489" t="s">
        <v>860</v>
      </c>
      <c r="D489">
        <v>8</v>
      </c>
      <c r="E489" t="s">
        <v>1300</v>
      </c>
    </row>
    <row r="490" spans="1:5" x14ac:dyDescent="0.25">
      <c r="A490" s="2">
        <v>45214</v>
      </c>
      <c r="B490" s="1">
        <v>0.59375</v>
      </c>
      <c r="C490" t="s">
        <v>1423</v>
      </c>
      <c r="D490">
        <v>51</v>
      </c>
      <c r="E490" t="s">
        <v>1305</v>
      </c>
    </row>
    <row r="491" spans="1:5" x14ac:dyDescent="0.25">
      <c r="A491" s="2">
        <v>45214</v>
      </c>
      <c r="B491" s="1">
        <v>0.94305555555555554</v>
      </c>
      <c r="C491" t="s">
        <v>1257</v>
      </c>
      <c r="D491">
        <v>16</v>
      </c>
      <c r="E491" t="s">
        <v>1300</v>
      </c>
    </row>
    <row r="492" spans="1:5" x14ac:dyDescent="0.25">
      <c r="A492" s="2">
        <v>45214</v>
      </c>
      <c r="B492" s="1">
        <v>0.7368055555555556</v>
      </c>
      <c r="C492" t="s">
        <v>1252</v>
      </c>
      <c r="D492">
        <v>34</v>
      </c>
      <c r="E492" t="s">
        <v>1305</v>
      </c>
    </row>
    <row r="493" spans="1:5" x14ac:dyDescent="0.25">
      <c r="A493" s="2">
        <v>45214</v>
      </c>
      <c r="B493" s="1">
        <v>1.8749999999999999E-2</v>
      </c>
      <c r="C493" t="s">
        <v>1157</v>
      </c>
      <c r="D493">
        <v>115</v>
      </c>
      <c r="E493" t="s">
        <v>1303</v>
      </c>
    </row>
    <row r="494" spans="1:5" x14ac:dyDescent="0.25">
      <c r="A494" s="2">
        <v>45214</v>
      </c>
      <c r="B494" s="1">
        <v>0.63472222222222219</v>
      </c>
      <c r="C494" t="s">
        <v>990</v>
      </c>
      <c r="D494">
        <v>112</v>
      </c>
      <c r="E494" t="s">
        <v>1303</v>
      </c>
    </row>
    <row r="495" spans="1:5" x14ac:dyDescent="0.25">
      <c r="A495" s="2">
        <v>45214</v>
      </c>
      <c r="B495" s="1">
        <v>0.11319444444444444</v>
      </c>
      <c r="C495" t="s">
        <v>1331</v>
      </c>
      <c r="D495">
        <v>47</v>
      </c>
      <c r="E495" t="s">
        <v>1305</v>
      </c>
    </row>
    <row r="496" spans="1:5" x14ac:dyDescent="0.25">
      <c r="A496" s="2">
        <v>45214</v>
      </c>
      <c r="B496" s="1">
        <v>0.61319444444444449</v>
      </c>
      <c r="C496" t="s">
        <v>1471</v>
      </c>
      <c r="D496">
        <v>61</v>
      </c>
      <c r="E496" t="s">
        <v>1305</v>
      </c>
    </row>
    <row r="497" spans="1:5" x14ac:dyDescent="0.25">
      <c r="A497" s="2">
        <v>45214</v>
      </c>
      <c r="B497" s="1">
        <v>0.71319444444444446</v>
      </c>
      <c r="C497" t="s">
        <v>1153</v>
      </c>
      <c r="D497">
        <v>25</v>
      </c>
      <c r="E497" t="s">
        <v>1300</v>
      </c>
    </row>
    <row r="498" spans="1:5" x14ac:dyDescent="0.25">
      <c r="A498" s="2">
        <v>45214</v>
      </c>
      <c r="B498" s="1">
        <v>0.9604166666666667</v>
      </c>
      <c r="C498" t="s">
        <v>923</v>
      </c>
      <c r="D498">
        <v>38</v>
      </c>
      <c r="E498" t="s">
        <v>1300</v>
      </c>
    </row>
    <row r="499" spans="1:5" x14ac:dyDescent="0.25">
      <c r="A499" s="2">
        <v>45214</v>
      </c>
      <c r="B499" s="1">
        <v>0.17222222222222222</v>
      </c>
      <c r="C499" t="s">
        <v>958</v>
      </c>
      <c r="D499">
        <v>6</v>
      </c>
      <c r="E499" t="s">
        <v>1300</v>
      </c>
    </row>
    <row r="500" spans="1:5" x14ac:dyDescent="0.25">
      <c r="A500" s="2">
        <v>45214</v>
      </c>
      <c r="B500" s="1">
        <v>0.14583333333333334</v>
      </c>
      <c r="C500" t="s">
        <v>1419</v>
      </c>
      <c r="D500">
        <v>29</v>
      </c>
      <c r="E500" t="s">
        <v>1305</v>
      </c>
    </row>
    <row r="501" spans="1:5" x14ac:dyDescent="0.25">
      <c r="A501" s="2">
        <v>45214</v>
      </c>
      <c r="B501" s="1">
        <v>0.75208333333333333</v>
      </c>
      <c r="C501" t="s">
        <v>1504</v>
      </c>
      <c r="D501">
        <v>89</v>
      </c>
      <c r="E501" t="s">
        <v>1303</v>
      </c>
    </row>
    <row r="502" spans="1:5" x14ac:dyDescent="0.25">
      <c r="A502" s="2">
        <v>45214</v>
      </c>
      <c r="B502" s="1">
        <v>0.23541666666666666</v>
      </c>
      <c r="C502" t="s">
        <v>1132</v>
      </c>
      <c r="D502">
        <v>33</v>
      </c>
      <c r="E502" t="s">
        <v>1300</v>
      </c>
    </row>
    <row r="503" spans="1:5" x14ac:dyDescent="0.25">
      <c r="A503" s="2">
        <v>45214</v>
      </c>
      <c r="B503" s="1">
        <v>0.18541666666666667</v>
      </c>
      <c r="C503" t="s">
        <v>1326</v>
      </c>
      <c r="D503">
        <v>36</v>
      </c>
      <c r="E503" t="s">
        <v>1303</v>
      </c>
    </row>
    <row r="504" spans="1:5" x14ac:dyDescent="0.25">
      <c r="A504" s="2">
        <v>45214</v>
      </c>
      <c r="B504" s="1">
        <v>0.61319444444444449</v>
      </c>
      <c r="C504" t="s">
        <v>1361</v>
      </c>
      <c r="D504">
        <v>11</v>
      </c>
      <c r="E504" t="s">
        <v>1305</v>
      </c>
    </row>
    <row r="505" spans="1:5" x14ac:dyDescent="0.25">
      <c r="A505" s="2">
        <v>45214</v>
      </c>
      <c r="B505" s="1">
        <v>0.89375000000000004</v>
      </c>
      <c r="C505" t="s">
        <v>1440</v>
      </c>
      <c r="D505">
        <v>60</v>
      </c>
      <c r="E505" t="s">
        <v>1303</v>
      </c>
    </row>
    <row r="506" spans="1:5" x14ac:dyDescent="0.25">
      <c r="A506" s="2">
        <v>45214</v>
      </c>
      <c r="B506" s="1">
        <v>0.81666666666666665</v>
      </c>
      <c r="C506" t="s">
        <v>1345</v>
      </c>
      <c r="D506">
        <v>92</v>
      </c>
      <c r="E506" t="s">
        <v>1305</v>
      </c>
    </row>
    <row r="507" spans="1:5" x14ac:dyDescent="0.25">
      <c r="A507" s="2">
        <v>45214</v>
      </c>
      <c r="B507" s="1">
        <v>0.27291666666666664</v>
      </c>
      <c r="C507" t="s">
        <v>1379</v>
      </c>
      <c r="D507">
        <v>26</v>
      </c>
      <c r="E507" t="s">
        <v>1303</v>
      </c>
    </row>
    <row r="508" spans="1:5" x14ac:dyDescent="0.25">
      <c r="A508" s="2">
        <v>45214</v>
      </c>
      <c r="B508" s="1">
        <v>0.59652777777777777</v>
      </c>
      <c r="C508" t="s">
        <v>1382</v>
      </c>
      <c r="D508">
        <v>88</v>
      </c>
      <c r="E508" t="s">
        <v>1305</v>
      </c>
    </row>
    <row r="509" spans="1:5" x14ac:dyDescent="0.25">
      <c r="A509" s="2">
        <v>45214</v>
      </c>
      <c r="B509" s="1">
        <v>0.7993055555555556</v>
      </c>
      <c r="C509" t="s">
        <v>1538</v>
      </c>
      <c r="D509">
        <v>67</v>
      </c>
      <c r="E509" t="s">
        <v>1300</v>
      </c>
    </row>
    <row r="510" spans="1:5" x14ac:dyDescent="0.25">
      <c r="A510" s="2">
        <v>45214</v>
      </c>
      <c r="B510" s="1">
        <v>0.10972222222222222</v>
      </c>
      <c r="C510" t="s">
        <v>1392</v>
      </c>
      <c r="D510">
        <v>102</v>
      </c>
      <c r="E510" t="s">
        <v>1303</v>
      </c>
    </row>
    <row r="511" spans="1:5" x14ac:dyDescent="0.25">
      <c r="A511" s="2">
        <v>45214</v>
      </c>
      <c r="B511" s="1">
        <v>0.92986111111111114</v>
      </c>
      <c r="C511" t="s">
        <v>1390</v>
      </c>
      <c r="D511">
        <v>89</v>
      </c>
      <c r="E511" t="s">
        <v>1305</v>
      </c>
    </row>
    <row r="512" spans="1:5" x14ac:dyDescent="0.25">
      <c r="A512" s="2">
        <v>45214</v>
      </c>
      <c r="B512" s="1">
        <v>0.85069444444444442</v>
      </c>
      <c r="C512" t="s">
        <v>847</v>
      </c>
      <c r="D512">
        <v>31</v>
      </c>
      <c r="E512" t="s">
        <v>1305</v>
      </c>
    </row>
    <row r="513" spans="1:5" x14ac:dyDescent="0.25">
      <c r="A513" s="2">
        <v>45214</v>
      </c>
      <c r="B513" s="1">
        <v>0.69791666666666663</v>
      </c>
      <c r="C513" t="s">
        <v>940</v>
      </c>
      <c r="D513">
        <v>98</v>
      </c>
      <c r="E513" t="s">
        <v>1305</v>
      </c>
    </row>
    <row r="514" spans="1:5" x14ac:dyDescent="0.25">
      <c r="A514" s="2">
        <v>45214</v>
      </c>
      <c r="B514" s="1">
        <v>0.43472222222222223</v>
      </c>
      <c r="C514" t="s">
        <v>980</v>
      </c>
      <c r="D514">
        <v>61</v>
      </c>
      <c r="E514" t="s">
        <v>1305</v>
      </c>
    </row>
    <row r="515" spans="1:5" x14ac:dyDescent="0.25">
      <c r="A515" s="2">
        <v>45214</v>
      </c>
      <c r="B515" s="1">
        <v>8.1944444444444445E-2</v>
      </c>
      <c r="C515" t="s">
        <v>1597</v>
      </c>
      <c r="D515">
        <v>87</v>
      </c>
      <c r="E515" t="s">
        <v>1303</v>
      </c>
    </row>
    <row r="516" spans="1:5" x14ac:dyDescent="0.25">
      <c r="A516" s="2">
        <v>45214</v>
      </c>
      <c r="B516" s="1">
        <v>0.45763888888888887</v>
      </c>
      <c r="C516" t="s">
        <v>973</v>
      </c>
      <c r="D516">
        <v>48</v>
      </c>
      <c r="E516" t="s">
        <v>1305</v>
      </c>
    </row>
    <row r="517" spans="1:5" x14ac:dyDescent="0.25">
      <c r="A517" s="2">
        <v>45214</v>
      </c>
      <c r="B517" s="1">
        <v>0.93125000000000002</v>
      </c>
      <c r="C517" t="s">
        <v>1518</v>
      </c>
      <c r="D517">
        <v>81</v>
      </c>
      <c r="E517" t="s">
        <v>1303</v>
      </c>
    </row>
    <row r="518" spans="1:5" x14ac:dyDescent="0.25">
      <c r="A518" s="2">
        <v>45214</v>
      </c>
      <c r="B518" s="1">
        <v>0.2902777777777778</v>
      </c>
      <c r="C518" t="s">
        <v>862</v>
      </c>
      <c r="D518">
        <v>27</v>
      </c>
      <c r="E518" t="s">
        <v>1303</v>
      </c>
    </row>
    <row r="519" spans="1:5" x14ac:dyDescent="0.25">
      <c r="A519" s="2">
        <v>45214</v>
      </c>
      <c r="B519" s="1">
        <v>0.77430555555555558</v>
      </c>
      <c r="C519" t="s">
        <v>1012</v>
      </c>
      <c r="D519">
        <v>118</v>
      </c>
      <c r="E519" t="s">
        <v>1300</v>
      </c>
    </row>
    <row r="520" spans="1:5" x14ac:dyDescent="0.25">
      <c r="A520" s="2">
        <v>45214</v>
      </c>
      <c r="B520" s="1">
        <v>0.19305555555555556</v>
      </c>
      <c r="C520" t="s">
        <v>1318</v>
      </c>
      <c r="D520">
        <v>76</v>
      </c>
      <c r="E520" t="s">
        <v>1305</v>
      </c>
    </row>
    <row r="521" spans="1:5" x14ac:dyDescent="0.25">
      <c r="A521" s="2">
        <v>45214</v>
      </c>
      <c r="B521" s="1">
        <v>0.16041666666666668</v>
      </c>
      <c r="C521" t="s">
        <v>1059</v>
      </c>
      <c r="D521">
        <v>108</v>
      </c>
      <c r="E521" t="s">
        <v>1305</v>
      </c>
    </row>
    <row r="522" spans="1:5" x14ac:dyDescent="0.25">
      <c r="A522" s="2">
        <v>45214</v>
      </c>
      <c r="B522" s="1">
        <v>0.68402777777777779</v>
      </c>
      <c r="C522" t="s">
        <v>815</v>
      </c>
      <c r="D522">
        <v>119</v>
      </c>
      <c r="E522" t="s">
        <v>1305</v>
      </c>
    </row>
    <row r="523" spans="1:5" x14ac:dyDescent="0.25">
      <c r="A523" s="2">
        <v>45214</v>
      </c>
      <c r="B523" s="1">
        <v>0.1361111111111111</v>
      </c>
      <c r="C523" t="s">
        <v>1537</v>
      </c>
      <c r="D523">
        <v>92</v>
      </c>
      <c r="E523" t="s">
        <v>1300</v>
      </c>
    </row>
    <row r="524" spans="1:5" x14ac:dyDescent="0.25">
      <c r="A524" s="2">
        <v>45214</v>
      </c>
      <c r="B524" s="1">
        <v>0.87013888888888891</v>
      </c>
      <c r="C524" t="s">
        <v>1318</v>
      </c>
      <c r="D524">
        <v>72</v>
      </c>
      <c r="E524" t="s">
        <v>1300</v>
      </c>
    </row>
    <row r="525" spans="1:5" x14ac:dyDescent="0.25">
      <c r="A525" s="2">
        <v>45215</v>
      </c>
      <c r="B525" s="1">
        <v>5.6944444444444443E-2</v>
      </c>
      <c r="C525" t="s">
        <v>1042</v>
      </c>
      <c r="D525">
        <v>99</v>
      </c>
      <c r="E525" t="s">
        <v>1303</v>
      </c>
    </row>
    <row r="526" spans="1:5" x14ac:dyDescent="0.25">
      <c r="A526" s="2">
        <v>45215</v>
      </c>
      <c r="B526" s="1">
        <v>0.47916666666666669</v>
      </c>
      <c r="C526" t="s">
        <v>1361</v>
      </c>
      <c r="D526">
        <v>67</v>
      </c>
      <c r="E526" t="s">
        <v>1305</v>
      </c>
    </row>
    <row r="527" spans="1:5" x14ac:dyDescent="0.25">
      <c r="A527" s="2">
        <v>45215</v>
      </c>
      <c r="B527" s="1">
        <v>0.23194444444444445</v>
      </c>
      <c r="C527" t="s">
        <v>1456</v>
      </c>
      <c r="D527">
        <v>25</v>
      </c>
      <c r="E527" t="s">
        <v>1303</v>
      </c>
    </row>
    <row r="528" spans="1:5" x14ac:dyDescent="0.25">
      <c r="A528" s="2">
        <v>45215</v>
      </c>
      <c r="B528" s="1">
        <v>0.16388888888888889</v>
      </c>
      <c r="C528" t="s">
        <v>1615</v>
      </c>
      <c r="D528">
        <v>109</v>
      </c>
      <c r="E528" t="s">
        <v>1303</v>
      </c>
    </row>
    <row r="529" spans="1:5" x14ac:dyDescent="0.25">
      <c r="A529" s="2">
        <v>45215</v>
      </c>
      <c r="B529" s="1">
        <v>8.8888888888888892E-2</v>
      </c>
      <c r="C529" t="s">
        <v>1485</v>
      </c>
      <c r="D529">
        <v>59</v>
      </c>
      <c r="E529" t="s">
        <v>1305</v>
      </c>
    </row>
    <row r="530" spans="1:5" x14ac:dyDescent="0.25">
      <c r="A530" s="2">
        <v>45215</v>
      </c>
      <c r="B530" s="1">
        <v>0.37291666666666667</v>
      </c>
      <c r="C530" t="s">
        <v>909</v>
      </c>
      <c r="D530">
        <v>70</v>
      </c>
      <c r="E530" t="s">
        <v>1303</v>
      </c>
    </row>
    <row r="531" spans="1:5" x14ac:dyDescent="0.25">
      <c r="A531" s="2">
        <v>45215</v>
      </c>
      <c r="B531" s="1">
        <v>0.5805555555555556</v>
      </c>
      <c r="C531" t="s">
        <v>1162</v>
      </c>
      <c r="D531">
        <v>102</v>
      </c>
      <c r="E531" t="s">
        <v>1305</v>
      </c>
    </row>
    <row r="532" spans="1:5" x14ac:dyDescent="0.25">
      <c r="A532" s="2">
        <v>45215</v>
      </c>
      <c r="B532" s="1">
        <v>0.77500000000000002</v>
      </c>
      <c r="C532" t="s">
        <v>1189</v>
      </c>
      <c r="D532">
        <v>95</v>
      </c>
      <c r="E532" t="s">
        <v>1303</v>
      </c>
    </row>
    <row r="533" spans="1:5" x14ac:dyDescent="0.25">
      <c r="A533" s="2">
        <v>45215</v>
      </c>
      <c r="B533" s="1">
        <v>0.10833333333333334</v>
      </c>
      <c r="C533" t="s">
        <v>1379</v>
      </c>
      <c r="D533">
        <v>39</v>
      </c>
      <c r="E533" t="s">
        <v>1305</v>
      </c>
    </row>
    <row r="534" spans="1:5" x14ac:dyDescent="0.25">
      <c r="A534" s="2">
        <v>45215</v>
      </c>
      <c r="B534" s="1">
        <v>0.74375000000000002</v>
      </c>
      <c r="C534" t="s">
        <v>1496</v>
      </c>
      <c r="D534">
        <v>103</v>
      </c>
      <c r="E534" t="s">
        <v>1300</v>
      </c>
    </row>
    <row r="535" spans="1:5" x14ac:dyDescent="0.25">
      <c r="A535" s="2">
        <v>45215</v>
      </c>
      <c r="B535" s="1">
        <v>4.7222222222222221E-2</v>
      </c>
      <c r="C535" t="s">
        <v>1400</v>
      </c>
      <c r="D535">
        <v>35</v>
      </c>
      <c r="E535" t="s">
        <v>1300</v>
      </c>
    </row>
    <row r="536" spans="1:5" x14ac:dyDescent="0.25">
      <c r="A536" s="2">
        <v>45215</v>
      </c>
      <c r="B536" s="1">
        <v>0.87986111111111109</v>
      </c>
      <c r="C536" t="s">
        <v>1367</v>
      </c>
      <c r="D536">
        <v>16</v>
      </c>
      <c r="E536" t="s">
        <v>1303</v>
      </c>
    </row>
    <row r="537" spans="1:5" x14ac:dyDescent="0.25">
      <c r="A537" s="2">
        <v>45215</v>
      </c>
      <c r="B537" s="1">
        <v>0.59791666666666665</v>
      </c>
      <c r="C537" t="s">
        <v>1377</v>
      </c>
      <c r="D537">
        <v>7</v>
      </c>
      <c r="E537" t="s">
        <v>1305</v>
      </c>
    </row>
    <row r="538" spans="1:5" x14ac:dyDescent="0.25">
      <c r="A538" s="2">
        <v>45215</v>
      </c>
      <c r="B538" s="1">
        <v>9.3055555555555558E-2</v>
      </c>
      <c r="C538" t="s">
        <v>893</v>
      </c>
      <c r="D538">
        <v>87</v>
      </c>
      <c r="E538" t="s">
        <v>1300</v>
      </c>
    </row>
    <row r="539" spans="1:5" x14ac:dyDescent="0.25">
      <c r="A539" s="2">
        <v>45215</v>
      </c>
      <c r="B539" s="1">
        <v>1.6666666666666666E-2</v>
      </c>
      <c r="C539" t="s">
        <v>1573</v>
      </c>
      <c r="D539">
        <v>35</v>
      </c>
      <c r="E539" t="s">
        <v>1303</v>
      </c>
    </row>
    <row r="540" spans="1:5" x14ac:dyDescent="0.25">
      <c r="A540" s="2">
        <v>45215</v>
      </c>
      <c r="B540" s="1">
        <v>0.14374999999999999</v>
      </c>
      <c r="C540" t="s">
        <v>1376</v>
      </c>
      <c r="D540">
        <v>107</v>
      </c>
      <c r="E540" t="s">
        <v>1303</v>
      </c>
    </row>
    <row r="541" spans="1:5" x14ac:dyDescent="0.25">
      <c r="A541" s="2">
        <v>45215</v>
      </c>
      <c r="B541" s="1">
        <v>0.70486111111111116</v>
      </c>
      <c r="C541" t="s">
        <v>933</v>
      </c>
      <c r="D541">
        <v>107</v>
      </c>
      <c r="E541" t="s">
        <v>1300</v>
      </c>
    </row>
    <row r="542" spans="1:5" x14ac:dyDescent="0.25">
      <c r="A542" s="2">
        <v>45215</v>
      </c>
      <c r="B542" s="1">
        <v>0.81111111111111112</v>
      </c>
      <c r="C542" t="s">
        <v>1376</v>
      </c>
      <c r="D542">
        <v>7</v>
      </c>
      <c r="E542" t="s">
        <v>1305</v>
      </c>
    </row>
    <row r="543" spans="1:5" x14ac:dyDescent="0.25">
      <c r="A543" s="2">
        <v>45215</v>
      </c>
      <c r="B543" s="1">
        <v>0.99027777777777781</v>
      </c>
      <c r="C543" t="s">
        <v>1258</v>
      </c>
      <c r="D543">
        <v>66</v>
      </c>
      <c r="E543" t="s">
        <v>1305</v>
      </c>
    </row>
    <row r="544" spans="1:5" x14ac:dyDescent="0.25">
      <c r="A544" s="2">
        <v>45215</v>
      </c>
      <c r="B544" s="1">
        <v>0.45763888888888887</v>
      </c>
      <c r="C544" t="s">
        <v>1197</v>
      </c>
      <c r="D544">
        <v>100</v>
      </c>
      <c r="E544" t="s">
        <v>1300</v>
      </c>
    </row>
    <row r="545" spans="1:5" x14ac:dyDescent="0.25">
      <c r="A545" s="2">
        <v>45215</v>
      </c>
      <c r="B545" s="1">
        <v>0.75694444444444442</v>
      </c>
      <c r="C545" t="s">
        <v>1558</v>
      </c>
      <c r="D545">
        <v>24</v>
      </c>
      <c r="E545" t="s">
        <v>1305</v>
      </c>
    </row>
    <row r="546" spans="1:5" x14ac:dyDescent="0.25">
      <c r="A546" s="2">
        <v>45215</v>
      </c>
      <c r="B546" s="1">
        <v>0.77638888888888891</v>
      </c>
      <c r="C546" t="s">
        <v>1011</v>
      </c>
      <c r="D546">
        <v>87</v>
      </c>
      <c r="E546" t="s">
        <v>1305</v>
      </c>
    </row>
    <row r="547" spans="1:5" x14ac:dyDescent="0.25">
      <c r="A547" s="2">
        <v>45215</v>
      </c>
      <c r="B547" s="1">
        <v>0.2722222222222222</v>
      </c>
      <c r="C547" t="s">
        <v>1604</v>
      </c>
      <c r="D547">
        <v>56</v>
      </c>
      <c r="E547" t="s">
        <v>1305</v>
      </c>
    </row>
    <row r="548" spans="1:5" x14ac:dyDescent="0.25">
      <c r="A548" s="2">
        <v>45215</v>
      </c>
      <c r="B548" s="1">
        <v>0.58750000000000002</v>
      </c>
      <c r="C548" t="s">
        <v>853</v>
      </c>
      <c r="D548">
        <v>24</v>
      </c>
      <c r="E548" t="s">
        <v>1303</v>
      </c>
    </row>
    <row r="549" spans="1:5" x14ac:dyDescent="0.25">
      <c r="A549" s="2">
        <v>45215</v>
      </c>
      <c r="B549" s="1">
        <v>0.67291666666666672</v>
      </c>
      <c r="C549" t="s">
        <v>1115</v>
      </c>
      <c r="D549">
        <v>117</v>
      </c>
      <c r="E549" t="s">
        <v>1305</v>
      </c>
    </row>
    <row r="550" spans="1:5" x14ac:dyDescent="0.25">
      <c r="A550" s="2">
        <v>45215</v>
      </c>
      <c r="B550" s="1">
        <v>1.5972222222222221E-2</v>
      </c>
      <c r="C550" t="s">
        <v>951</v>
      </c>
      <c r="D550">
        <v>74</v>
      </c>
      <c r="E550" t="s">
        <v>1300</v>
      </c>
    </row>
    <row r="551" spans="1:5" x14ac:dyDescent="0.25">
      <c r="A551" s="2">
        <v>45215</v>
      </c>
      <c r="B551" s="1">
        <v>0.37638888888888888</v>
      </c>
      <c r="C551" t="s">
        <v>1201</v>
      </c>
      <c r="D551">
        <v>65</v>
      </c>
      <c r="E551" t="s">
        <v>1305</v>
      </c>
    </row>
    <row r="552" spans="1:5" x14ac:dyDescent="0.25">
      <c r="A552" s="2">
        <v>45215</v>
      </c>
      <c r="B552" s="1">
        <v>0.81111111111111112</v>
      </c>
      <c r="C552" t="s">
        <v>1384</v>
      </c>
      <c r="D552">
        <v>49</v>
      </c>
      <c r="E552" t="s">
        <v>1303</v>
      </c>
    </row>
    <row r="553" spans="1:5" x14ac:dyDescent="0.25">
      <c r="A553" s="2">
        <v>45215</v>
      </c>
      <c r="B553" s="1">
        <v>0.28819444444444442</v>
      </c>
      <c r="C553" t="s">
        <v>1036</v>
      </c>
      <c r="D553">
        <v>109</v>
      </c>
      <c r="E553" t="s">
        <v>1300</v>
      </c>
    </row>
    <row r="554" spans="1:5" x14ac:dyDescent="0.25">
      <c r="A554" s="2">
        <v>45215</v>
      </c>
      <c r="B554" s="1">
        <v>4.9305555555555554E-2</v>
      </c>
      <c r="C554" t="s">
        <v>853</v>
      </c>
      <c r="D554">
        <v>33</v>
      </c>
      <c r="E554" t="s">
        <v>1303</v>
      </c>
    </row>
    <row r="555" spans="1:5" x14ac:dyDescent="0.25">
      <c r="A555" s="2">
        <v>45215</v>
      </c>
      <c r="B555" s="1">
        <v>0.32222222222222224</v>
      </c>
      <c r="C555" t="s">
        <v>1509</v>
      </c>
      <c r="D555">
        <v>57</v>
      </c>
      <c r="E555" t="s">
        <v>1305</v>
      </c>
    </row>
    <row r="556" spans="1:5" x14ac:dyDescent="0.25">
      <c r="A556" s="2">
        <v>45216</v>
      </c>
      <c r="B556" s="1">
        <v>0.90277777777777779</v>
      </c>
      <c r="C556" t="s">
        <v>811</v>
      </c>
      <c r="D556">
        <v>20</v>
      </c>
      <c r="E556" t="s">
        <v>1305</v>
      </c>
    </row>
    <row r="557" spans="1:5" x14ac:dyDescent="0.25">
      <c r="A557" s="2">
        <v>45216</v>
      </c>
      <c r="B557" s="1">
        <v>1.3888888888888889E-3</v>
      </c>
      <c r="C557" t="s">
        <v>1561</v>
      </c>
      <c r="D557">
        <v>74</v>
      </c>
      <c r="E557" t="s">
        <v>1305</v>
      </c>
    </row>
    <row r="558" spans="1:5" x14ac:dyDescent="0.25">
      <c r="A558" s="2">
        <v>45216</v>
      </c>
      <c r="B558" s="1">
        <v>0.2326388888888889</v>
      </c>
      <c r="C558" t="s">
        <v>837</v>
      </c>
      <c r="D558">
        <v>11</v>
      </c>
      <c r="E558" t="s">
        <v>1305</v>
      </c>
    </row>
    <row r="559" spans="1:5" x14ac:dyDescent="0.25">
      <c r="A559" s="2">
        <v>45216</v>
      </c>
      <c r="B559" s="1">
        <v>9.4444444444444442E-2</v>
      </c>
      <c r="C559" t="s">
        <v>1087</v>
      </c>
      <c r="D559">
        <v>74</v>
      </c>
      <c r="E559" t="s">
        <v>1300</v>
      </c>
    </row>
    <row r="560" spans="1:5" x14ac:dyDescent="0.25">
      <c r="A560" s="2">
        <v>45216</v>
      </c>
      <c r="B560" s="1">
        <v>0.67361111111111116</v>
      </c>
      <c r="C560" t="s">
        <v>814</v>
      </c>
      <c r="D560">
        <v>117</v>
      </c>
      <c r="E560" t="s">
        <v>1300</v>
      </c>
    </row>
    <row r="561" spans="1:5" x14ac:dyDescent="0.25">
      <c r="A561" s="2">
        <v>45216</v>
      </c>
      <c r="B561" s="1">
        <v>0.51388888888888884</v>
      </c>
      <c r="C561" t="s">
        <v>1489</v>
      </c>
      <c r="D561">
        <v>73</v>
      </c>
      <c r="E561" t="s">
        <v>1303</v>
      </c>
    </row>
    <row r="562" spans="1:5" x14ac:dyDescent="0.25">
      <c r="A562" s="2">
        <v>45216</v>
      </c>
      <c r="B562" s="1">
        <v>0.76041666666666663</v>
      </c>
      <c r="C562" t="s">
        <v>1191</v>
      </c>
      <c r="D562">
        <v>48</v>
      </c>
      <c r="E562" t="s">
        <v>1300</v>
      </c>
    </row>
    <row r="563" spans="1:5" x14ac:dyDescent="0.25">
      <c r="A563" s="2">
        <v>45216</v>
      </c>
      <c r="B563" s="1">
        <v>0.18194444444444444</v>
      </c>
      <c r="C563" t="s">
        <v>1530</v>
      </c>
      <c r="D563">
        <v>86</v>
      </c>
      <c r="E563" t="s">
        <v>1303</v>
      </c>
    </row>
    <row r="564" spans="1:5" x14ac:dyDescent="0.25">
      <c r="A564" s="2">
        <v>45216</v>
      </c>
      <c r="B564" s="1">
        <v>0.69374999999999998</v>
      </c>
      <c r="C564" t="s">
        <v>1144</v>
      </c>
      <c r="D564">
        <v>24</v>
      </c>
      <c r="E564" t="s">
        <v>1305</v>
      </c>
    </row>
    <row r="565" spans="1:5" x14ac:dyDescent="0.25">
      <c r="A565" s="2">
        <v>45216</v>
      </c>
      <c r="B565" s="1">
        <v>0.97013888888888888</v>
      </c>
      <c r="C565" t="s">
        <v>1194</v>
      </c>
      <c r="D565">
        <v>13</v>
      </c>
      <c r="E565" t="s">
        <v>1305</v>
      </c>
    </row>
    <row r="566" spans="1:5" x14ac:dyDescent="0.25">
      <c r="A566" s="2">
        <v>45216</v>
      </c>
      <c r="B566" s="1">
        <v>0.70902777777777781</v>
      </c>
      <c r="C566" t="s">
        <v>1161</v>
      </c>
      <c r="D566">
        <v>39</v>
      </c>
      <c r="E566" t="s">
        <v>1300</v>
      </c>
    </row>
    <row r="567" spans="1:5" x14ac:dyDescent="0.25">
      <c r="A567" s="2">
        <v>45216</v>
      </c>
      <c r="B567" s="1">
        <v>0.70138888888888884</v>
      </c>
      <c r="C567" t="s">
        <v>1280</v>
      </c>
      <c r="D567">
        <v>80</v>
      </c>
      <c r="E567" t="s">
        <v>1300</v>
      </c>
    </row>
    <row r="568" spans="1:5" x14ac:dyDescent="0.25">
      <c r="A568" s="2">
        <v>45216</v>
      </c>
      <c r="B568" s="1">
        <v>0.76458333333333328</v>
      </c>
      <c r="C568" t="s">
        <v>1012</v>
      </c>
      <c r="D568">
        <v>53</v>
      </c>
      <c r="E568" t="s">
        <v>1303</v>
      </c>
    </row>
    <row r="569" spans="1:5" x14ac:dyDescent="0.25">
      <c r="A569" s="2">
        <v>45216</v>
      </c>
      <c r="B569" s="1">
        <v>0.46041666666666664</v>
      </c>
      <c r="C569" t="s">
        <v>1004</v>
      </c>
      <c r="D569">
        <v>36</v>
      </c>
      <c r="E569" t="s">
        <v>1305</v>
      </c>
    </row>
    <row r="570" spans="1:5" x14ac:dyDescent="0.25">
      <c r="A570" s="2">
        <v>45216</v>
      </c>
      <c r="B570" s="1">
        <v>0.43541666666666667</v>
      </c>
      <c r="C570" t="s">
        <v>960</v>
      </c>
      <c r="D570">
        <v>88</v>
      </c>
      <c r="E570" t="s">
        <v>1300</v>
      </c>
    </row>
    <row r="571" spans="1:5" x14ac:dyDescent="0.25">
      <c r="A571" s="2">
        <v>45216</v>
      </c>
      <c r="B571" s="1">
        <v>0.26666666666666666</v>
      </c>
      <c r="C571" t="s">
        <v>971</v>
      </c>
      <c r="D571">
        <v>90</v>
      </c>
      <c r="E571" t="s">
        <v>1305</v>
      </c>
    </row>
    <row r="572" spans="1:5" x14ac:dyDescent="0.25">
      <c r="A572" s="2">
        <v>45216</v>
      </c>
      <c r="B572" s="1">
        <v>7.8472222222222221E-2</v>
      </c>
      <c r="C572" t="s">
        <v>1256</v>
      </c>
      <c r="D572">
        <v>48</v>
      </c>
      <c r="E572" t="s">
        <v>1303</v>
      </c>
    </row>
    <row r="573" spans="1:5" x14ac:dyDescent="0.25">
      <c r="A573" s="2">
        <v>45216</v>
      </c>
      <c r="B573" s="1">
        <v>0.27500000000000002</v>
      </c>
      <c r="C573" t="s">
        <v>1097</v>
      </c>
      <c r="D573">
        <v>119</v>
      </c>
      <c r="E573" t="s">
        <v>1305</v>
      </c>
    </row>
    <row r="574" spans="1:5" x14ac:dyDescent="0.25">
      <c r="A574" s="2">
        <v>45216</v>
      </c>
      <c r="B574" s="1">
        <v>0.2388888888888889</v>
      </c>
      <c r="C574" t="s">
        <v>1621</v>
      </c>
      <c r="D574">
        <v>11</v>
      </c>
      <c r="E574" t="s">
        <v>1300</v>
      </c>
    </row>
    <row r="575" spans="1:5" x14ac:dyDescent="0.25">
      <c r="A575" s="2">
        <v>45216</v>
      </c>
      <c r="B575" s="1">
        <v>0.45763888888888887</v>
      </c>
      <c r="C575" t="s">
        <v>886</v>
      </c>
      <c r="D575">
        <v>39</v>
      </c>
      <c r="E575" t="s">
        <v>1300</v>
      </c>
    </row>
    <row r="576" spans="1:5" x14ac:dyDescent="0.25">
      <c r="A576" s="2">
        <v>45216</v>
      </c>
      <c r="B576" s="1">
        <v>0.46388888888888891</v>
      </c>
      <c r="C576" t="s">
        <v>925</v>
      </c>
      <c r="D576">
        <v>58</v>
      </c>
      <c r="E576" t="s">
        <v>1300</v>
      </c>
    </row>
    <row r="577" spans="1:5" x14ac:dyDescent="0.25">
      <c r="A577" s="2">
        <v>45216</v>
      </c>
      <c r="B577" s="1">
        <v>0.86527777777777781</v>
      </c>
      <c r="C577" t="s">
        <v>948</v>
      </c>
      <c r="D577">
        <v>10</v>
      </c>
      <c r="E577" t="s">
        <v>1303</v>
      </c>
    </row>
    <row r="578" spans="1:5" x14ac:dyDescent="0.25">
      <c r="A578" s="2">
        <v>45216</v>
      </c>
      <c r="B578" s="1">
        <v>0.13750000000000001</v>
      </c>
      <c r="C578" t="s">
        <v>931</v>
      </c>
      <c r="D578">
        <v>120</v>
      </c>
      <c r="E578" t="s">
        <v>1303</v>
      </c>
    </row>
    <row r="579" spans="1:5" x14ac:dyDescent="0.25">
      <c r="A579" s="2">
        <v>45216</v>
      </c>
      <c r="B579" s="1">
        <v>0.9604166666666667</v>
      </c>
      <c r="C579" t="s">
        <v>1222</v>
      </c>
      <c r="D579">
        <v>41</v>
      </c>
      <c r="E579" t="s">
        <v>1303</v>
      </c>
    </row>
    <row r="580" spans="1:5" x14ac:dyDescent="0.25">
      <c r="A580" s="2">
        <v>45216</v>
      </c>
      <c r="B580" s="1">
        <v>0.39305555555555555</v>
      </c>
      <c r="C580" t="s">
        <v>1605</v>
      </c>
      <c r="D580">
        <v>34</v>
      </c>
      <c r="E580" t="s">
        <v>1305</v>
      </c>
    </row>
    <row r="581" spans="1:5" x14ac:dyDescent="0.25">
      <c r="A581" s="2">
        <v>45216</v>
      </c>
      <c r="B581" s="1">
        <v>0.14166666666666666</v>
      </c>
      <c r="C581" t="s">
        <v>1221</v>
      </c>
      <c r="D581">
        <v>94</v>
      </c>
      <c r="E581" t="s">
        <v>1300</v>
      </c>
    </row>
    <row r="582" spans="1:5" x14ac:dyDescent="0.25">
      <c r="A582" s="2">
        <v>45216</v>
      </c>
      <c r="B582" s="1">
        <v>0.9506944444444444</v>
      </c>
      <c r="C582" t="s">
        <v>1301</v>
      </c>
      <c r="D582">
        <v>12</v>
      </c>
      <c r="E582" t="s">
        <v>1300</v>
      </c>
    </row>
    <row r="583" spans="1:5" x14ac:dyDescent="0.25">
      <c r="A583" s="2">
        <v>45216</v>
      </c>
      <c r="B583" s="1">
        <v>0.58333333333333337</v>
      </c>
      <c r="C583" t="s">
        <v>898</v>
      </c>
      <c r="D583">
        <v>78</v>
      </c>
      <c r="E583" t="s">
        <v>1305</v>
      </c>
    </row>
    <row r="584" spans="1:5" x14ac:dyDescent="0.25">
      <c r="A584" s="2">
        <v>45216</v>
      </c>
      <c r="B584" s="1">
        <v>0.27430555555555558</v>
      </c>
      <c r="C584" t="s">
        <v>1262</v>
      </c>
      <c r="D584">
        <v>30</v>
      </c>
      <c r="E584" t="s">
        <v>1303</v>
      </c>
    </row>
    <row r="585" spans="1:5" x14ac:dyDescent="0.25">
      <c r="A585" s="2">
        <v>45216</v>
      </c>
      <c r="B585" s="1">
        <v>0.45902777777777776</v>
      </c>
      <c r="C585" t="s">
        <v>1367</v>
      </c>
      <c r="D585">
        <v>100</v>
      </c>
      <c r="E585" t="s">
        <v>1303</v>
      </c>
    </row>
    <row r="586" spans="1:5" x14ac:dyDescent="0.25">
      <c r="A586" s="2">
        <v>45216</v>
      </c>
      <c r="B586" s="1">
        <v>0.72986111111111107</v>
      </c>
      <c r="C586" t="s">
        <v>1111</v>
      </c>
      <c r="D586">
        <v>78</v>
      </c>
      <c r="E586" t="s">
        <v>1303</v>
      </c>
    </row>
    <row r="587" spans="1:5" x14ac:dyDescent="0.25">
      <c r="A587" s="2">
        <v>45216</v>
      </c>
      <c r="B587" s="1">
        <v>0.79236111111111107</v>
      </c>
      <c r="C587" t="s">
        <v>1307</v>
      </c>
      <c r="D587">
        <v>56</v>
      </c>
      <c r="E587" t="s">
        <v>1300</v>
      </c>
    </row>
    <row r="588" spans="1:5" x14ac:dyDescent="0.25">
      <c r="A588" s="2">
        <v>45216</v>
      </c>
      <c r="B588" s="1">
        <v>0.72986111111111107</v>
      </c>
      <c r="C588" t="s">
        <v>944</v>
      </c>
      <c r="D588">
        <v>109</v>
      </c>
      <c r="E588" t="s">
        <v>1305</v>
      </c>
    </row>
    <row r="589" spans="1:5" x14ac:dyDescent="0.25">
      <c r="A589" s="2">
        <v>45216</v>
      </c>
      <c r="B589" s="1">
        <v>0.18333333333333332</v>
      </c>
      <c r="C589" t="s">
        <v>855</v>
      </c>
      <c r="D589">
        <v>67</v>
      </c>
      <c r="E589" t="s">
        <v>1303</v>
      </c>
    </row>
    <row r="590" spans="1:5" x14ac:dyDescent="0.25">
      <c r="A590" s="2">
        <v>45217</v>
      </c>
      <c r="B590" s="1">
        <v>2.7777777777777776E-2</v>
      </c>
      <c r="C590" t="s">
        <v>1381</v>
      </c>
      <c r="D590">
        <v>54</v>
      </c>
      <c r="E590" t="s">
        <v>1303</v>
      </c>
    </row>
    <row r="591" spans="1:5" x14ac:dyDescent="0.25">
      <c r="A591" s="2">
        <v>45217</v>
      </c>
      <c r="B591" s="1">
        <v>0.41180555555555554</v>
      </c>
      <c r="C591" t="s">
        <v>1315</v>
      </c>
      <c r="D591">
        <v>92</v>
      </c>
      <c r="E591" t="s">
        <v>1305</v>
      </c>
    </row>
    <row r="592" spans="1:5" x14ac:dyDescent="0.25">
      <c r="A592" s="2">
        <v>45217</v>
      </c>
      <c r="B592" s="1">
        <v>0.50902777777777775</v>
      </c>
      <c r="C592" t="s">
        <v>1306</v>
      </c>
      <c r="D592">
        <v>49</v>
      </c>
      <c r="E592" t="s">
        <v>1300</v>
      </c>
    </row>
    <row r="593" spans="1:5" x14ac:dyDescent="0.25">
      <c r="A593" s="2">
        <v>45217</v>
      </c>
      <c r="B593" s="1">
        <v>0.5708333333333333</v>
      </c>
      <c r="C593" t="s">
        <v>1375</v>
      </c>
      <c r="D593">
        <v>28</v>
      </c>
      <c r="E593" t="s">
        <v>1300</v>
      </c>
    </row>
    <row r="594" spans="1:5" x14ac:dyDescent="0.25">
      <c r="A594" s="2">
        <v>45217</v>
      </c>
      <c r="B594" s="1">
        <v>6.8750000000000006E-2</v>
      </c>
      <c r="C594" t="s">
        <v>1407</v>
      </c>
      <c r="D594">
        <v>77</v>
      </c>
      <c r="E594" t="s">
        <v>1305</v>
      </c>
    </row>
    <row r="595" spans="1:5" x14ac:dyDescent="0.25">
      <c r="A595" s="2">
        <v>45217</v>
      </c>
      <c r="B595" s="1">
        <v>0.96875</v>
      </c>
      <c r="C595" t="s">
        <v>816</v>
      </c>
      <c r="D595">
        <v>97</v>
      </c>
      <c r="E595" t="s">
        <v>1303</v>
      </c>
    </row>
    <row r="596" spans="1:5" x14ac:dyDescent="0.25">
      <c r="A596" s="2">
        <v>45217</v>
      </c>
      <c r="B596" s="1">
        <v>0.64027777777777772</v>
      </c>
      <c r="C596" t="s">
        <v>1576</v>
      </c>
      <c r="D596">
        <v>113</v>
      </c>
      <c r="E596" t="s">
        <v>1305</v>
      </c>
    </row>
    <row r="597" spans="1:5" x14ac:dyDescent="0.25">
      <c r="A597" s="2">
        <v>45217</v>
      </c>
      <c r="B597" s="1">
        <v>0.57847222222222228</v>
      </c>
      <c r="C597" t="s">
        <v>879</v>
      </c>
      <c r="D597">
        <v>93</v>
      </c>
      <c r="E597" t="s">
        <v>1303</v>
      </c>
    </row>
    <row r="598" spans="1:5" x14ac:dyDescent="0.25">
      <c r="A598" s="2">
        <v>45217</v>
      </c>
      <c r="B598" s="1">
        <v>0.36875000000000002</v>
      </c>
      <c r="C598" t="s">
        <v>1286</v>
      </c>
      <c r="D598">
        <v>8</v>
      </c>
      <c r="E598" t="s">
        <v>1300</v>
      </c>
    </row>
    <row r="599" spans="1:5" x14ac:dyDescent="0.25">
      <c r="A599" s="2">
        <v>45217</v>
      </c>
      <c r="B599" s="1">
        <v>0.48819444444444443</v>
      </c>
      <c r="C599" t="s">
        <v>1490</v>
      </c>
      <c r="D599">
        <v>94</v>
      </c>
      <c r="E599" t="s">
        <v>1300</v>
      </c>
    </row>
    <row r="600" spans="1:5" x14ac:dyDescent="0.25">
      <c r="A600" s="2">
        <v>45217</v>
      </c>
      <c r="B600" s="1">
        <v>0.81874999999999998</v>
      </c>
      <c r="C600" t="s">
        <v>1364</v>
      </c>
      <c r="D600">
        <v>100</v>
      </c>
      <c r="E600" t="s">
        <v>1300</v>
      </c>
    </row>
    <row r="601" spans="1:5" x14ac:dyDescent="0.25">
      <c r="A601" s="2">
        <v>45217</v>
      </c>
      <c r="B601" s="1">
        <v>0.10902777777777778</v>
      </c>
      <c r="C601" t="s">
        <v>1306</v>
      </c>
      <c r="D601">
        <v>59</v>
      </c>
      <c r="E601" t="s">
        <v>1300</v>
      </c>
    </row>
    <row r="602" spans="1:5" x14ac:dyDescent="0.25">
      <c r="A602" s="2">
        <v>45217</v>
      </c>
      <c r="B602" s="1">
        <v>0.70138888888888884</v>
      </c>
      <c r="C602" t="s">
        <v>1364</v>
      </c>
      <c r="D602">
        <v>71</v>
      </c>
      <c r="E602" t="s">
        <v>1303</v>
      </c>
    </row>
    <row r="603" spans="1:5" x14ac:dyDescent="0.25">
      <c r="A603" s="2">
        <v>45217</v>
      </c>
      <c r="B603" s="1">
        <v>0.89166666666666672</v>
      </c>
      <c r="C603" t="s">
        <v>929</v>
      </c>
      <c r="D603">
        <v>108</v>
      </c>
      <c r="E603" t="s">
        <v>1305</v>
      </c>
    </row>
    <row r="604" spans="1:5" x14ac:dyDescent="0.25">
      <c r="A604" s="2">
        <v>45217</v>
      </c>
      <c r="B604" s="1">
        <v>0.38472222222222224</v>
      </c>
      <c r="C604" t="s">
        <v>974</v>
      </c>
      <c r="D604">
        <v>99</v>
      </c>
      <c r="E604" t="s">
        <v>1303</v>
      </c>
    </row>
    <row r="605" spans="1:5" x14ac:dyDescent="0.25">
      <c r="A605" s="2">
        <v>45217</v>
      </c>
      <c r="B605" s="1">
        <v>0.3215277777777778</v>
      </c>
      <c r="C605" t="s">
        <v>1321</v>
      </c>
      <c r="D605">
        <v>118</v>
      </c>
      <c r="E605" t="s">
        <v>1303</v>
      </c>
    </row>
    <row r="606" spans="1:5" x14ac:dyDescent="0.25">
      <c r="A606" s="2">
        <v>45217</v>
      </c>
      <c r="B606" s="1">
        <v>0.19375000000000001</v>
      </c>
      <c r="C606" t="s">
        <v>1448</v>
      </c>
      <c r="D606">
        <v>56</v>
      </c>
      <c r="E606" t="s">
        <v>1300</v>
      </c>
    </row>
    <row r="607" spans="1:5" x14ac:dyDescent="0.25">
      <c r="A607" s="2">
        <v>45217</v>
      </c>
      <c r="B607" s="1">
        <v>0.17499999999999999</v>
      </c>
      <c r="C607" t="s">
        <v>919</v>
      </c>
      <c r="D607">
        <v>18</v>
      </c>
      <c r="E607" t="s">
        <v>1305</v>
      </c>
    </row>
    <row r="608" spans="1:5" x14ac:dyDescent="0.25">
      <c r="A608" s="2">
        <v>45217</v>
      </c>
      <c r="B608" s="1">
        <v>0.68472222222222223</v>
      </c>
      <c r="C608" t="s">
        <v>1389</v>
      </c>
      <c r="D608">
        <v>43</v>
      </c>
      <c r="E608" t="s">
        <v>1300</v>
      </c>
    </row>
    <row r="609" spans="1:5" x14ac:dyDescent="0.25">
      <c r="A609" s="2">
        <v>45217</v>
      </c>
      <c r="B609" s="1">
        <v>0.94444444444444442</v>
      </c>
      <c r="C609" t="s">
        <v>1627</v>
      </c>
      <c r="D609">
        <v>33</v>
      </c>
      <c r="E609" t="s">
        <v>1300</v>
      </c>
    </row>
    <row r="610" spans="1:5" x14ac:dyDescent="0.25">
      <c r="A610" s="2">
        <v>45217</v>
      </c>
      <c r="B610" s="1">
        <v>0.1736111111111111</v>
      </c>
      <c r="C610" t="s">
        <v>1108</v>
      </c>
      <c r="D610">
        <v>53</v>
      </c>
      <c r="E610" t="s">
        <v>1303</v>
      </c>
    </row>
    <row r="611" spans="1:5" x14ac:dyDescent="0.25">
      <c r="A611" s="2">
        <v>45217</v>
      </c>
      <c r="B611" s="1">
        <v>2.8472222222222222E-2</v>
      </c>
      <c r="C611" t="s">
        <v>1220</v>
      </c>
      <c r="D611">
        <v>120</v>
      </c>
      <c r="E611" t="s">
        <v>1305</v>
      </c>
    </row>
    <row r="612" spans="1:5" x14ac:dyDescent="0.25">
      <c r="A612" s="2">
        <v>45217</v>
      </c>
      <c r="B612" s="1">
        <v>0.29583333333333334</v>
      </c>
      <c r="C612" t="s">
        <v>1569</v>
      </c>
      <c r="D612">
        <v>119</v>
      </c>
      <c r="E612" t="s">
        <v>1300</v>
      </c>
    </row>
    <row r="613" spans="1:5" x14ac:dyDescent="0.25">
      <c r="A613" s="2">
        <v>45217</v>
      </c>
      <c r="B613" s="1">
        <v>0.62708333333333333</v>
      </c>
      <c r="C613" t="s">
        <v>1278</v>
      </c>
      <c r="D613">
        <v>33</v>
      </c>
      <c r="E613" t="s">
        <v>1300</v>
      </c>
    </row>
    <row r="614" spans="1:5" x14ac:dyDescent="0.25">
      <c r="A614" s="2">
        <v>45217</v>
      </c>
      <c r="B614" s="1">
        <v>0.77569444444444446</v>
      </c>
      <c r="C614" t="s">
        <v>971</v>
      </c>
      <c r="D614">
        <v>84</v>
      </c>
      <c r="E614" t="s">
        <v>1300</v>
      </c>
    </row>
    <row r="615" spans="1:5" x14ac:dyDescent="0.25">
      <c r="A615" s="2">
        <v>45217</v>
      </c>
      <c r="B615" s="1">
        <v>0.28125</v>
      </c>
      <c r="C615" t="s">
        <v>1308</v>
      </c>
      <c r="D615">
        <v>51</v>
      </c>
      <c r="E615" t="s">
        <v>1303</v>
      </c>
    </row>
    <row r="616" spans="1:5" x14ac:dyDescent="0.25">
      <c r="A616" s="2">
        <v>45217</v>
      </c>
      <c r="B616" s="1">
        <v>0.99930555555555556</v>
      </c>
      <c r="C616" t="s">
        <v>855</v>
      </c>
      <c r="D616">
        <v>38</v>
      </c>
      <c r="E616" t="s">
        <v>1303</v>
      </c>
    </row>
    <row r="617" spans="1:5" x14ac:dyDescent="0.25">
      <c r="A617" s="2">
        <v>45217</v>
      </c>
      <c r="B617" s="1">
        <v>0.47361111111111109</v>
      </c>
      <c r="C617" t="s">
        <v>922</v>
      </c>
      <c r="D617">
        <v>37</v>
      </c>
      <c r="E617" t="s">
        <v>1305</v>
      </c>
    </row>
    <row r="618" spans="1:5" x14ac:dyDescent="0.25">
      <c r="A618" s="2">
        <v>45217</v>
      </c>
      <c r="B618" s="1">
        <v>0.75555555555555554</v>
      </c>
      <c r="C618" t="s">
        <v>791</v>
      </c>
      <c r="D618">
        <v>100</v>
      </c>
      <c r="E618" t="s">
        <v>1300</v>
      </c>
    </row>
    <row r="619" spans="1:5" x14ac:dyDescent="0.25">
      <c r="A619" s="2">
        <v>45217</v>
      </c>
      <c r="B619" s="1">
        <v>0.86319444444444449</v>
      </c>
      <c r="C619" t="s">
        <v>1515</v>
      </c>
      <c r="D619">
        <v>89</v>
      </c>
      <c r="E619" t="s">
        <v>1300</v>
      </c>
    </row>
    <row r="620" spans="1:5" x14ac:dyDescent="0.25">
      <c r="A620" s="2">
        <v>45217</v>
      </c>
      <c r="B620" s="1">
        <v>0.32430555555555557</v>
      </c>
      <c r="C620" t="s">
        <v>1632</v>
      </c>
      <c r="D620">
        <v>14</v>
      </c>
      <c r="E620" t="s">
        <v>1303</v>
      </c>
    </row>
    <row r="621" spans="1:5" x14ac:dyDescent="0.25">
      <c r="A621" s="2">
        <v>45217</v>
      </c>
      <c r="B621" s="1">
        <v>0.41458333333333336</v>
      </c>
      <c r="C621" t="s">
        <v>1359</v>
      </c>
      <c r="D621">
        <v>74</v>
      </c>
      <c r="E621" t="s">
        <v>1305</v>
      </c>
    </row>
    <row r="622" spans="1:5" x14ac:dyDescent="0.25">
      <c r="A622" s="2">
        <v>45217</v>
      </c>
      <c r="B622" s="1">
        <v>0.50416666666666665</v>
      </c>
      <c r="C622" t="s">
        <v>1448</v>
      </c>
      <c r="D622">
        <v>55</v>
      </c>
      <c r="E622" t="s">
        <v>1305</v>
      </c>
    </row>
    <row r="623" spans="1:5" x14ac:dyDescent="0.25">
      <c r="A623" s="2">
        <v>45218</v>
      </c>
      <c r="B623" s="1">
        <v>3.8194444444444448E-2</v>
      </c>
      <c r="C623" t="s">
        <v>1235</v>
      </c>
      <c r="D623">
        <v>6</v>
      </c>
      <c r="E623" t="s">
        <v>1300</v>
      </c>
    </row>
    <row r="624" spans="1:5" x14ac:dyDescent="0.25">
      <c r="A624" s="2">
        <v>45218</v>
      </c>
      <c r="B624" s="1">
        <v>0.55833333333333335</v>
      </c>
      <c r="C624" t="s">
        <v>1386</v>
      </c>
      <c r="D624">
        <v>54</v>
      </c>
      <c r="E624" t="s">
        <v>1305</v>
      </c>
    </row>
    <row r="625" spans="1:5" x14ac:dyDescent="0.25">
      <c r="A625" s="2">
        <v>45218</v>
      </c>
      <c r="B625" s="1">
        <v>0.24236111111111111</v>
      </c>
      <c r="C625" t="s">
        <v>1395</v>
      </c>
      <c r="D625">
        <v>64</v>
      </c>
      <c r="E625" t="s">
        <v>1300</v>
      </c>
    </row>
    <row r="626" spans="1:5" x14ac:dyDescent="0.25">
      <c r="A626" s="2">
        <v>45218</v>
      </c>
      <c r="B626" s="1">
        <v>0.90694444444444444</v>
      </c>
      <c r="C626" t="s">
        <v>1410</v>
      </c>
      <c r="D626">
        <v>8</v>
      </c>
      <c r="E626" t="s">
        <v>1305</v>
      </c>
    </row>
    <row r="627" spans="1:5" x14ac:dyDescent="0.25">
      <c r="A627" s="2">
        <v>45218</v>
      </c>
      <c r="B627" s="1">
        <v>0.63194444444444442</v>
      </c>
      <c r="C627" t="s">
        <v>1276</v>
      </c>
      <c r="D627">
        <v>42</v>
      </c>
      <c r="E627" t="s">
        <v>1303</v>
      </c>
    </row>
    <row r="628" spans="1:5" x14ac:dyDescent="0.25">
      <c r="A628" s="2">
        <v>45218</v>
      </c>
      <c r="B628" s="1">
        <v>0.31458333333333333</v>
      </c>
      <c r="C628" t="s">
        <v>1548</v>
      </c>
      <c r="D628">
        <v>45</v>
      </c>
      <c r="E628" t="s">
        <v>1300</v>
      </c>
    </row>
    <row r="629" spans="1:5" x14ac:dyDescent="0.25">
      <c r="A629" s="2">
        <v>45218</v>
      </c>
      <c r="B629" s="1">
        <v>0.9916666666666667</v>
      </c>
      <c r="C629" t="s">
        <v>1071</v>
      </c>
      <c r="D629">
        <v>82</v>
      </c>
      <c r="E629" t="s">
        <v>1300</v>
      </c>
    </row>
    <row r="630" spans="1:5" x14ac:dyDescent="0.25">
      <c r="A630" s="2">
        <v>45218</v>
      </c>
      <c r="B630" s="1">
        <v>0.28611111111111109</v>
      </c>
      <c r="C630" t="s">
        <v>1160</v>
      </c>
      <c r="D630">
        <v>89</v>
      </c>
      <c r="E630" t="s">
        <v>1300</v>
      </c>
    </row>
    <row r="631" spans="1:5" x14ac:dyDescent="0.25">
      <c r="A631" s="2">
        <v>45218</v>
      </c>
      <c r="B631" s="1">
        <v>0.28749999999999998</v>
      </c>
      <c r="C631" t="s">
        <v>1599</v>
      </c>
      <c r="D631">
        <v>71</v>
      </c>
      <c r="E631" t="s">
        <v>1305</v>
      </c>
    </row>
    <row r="632" spans="1:5" x14ac:dyDescent="0.25">
      <c r="A632" s="2">
        <v>45218</v>
      </c>
      <c r="B632" s="1">
        <v>0.63541666666666663</v>
      </c>
      <c r="C632" t="s">
        <v>1326</v>
      </c>
      <c r="D632">
        <v>17</v>
      </c>
      <c r="E632" t="s">
        <v>1305</v>
      </c>
    </row>
    <row r="633" spans="1:5" x14ac:dyDescent="0.25">
      <c r="A633" s="2">
        <v>45218</v>
      </c>
      <c r="B633" s="1">
        <v>0.38194444444444442</v>
      </c>
      <c r="C633" t="s">
        <v>993</v>
      </c>
      <c r="D633">
        <v>81</v>
      </c>
      <c r="E633" t="s">
        <v>1303</v>
      </c>
    </row>
    <row r="634" spans="1:5" x14ac:dyDescent="0.25">
      <c r="A634" s="2">
        <v>45218</v>
      </c>
      <c r="B634" s="1">
        <v>7.6388888888888886E-3</v>
      </c>
      <c r="C634" t="s">
        <v>919</v>
      </c>
      <c r="D634">
        <v>44</v>
      </c>
      <c r="E634" t="s">
        <v>1303</v>
      </c>
    </row>
    <row r="635" spans="1:5" x14ac:dyDescent="0.25">
      <c r="A635" s="2">
        <v>45218</v>
      </c>
      <c r="B635" s="1">
        <v>0.65972222222222221</v>
      </c>
      <c r="C635" t="s">
        <v>1543</v>
      </c>
      <c r="D635">
        <v>24</v>
      </c>
      <c r="E635" t="s">
        <v>1300</v>
      </c>
    </row>
    <row r="636" spans="1:5" x14ac:dyDescent="0.25">
      <c r="A636" s="2">
        <v>45218</v>
      </c>
      <c r="B636" s="1">
        <v>0.33194444444444443</v>
      </c>
      <c r="C636" t="s">
        <v>1193</v>
      </c>
      <c r="D636">
        <v>15</v>
      </c>
      <c r="E636" t="s">
        <v>1305</v>
      </c>
    </row>
    <row r="637" spans="1:5" x14ac:dyDescent="0.25">
      <c r="A637" s="2">
        <v>45218</v>
      </c>
      <c r="B637" s="1">
        <v>0.99027777777777781</v>
      </c>
      <c r="C637" t="s">
        <v>1419</v>
      </c>
      <c r="D637">
        <v>100</v>
      </c>
      <c r="E637" t="s">
        <v>1300</v>
      </c>
    </row>
    <row r="638" spans="1:5" x14ac:dyDescent="0.25">
      <c r="A638" s="2">
        <v>45218</v>
      </c>
      <c r="B638" s="1">
        <v>0.89166666666666672</v>
      </c>
      <c r="C638" t="s">
        <v>1342</v>
      </c>
      <c r="D638">
        <v>107</v>
      </c>
      <c r="E638" t="s">
        <v>1303</v>
      </c>
    </row>
    <row r="639" spans="1:5" x14ac:dyDescent="0.25">
      <c r="A639" s="2">
        <v>45218</v>
      </c>
      <c r="B639" s="1">
        <v>0.79305555555555551</v>
      </c>
      <c r="C639" t="s">
        <v>1342</v>
      </c>
      <c r="D639">
        <v>100</v>
      </c>
      <c r="E639" t="s">
        <v>1305</v>
      </c>
    </row>
    <row r="640" spans="1:5" x14ac:dyDescent="0.25">
      <c r="A640" s="2">
        <v>45218</v>
      </c>
      <c r="B640" s="1">
        <v>8.8888888888888892E-2</v>
      </c>
      <c r="C640" t="s">
        <v>868</v>
      </c>
      <c r="D640">
        <v>12</v>
      </c>
      <c r="E640" t="s">
        <v>1305</v>
      </c>
    </row>
    <row r="641" spans="1:5" x14ac:dyDescent="0.25">
      <c r="A641" s="2">
        <v>45218</v>
      </c>
      <c r="B641" s="1">
        <v>0.37847222222222221</v>
      </c>
      <c r="C641" t="s">
        <v>865</v>
      </c>
      <c r="D641">
        <v>102</v>
      </c>
      <c r="E641" t="s">
        <v>1300</v>
      </c>
    </row>
    <row r="642" spans="1:5" x14ac:dyDescent="0.25">
      <c r="A642" s="2">
        <v>45218</v>
      </c>
      <c r="B642" s="1">
        <v>0.3347222222222222</v>
      </c>
      <c r="C642" t="s">
        <v>1347</v>
      </c>
      <c r="D642">
        <v>85</v>
      </c>
      <c r="E642" t="s">
        <v>1305</v>
      </c>
    </row>
    <row r="643" spans="1:5" x14ac:dyDescent="0.25">
      <c r="A643" s="2">
        <v>45218</v>
      </c>
      <c r="B643" s="1">
        <v>0.87569444444444444</v>
      </c>
      <c r="C643" t="s">
        <v>1363</v>
      </c>
      <c r="D643">
        <v>39</v>
      </c>
      <c r="E643" t="s">
        <v>1300</v>
      </c>
    </row>
    <row r="644" spans="1:5" x14ac:dyDescent="0.25">
      <c r="A644" s="2">
        <v>45218</v>
      </c>
      <c r="B644" s="1">
        <v>0.66597222222222219</v>
      </c>
      <c r="C644" t="s">
        <v>1620</v>
      </c>
      <c r="D644">
        <v>90</v>
      </c>
      <c r="E644" t="s">
        <v>1305</v>
      </c>
    </row>
    <row r="645" spans="1:5" x14ac:dyDescent="0.25">
      <c r="A645" s="2">
        <v>45218</v>
      </c>
      <c r="B645" s="1">
        <v>0.24027777777777778</v>
      </c>
      <c r="C645" t="s">
        <v>1363</v>
      </c>
      <c r="D645">
        <v>53</v>
      </c>
      <c r="E645" t="s">
        <v>1305</v>
      </c>
    </row>
    <row r="646" spans="1:5" x14ac:dyDescent="0.25">
      <c r="A646" s="2">
        <v>45218</v>
      </c>
      <c r="B646" s="1">
        <v>0.6479166666666667</v>
      </c>
      <c r="C646" t="s">
        <v>1441</v>
      </c>
      <c r="D646">
        <v>78</v>
      </c>
      <c r="E646" t="s">
        <v>1300</v>
      </c>
    </row>
    <row r="647" spans="1:5" x14ac:dyDescent="0.25">
      <c r="A647" s="2">
        <v>45218</v>
      </c>
      <c r="B647" s="1">
        <v>0.58958333333333335</v>
      </c>
      <c r="C647" t="s">
        <v>1091</v>
      </c>
      <c r="D647">
        <v>21</v>
      </c>
      <c r="E647" t="s">
        <v>1300</v>
      </c>
    </row>
    <row r="648" spans="1:5" x14ac:dyDescent="0.25">
      <c r="A648" s="2">
        <v>45218</v>
      </c>
      <c r="B648" s="1">
        <v>0.7944444444444444</v>
      </c>
      <c r="C648" t="s">
        <v>1603</v>
      </c>
      <c r="D648">
        <v>108</v>
      </c>
      <c r="E648" t="s">
        <v>1300</v>
      </c>
    </row>
    <row r="649" spans="1:5" x14ac:dyDescent="0.25">
      <c r="A649" s="2">
        <v>45218</v>
      </c>
      <c r="B649" s="1">
        <v>0.36180555555555555</v>
      </c>
      <c r="C649" t="s">
        <v>1324</v>
      </c>
      <c r="D649">
        <v>45</v>
      </c>
      <c r="E649" t="s">
        <v>1305</v>
      </c>
    </row>
    <row r="650" spans="1:5" x14ac:dyDescent="0.25">
      <c r="A650" s="2">
        <v>45218</v>
      </c>
      <c r="B650" s="1">
        <v>0.36875000000000002</v>
      </c>
      <c r="C650" t="s">
        <v>818</v>
      </c>
      <c r="D650">
        <v>70</v>
      </c>
      <c r="E650" t="s">
        <v>1300</v>
      </c>
    </row>
    <row r="651" spans="1:5" x14ac:dyDescent="0.25">
      <c r="A651" s="2">
        <v>45218</v>
      </c>
      <c r="B651" s="1">
        <v>5.6944444444444443E-2</v>
      </c>
      <c r="C651" t="s">
        <v>1374</v>
      </c>
      <c r="D651">
        <v>46</v>
      </c>
      <c r="E651" t="s">
        <v>1305</v>
      </c>
    </row>
    <row r="652" spans="1:5" x14ac:dyDescent="0.25">
      <c r="A652" s="2">
        <v>45218</v>
      </c>
      <c r="B652" s="1">
        <v>1.1111111111111112E-2</v>
      </c>
      <c r="C652" t="s">
        <v>1494</v>
      </c>
      <c r="D652">
        <v>59</v>
      </c>
      <c r="E652" t="s">
        <v>1300</v>
      </c>
    </row>
    <row r="653" spans="1:5" x14ac:dyDescent="0.25">
      <c r="A653" s="2">
        <v>45218</v>
      </c>
      <c r="B653" s="1">
        <v>0.67569444444444449</v>
      </c>
      <c r="C653" t="s">
        <v>824</v>
      </c>
      <c r="D653">
        <v>37</v>
      </c>
      <c r="E653" t="s">
        <v>1305</v>
      </c>
    </row>
    <row r="654" spans="1:5" x14ac:dyDescent="0.25">
      <c r="A654" s="2">
        <v>45218</v>
      </c>
      <c r="B654" s="1">
        <v>0.27013888888888887</v>
      </c>
      <c r="C654" t="s">
        <v>1278</v>
      </c>
      <c r="D654">
        <v>40</v>
      </c>
      <c r="E654" t="s">
        <v>1303</v>
      </c>
    </row>
    <row r="655" spans="1:5" x14ac:dyDescent="0.25">
      <c r="A655" s="2">
        <v>45218</v>
      </c>
      <c r="B655" s="1">
        <v>0.12708333333333333</v>
      </c>
      <c r="C655" t="s">
        <v>1227</v>
      </c>
      <c r="D655">
        <v>58</v>
      </c>
      <c r="E655" t="s">
        <v>1303</v>
      </c>
    </row>
    <row r="656" spans="1:5" x14ac:dyDescent="0.25">
      <c r="A656" s="2">
        <v>45219</v>
      </c>
      <c r="B656" s="1">
        <v>0.10625</v>
      </c>
      <c r="C656" t="s">
        <v>1498</v>
      </c>
      <c r="D656">
        <v>87</v>
      </c>
      <c r="E656" t="s">
        <v>1303</v>
      </c>
    </row>
    <row r="657" spans="1:5" x14ac:dyDescent="0.25">
      <c r="A657" s="2">
        <v>45219</v>
      </c>
      <c r="B657" s="1">
        <v>0.92569444444444449</v>
      </c>
      <c r="C657" t="s">
        <v>1510</v>
      </c>
      <c r="D657">
        <v>22</v>
      </c>
      <c r="E657" t="s">
        <v>1300</v>
      </c>
    </row>
    <row r="658" spans="1:5" x14ac:dyDescent="0.25">
      <c r="A658" s="2">
        <v>45219</v>
      </c>
      <c r="B658" s="1">
        <v>0.9291666666666667</v>
      </c>
      <c r="C658" t="s">
        <v>1625</v>
      </c>
      <c r="D658">
        <v>115</v>
      </c>
      <c r="E658" t="s">
        <v>1300</v>
      </c>
    </row>
    <row r="659" spans="1:5" x14ac:dyDescent="0.25">
      <c r="A659" s="2">
        <v>45219</v>
      </c>
      <c r="B659" s="1">
        <v>0.56944444444444442</v>
      </c>
      <c r="C659" t="s">
        <v>857</v>
      </c>
      <c r="D659">
        <v>96</v>
      </c>
      <c r="E659" t="s">
        <v>1300</v>
      </c>
    </row>
    <row r="660" spans="1:5" x14ac:dyDescent="0.25">
      <c r="A660" s="2">
        <v>45219</v>
      </c>
      <c r="B660" s="1">
        <v>0.68333333333333335</v>
      </c>
      <c r="C660" t="s">
        <v>895</v>
      </c>
      <c r="D660">
        <v>99</v>
      </c>
      <c r="E660" t="s">
        <v>1303</v>
      </c>
    </row>
    <row r="661" spans="1:5" x14ac:dyDescent="0.25">
      <c r="A661" s="2">
        <v>45219</v>
      </c>
      <c r="B661" s="1">
        <v>0.79305555555555551</v>
      </c>
      <c r="C661" t="s">
        <v>1407</v>
      </c>
      <c r="D661">
        <v>9</v>
      </c>
      <c r="E661" t="s">
        <v>1303</v>
      </c>
    </row>
    <row r="662" spans="1:5" x14ac:dyDescent="0.25">
      <c r="A662" s="2">
        <v>45219</v>
      </c>
      <c r="B662" s="1">
        <v>0.82638888888888884</v>
      </c>
      <c r="C662" t="s">
        <v>1034</v>
      </c>
      <c r="D662">
        <v>93</v>
      </c>
      <c r="E662" t="s">
        <v>1305</v>
      </c>
    </row>
    <row r="663" spans="1:5" x14ac:dyDescent="0.25">
      <c r="A663" s="2">
        <v>45219</v>
      </c>
      <c r="B663" s="1">
        <v>0.75347222222222221</v>
      </c>
      <c r="C663" t="s">
        <v>1357</v>
      </c>
      <c r="D663">
        <v>77</v>
      </c>
      <c r="E663" t="s">
        <v>1300</v>
      </c>
    </row>
    <row r="664" spans="1:5" x14ac:dyDescent="0.25">
      <c r="A664" s="2">
        <v>45219</v>
      </c>
      <c r="B664" s="1">
        <v>0.4201388888888889</v>
      </c>
      <c r="C664" t="s">
        <v>858</v>
      </c>
      <c r="D664">
        <v>63</v>
      </c>
      <c r="E664" t="s">
        <v>1305</v>
      </c>
    </row>
    <row r="665" spans="1:5" x14ac:dyDescent="0.25">
      <c r="A665" s="2">
        <v>45219</v>
      </c>
      <c r="B665" s="1">
        <v>0.6333333333333333</v>
      </c>
      <c r="C665" t="s">
        <v>1491</v>
      </c>
      <c r="D665">
        <v>18</v>
      </c>
      <c r="E665" t="s">
        <v>1305</v>
      </c>
    </row>
    <row r="666" spans="1:5" x14ac:dyDescent="0.25">
      <c r="A666" s="2">
        <v>45219</v>
      </c>
      <c r="B666" s="1">
        <v>0.80138888888888893</v>
      </c>
      <c r="C666" t="s">
        <v>1281</v>
      </c>
      <c r="D666">
        <v>65</v>
      </c>
      <c r="E666" t="s">
        <v>1303</v>
      </c>
    </row>
    <row r="667" spans="1:5" x14ac:dyDescent="0.25">
      <c r="A667" s="2">
        <v>45219</v>
      </c>
      <c r="B667" s="1">
        <v>0.81874999999999998</v>
      </c>
      <c r="C667" t="s">
        <v>1382</v>
      </c>
      <c r="D667">
        <v>99</v>
      </c>
      <c r="E667" t="s">
        <v>1305</v>
      </c>
    </row>
    <row r="668" spans="1:5" x14ac:dyDescent="0.25">
      <c r="A668" s="2">
        <v>45219</v>
      </c>
      <c r="B668" s="1">
        <v>0.84027777777777779</v>
      </c>
      <c r="C668" t="s">
        <v>1319</v>
      </c>
      <c r="D668">
        <v>92</v>
      </c>
      <c r="E668" t="s">
        <v>1300</v>
      </c>
    </row>
    <row r="669" spans="1:5" x14ac:dyDescent="0.25">
      <c r="A669" s="2">
        <v>45219</v>
      </c>
      <c r="B669" s="1">
        <v>0.43888888888888888</v>
      </c>
      <c r="C669" t="s">
        <v>976</v>
      </c>
      <c r="D669">
        <v>105</v>
      </c>
      <c r="E669" t="s">
        <v>1303</v>
      </c>
    </row>
    <row r="670" spans="1:5" x14ac:dyDescent="0.25">
      <c r="A670" s="2">
        <v>45219</v>
      </c>
      <c r="B670" s="1">
        <v>0.52708333333333335</v>
      </c>
      <c r="C670" t="s">
        <v>836</v>
      </c>
      <c r="D670">
        <v>95</v>
      </c>
      <c r="E670" t="s">
        <v>1300</v>
      </c>
    </row>
    <row r="671" spans="1:5" x14ac:dyDescent="0.25">
      <c r="A671" s="2">
        <v>45219</v>
      </c>
      <c r="B671" s="1">
        <v>0.79374999999999996</v>
      </c>
      <c r="C671" t="s">
        <v>1553</v>
      </c>
      <c r="D671">
        <v>43</v>
      </c>
      <c r="E671" t="s">
        <v>1303</v>
      </c>
    </row>
    <row r="672" spans="1:5" x14ac:dyDescent="0.25">
      <c r="A672" s="2">
        <v>45219</v>
      </c>
      <c r="B672" s="1">
        <v>0.45347222222222222</v>
      </c>
      <c r="C672" t="s">
        <v>1479</v>
      </c>
      <c r="D672">
        <v>52</v>
      </c>
      <c r="E672" t="s">
        <v>1303</v>
      </c>
    </row>
    <row r="673" spans="1:5" x14ac:dyDescent="0.25">
      <c r="A673" s="2">
        <v>45219</v>
      </c>
      <c r="B673" s="1">
        <v>0.47638888888888886</v>
      </c>
      <c r="C673" t="s">
        <v>993</v>
      </c>
      <c r="D673">
        <v>57</v>
      </c>
      <c r="E673" t="s">
        <v>1300</v>
      </c>
    </row>
    <row r="674" spans="1:5" x14ac:dyDescent="0.25">
      <c r="A674" s="2">
        <v>45219</v>
      </c>
      <c r="B674" s="1">
        <v>0.92013888888888884</v>
      </c>
      <c r="C674" t="s">
        <v>1449</v>
      </c>
      <c r="D674">
        <v>91</v>
      </c>
      <c r="E674" t="s">
        <v>1305</v>
      </c>
    </row>
    <row r="675" spans="1:5" x14ac:dyDescent="0.25">
      <c r="A675" s="2">
        <v>45219</v>
      </c>
      <c r="B675" s="1">
        <v>0.83402777777777781</v>
      </c>
      <c r="C675" t="s">
        <v>1482</v>
      </c>
      <c r="D675">
        <v>64</v>
      </c>
      <c r="E675" t="s">
        <v>1305</v>
      </c>
    </row>
    <row r="676" spans="1:5" x14ac:dyDescent="0.25">
      <c r="A676" s="2">
        <v>45219</v>
      </c>
      <c r="B676" s="1">
        <v>0.50624999999999998</v>
      </c>
      <c r="C676" t="s">
        <v>1208</v>
      </c>
      <c r="D676">
        <v>41</v>
      </c>
      <c r="E676" t="s">
        <v>1303</v>
      </c>
    </row>
    <row r="677" spans="1:5" x14ac:dyDescent="0.25">
      <c r="A677" s="2">
        <v>45219</v>
      </c>
      <c r="B677" s="1">
        <v>0.98958333333333337</v>
      </c>
      <c r="C677" t="s">
        <v>1369</v>
      </c>
      <c r="D677">
        <v>36</v>
      </c>
      <c r="E677" t="s">
        <v>1300</v>
      </c>
    </row>
    <row r="678" spans="1:5" x14ac:dyDescent="0.25">
      <c r="A678" s="2">
        <v>45219</v>
      </c>
      <c r="B678" s="1">
        <v>0.95</v>
      </c>
      <c r="C678" t="s">
        <v>1330</v>
      </c>
      <c r="D678">
        <v>45</v>
      </c>
      <c r="E678" t="s">
        <v>1305</v>
      </c>
    </row>
    <row r="679" spans="1:5" x14ac:dyDescent="0.25">
      <c r="A679" s="2">
        <v>45219</v>
      </c>
      <c r="B679" s="1">
        <v>0.90763888888888888</v>
      </c>
      <c r="C679" t="s">
        <v>1631</v>
      </c>
      <c r="D679">
        <v>92</v>
      </c>
      <c r="E679" t="s">
        <v>1303</v>
      </c>
    </row>
    <row r="680" spans="1:5" x14ac:dyDescent="0.25">
      <c r="A680" s="2">
        <v>45219</v>
      </c>
      <c r="B680" s="1">
        <v>7.6388888888888895E-2</v>
      </c>
      <c r="C680" t="s">
        <v>1448</v>
      </c>
      <c r="D680">
        <v>93</v>
      </c>
      <c r="E680" t="s">
        <v>1305</v>
      </c>
    </row>
    <row r="681" spans="1:5" x14ac:dyDescent="0.25">
      <c r="A681" s="2">
        <v>45219</v>
      </c>
      <c r="B681" s="1">
        <v>0.82152777777777775</v>
      </c>
      <c r="C681" t="s">
        <v>1537</v>
      </c>
      <c r="D681">
        <v>31</v>
      </c>
      <c r="E681" t="s">
        <v>1303</v>
      </c>
    </row>
    <row r="682" spans="1:5" x14ac:dyDescent="0.25">
      <c r="A682" s="2">
        <v>45219</v>
      </c>
      <c r="B682" s="1">
        <v>9.583333333333334E-2</v>
      </c>
      <c r="C682" t="s">
        <v>958</v>
      </c>
      <c r="D682">
        <v>113</v>
      </c>
      <c r="E682" t="s">
        <v>1305</v>
      </c>
    </row>
    <row r="683" spans="1:5" x14ac:dyDescent="0.25">
      <c r="A683" s="2">
        <v>45219</v>
      </c>
      <c r="B683" s="1">
        <v>0.10138888888888889</v>
      </c>
      <c r="C683" t="s">
        <v>1176</v>
      </c>
      <c r="D683">
        <v>75</v>
      </c>
      <c r="E683" t="s">
        <v>1300</v>
      </c>
    </row>
    <row r="684" spans="1:5" x14ac:dyDescent="0.25">
      <c r="A684" s="2">
        <v>45219</v>
      </c>
      <c r="B684" s="1">
        <v>0.99791666666666667</v>
      </c>
      <c r="C684" t="s">
        <v>1340</v>
      </c>
      <c r="D684">
        <v>102</v>
      </c>
      <c r="E684" t="s">
        <v>1303</v>
      </c>
    </row>
    <row r="685" spans="1:5" x14ac:dyDescent="0.25">
      <c r="A685" s="2">
        <v>45219</v>
      </c>
      <c r="B685" s="1">
        <v>0.30138888888888887</v>
      </c>
      <c r="C685" t="s">
        <v>1312</v>
      </c>
      <c r="D685">
        <v>65</v>
      </c>
      <c r="E685" t="s">
        <v>1300</v>
      </c>
    </row>
    <row r="686" spans="1:5" x14ac:dyDescent="0.25">
      <c r="A686" s="2">
        <v>45219</v>
      </c>
      <c r="B686" s="1">
        <v>0.63611111111111107</v>
      </c>
      <c r="C686" t="s">
        <v>1398</v>
      </c>
      <c r="D686">
        <v>49</v>
      </c>
      <c r="E686" t="s">
        <v>1300</v>
      </c>
    </row>
    <row r="687" spans="1:5" x14ac:dyDescent="0.25">
      <c r="A687" s="2">
        <v>45219</v>
      </c>
      <c r="B687" s="1">
        <v>0.18124999999999999</v>
      </c>
      <c r="C687" t="s">
        <v>1286</v>
      </c>
      <c r="D687">
        <v>97</v>
      </c>
      <c r="E687" t="s">
        <v>1303</v>
      </c>
    </row>
    <row r="688" spans="1:5" x14ac:dyDescent="0.25">
      <c r="A688" s="2">
        <v>45219</v>
      </c>
      <c r="B688" s="1">
        <v>0.10347222222222222</v>
      </c>
      <c r="C688" t="s">
        <v>1168</v>
      </c>
      <c r="D688">
        <v>72</v>
      </c>
      <c r="E688" t="s">
        <v>1303</v>
      </c>
    </row>
    <row r="689" spans="1:5" x14ac:dyDescent="0.25">
      <c r="A689" s="2">
        <v>45219</v>
      </c>
      <c r="B689" s="1">
        <v>4.1666666666666664E-2</v>
      </c>
      <c r="C689" t="s">
        <v>1374</v>
      </c>
      <c r="D689">
        <v>100</v>
      </c>
      <c r="E689" t="s">
        <v>1305</v>
      </c>
    </row>
    <row r="690" spans="1:5" x14ac:dyDescent="0.25">
      <c r="A690" s="2">
        <v>45219</v>
      </c>
      <c r="B690" s="1">
        <v>0.11319444444444444</v>
      </c>
      <c r="C690" t="s">
        <v>1235</v>
      </c>
      <c r="D690">
        <v>19</v>
      </c>
      <c r="E690" t="s">
        <v>1300</v>
      </c>
    </row>
    <row r="691" spans="1:5" x14ac:dyDescent="0.25">
      <c r="A691" s="2">
        <v>45219</v>
      </c>
      <c r="B691" s="1">
        <v>0.65625</v>
      </c>
      <c r="C691" t="s">
        <v>1269</v>
      </c>
      <c r="D691">
        <v>118</v>
      </c>
      <c r="E691" t="s">
        <v>1303</v>
      </c>
    </row>
    <row r="692" spans="1:5" x14ac:dyDescent="0.25">
      <c r="A692" s="2">
        <v>45220</v>
      </c>
      <c r="B692" s="1">
        <v>0.8305555555555556</v>
      </c>
      <c r="C692" t="s">
        <v>1316</v>
      </c>
      <c r="D692">
        <v>59</v>
      </c>
      <c r="E692" t="s">
        <v>1305</v>
      </c>
    </row>
    <row r="693" spans="1:5" x14ac:dyDescent="0.25">
      <c r="A693" s="2">
        <v>45220</v>
      </c>
      <c r="B693" s="1">
        <v>0.96875</v>
      </c>
      <c r="C693" t="s">
        <v>1351</v>
      </c>
      <c r="D693">
        <v>103</v>
      </c>
      <c r="E693" t="s">
        <v>1300</v>
      </c>
    </row>
    <row r="694" spans="1:5" x14ac:dyDescent="0.25">
      <c r="A694" s="2">
        <v>45220</v>
      </c>
      <c r="B694" s="1">
        <v>0.46944444444444444</v>
      </c>
      <c r="C694" t="s">
        <v>1231</v>
      </c>
      <c r="D694">
        <v>17</v>
      </c>
      <c r="E694" t="s">
        <v>1303</v>
      </c>
    </row>
    <row r="695" spans="1:5" x14ac:dyDescent="0.25">
      <c r="A695" s="2">
        <v>45220</v>
      </c>
      <c r="B695" s="1">
        <v>0.51597222222222228</v>
      </c>
      <c r="C695" t="s">
        <v>1456</v>
      </c>
      <c r="D695">
        <v>15</v>
      </c>
      <c r="E695" t="s">
        <v>1305</v>
      </c>
    </row>
    <row r="696" spans="1:5" x14ac:dyDescent="0.25">
      <c r="A696" s="2">
        <v>45220</v>
      </c>
      <c r="B696" s="1">
        <v>0.58402777777777781</v>
      </c>
      <c r="C696" t="s">
        <v>840</v>
      </c>
      <c r="D696">
        <v>92</v>
      </c>
      <c r="E696" t="s">
        <v>1305</v>
      </c>
    </row>
    <row r="697" spans="1:5" x14ac:dyDescent="0.25">
      <c r="A697" s="2">
        <v>45220</v>
      </c>
      <c r="B697" s="1">
        <v>0.55138888888888893</v>
      </c>
      <c r="C697" t="s">
        <v>1565</v>
      </c>
      <c r="D697">
        <v>6</v>
      </c>
      <c r="E697" t="s">
        <v>1300</v>
      </c>
    </row>
    <row r="698" spans="1:5" x14ac:dyDescent="0.25">
      <c r="A698" s="2">
        <v>45220</v>
      </c>
      <c r="B698" s="1">
        <v>0.87708333333333333</v>
      </c>
      <c r="C698" t="s">
        <v>1203</v>
      </c>
      <c r="D698">
        <v>78</v>
      </c>
      <c r="E698" t="s">
        <v>1300</v>
      </c>
    </row>
    <row r="699" spans="1:5" x14ac:dyDescent="0.25">
      <c r="A699" s="2">
        <v>45220</v>
      </c>
      <c r="B699" s="1">
        <v>0.22291666666666668</v>
      </c>
      <c r="C699" t="s">
        <v>1237</v>
      </c>
      <c r="D699">
        <v>65</v>
      </c>
      <c r="E699" t="s">
        <v>1305</v>
      </c>
    </row>
    <row r="700" spans="1:5" x14ac:dyDescent="0.25">
      <c r="A700" s="2">
        <v>45220</v>
      </c>
      <c r="B700" s="1">
        <v>0.41666666666666669</v>
      </c>
      <c r="C700" t="s">
        <v>1123</v>
      </c>
      <c r="D700">
        <v>32</v>
      </c>
      <c r="E700" t="s">
        <v>1303</v>
      </c>
    </row>
    <row r="701" spans="1:5" x14ac:dyDescent="0.25">
      <c r="A701" s="2">
        <v>45220</v>
      </c>
      <c r="B701" s="1">
        <v>0.11736111111111111</v>
      </c>
      <c r="C701" t="s">
        <v>1366</v>
      </c>
      <c r="D701">
        <v>39</v>
      </c>
      <c r="E701" t="s">
        <v>1300</v>
      </c>
    </row>
    <row r="702" spans="1:5" x14ac:dyDescent="0.25">
      <c r="A702" s="2">
        <v>45220</v>
      </c>
      <c r="B702" s="1">
        <v>0.94027777777777777</v>
      </c>
      <c r="C702" t="s">
        <v>1309</v>
      </c>
      <c r="D702">
        <v>33</v>
      </c>
      <c r="E702" t="s">
        <v>1305</v>
      </c>
    </row>
    <row r="703" spans="1:5" x14ac:dyDescent="0.25">
      <c r="A703" s="2">
        <v>45220</v>
      </c>
      <c r="B703" s="1">
        <v>0.92777777777777781</v>
      </c>
      <c r="C703" t="s">
        <v>825</v>
      </c>
      <c r="D703">
        <v>22</v>
      </c>
      <c r="E703" t="s">
        <v>1303</v>
      </c>
    </row>
    <row r="704" spans="1:5" x14ac:dyDescent="0.25">
      <c r="A704" s="2">
        <v>45220</v>
      </c>
      <c r="B704" s="1">
        <v>9.166666666666666E-2</v>
      </c>
      <c r="C704" t="s">
        <v>1312</v>
      </c>
      <c r="D704">
        <v>87</v>
      </c>
      <c r="E704" t="s">
        <v>1303</v>
      </c>
    </row>
    <row r="705" spans="1:5" x14ac:dyDescent="0.25">
      <c r="A705" s="2">
        <v>45220</v>
      </c>
      <c r="B705" s="1">
        <v>0.81180555555555556</v>
      </c>
      <c r="C705" t="s">
        <v>1128</v>
      </c>
      <c r="D705">
        <v>100</v>
      </c>
      <c r="E705" t="s">
        <v>1305</v>
      </c>
    </row>
    <row r="706" spans="1:5" x14ac:dyDescent="0.25">
      <c r="A706" s="2">
        <v>45220</v>
      </c>
      <c r="B706" s="1">
        <v>0.43680555555555556</v>
      </c>
      <c r="C706" t="s">
        <v>1199</v>
      </c>
      <c r="D706">
        <v>64</v>
      </c>
      <c r="E706" t="s">
        <v>1303</v>
      </c>
    </row>
    <row r="707" spans="1:5" x14ac:dyDescent="0.25">
      <c r="A707" s="2">
        <v>45220</v>
      </c>
      <c r="B707" s="1">
        <v>0.11041666666666666</v>
      </c>
      <c r="C707" t="s">
        <v>1240</v>
      </c>
      <c r="D707">
        <v>111</v>
      </c>
      <c r="E707" t="s">
        <v>1305</v>
      </c>
    </row>
    <row r="708" spans="1:5" x14ac:dyDescent="0.25">
      <c r="A708" s="2">
        <v>45220</v>
      </c>
      <c r="B708" s="1">
        <v>0.65138888888888891</v>
      </c>
      <c r="C708" t="s">
        <v>1377</v>
      </c>
      <c r="D708">
        <v>36</v>
      </c>
      <c r="E708" t="s">
        <v>1300</v>
      </c>
    </row>
    <row r="709" spans="1:5" x14ac:dyDescent="0.25">
      <c r="A709" s="2">
        <v>45220</v>
      </c>
      <c r="B709" s="1">
        <v>0.64236111111111116</v>
      </c>
      <c r="C709" t="s">
        <v>1324</v>
      </c>
      <c r="D709">
        <v>19</v>
      </c>
      <c r="E709" t="s">
        <v>1300</v>
      </c>
    </row>
    <row r="710" spans="1:5" x14ac:dyDescent="0.25">
      <c r="A710" s="2">
        <v>45220</v>
      </c>
      <c r="B710" s="1">
        <v>0.11458333333333333</v>
      </c>
      <c r="C710" t="s">
        <v>1324</v>
      </c>
      <c r="D710">
        <v>54</v>
      </c>
      <c r="E710" t="s">
        <v>1303</v>
      </c>
    </row>
    <row r="711" spans="1:5" x14ac:dyDescent="0.25">
      <c r="A711" s="2">
        <v>45220</v>
      </c>
      <c r="B711" s="1">
        <v>0.74305555555555558</v>
      </c>
      <c r="C711" t="s">
        <v>1074</v>
      </c>
      <c r="D711">
        <v>54</v>
      </c>
      <c r="E711" t="s">
        <v>1303</v>
      </c>
    </row>
    <row r="712" spans="1:5" x14ac:dyDescent="0.25">
      <c r="A712" s="2">
        <v>45220</v>
      </c>
      <c r="B712" s="1">
        <v>0.4284722222222222</v>
      </c>
      <c r="C712" t="s">
        <v>1317</v>
      </c>
      <c r="D712">
        <v>26</v>
      </c>
      <c r="E712" t="s">
        <v>1305</v>
      </c>
    </row>
    <row r="713" spans="1:5" x14ac:dyDescent="0.25">
      <c r="A713" s="2">
        <v>45220</v>
      </c>
      <c r="B713" s="1">
        <v>0.15486111111111112</v>
      </c>
      <c r="C713" t="s">
        <v>1099</v>
      </c>
      <c r="D713">
        <v>53</v>
      </c>
      <c r="E713" t="s">
        <v>1300</v>
      </c>
    </row>
    <row r="714" spans="1:5" x14ac:dyDescent="0.25">
      <c r="A714" s="2">
        <v>45220</v>
      </c>
      <c r="B714" s="1">
        <v>0.20694444444444443</v>
      </c>
      <c r="C714" t="s">
        <v>977</v>
      </c>
      <c r="D714">
        <v>25</v>
      </c>
      <c r="E714" t="s">
        <v>1300</v>
      </c>
    </row>
    <row r="715" spans="1:5" x14ac:dyDescent="0.25">
      <c r="A715" s="2">
        <v>45220</v>
      </c>
      <c r="B715" s="1">
        <v>0.75416666666666665</v>
      </c>
      <c r="C715" t="s">
        <v>997</v>
      </c>
      <c r="D715">
        <v>85</v>
      </c>
      <c r="E715" t="s">
        <v>1300</v>
      </c>
    </row>
    <row r="716" spans="1:5" x14ac:dyDescent="0.25">
      <c r="A716" s="2">
        <v>45220</v>
      </c>
      <c r="B716" s="1">
        <v>0.50624999999999998</v>
      </c>
      <c r="C716" t="s">
        <v>1509</v>
      </c>
      <c r="D716">
        <v>20</v>
      </c>
      <c r="E716" t="s">
        <v>1300</v>
      </c>
    </row>
    <row r="717" spans="1:5" x14ac:dyDescent="0.25">
      <c r="A717" s="2">
        <v>45220</v>
      </c>
      <c r="B717" s="1">
        <v>0.48888888888888887</v>
      </c>
      <c r="C717" t="s">
        <v>973</v>
      </c>
      <c r="D717">
        <v>49</v>
      </c>
      <c r="E717" t="s">
        <v>1305</v>
      </c>
    </row>
    <row r="718" spans="1:5" x14ac:dyDescent="0.25">
      <c r="A718" s="2">
        <v>45220</v>
      </c>
      <c r="B718" s="1">
        <v>0.72499999999999998</v>
      </c>
      <c r="C718" t="s">
        <v>903</v>
      </c>
      <c r="D718">
        <v>28</v>
      </c>
      <c r="E718" t="s">
        <v>1305</v>
      </c>
    </row>
    <row r="719" spans="1:5" x14ac:dyDescent="0.25">
      <c r="A719" s="2">
        <v>45220</v>
      </c>
      <c r="B719" s="1">
        <v>0.61875000000000002</v>
      </c>
      <c r="C719" t="s">
        <v>1230</v>
      </c>
      <c r="D719">
        <v>79</v>
      </c>
      <c r="E719" t="s">
        <v>1300</v>
      </c>
    </row>
    <row r="720" spans="1:5" x14ac:dyDescent="0.25">
      <c r="A720" s="2">
        <v>45220</v>
      </c>
      <c r="B720" s="1">
        <v>0.36805555555555558</v>
      </c>
      <c r="C720" t="s">
        <v>1518</v>
      </c>
      <c r="D720">
        <v>47</v>
      </c>
      <c r="E720" t="s">
        <v>1305</v>
      </c>
    </row>
    <row r="721" spans="1:5" x14ac:dyDescent="0.25">
      <c r="A721" s="2">
        <v>45220</v>
      </c>
      <c r="B721" s="1">
        <v>0.89375000000000004</v>
      </c>
      <c r="C721" t="s">
        <v>901</v>
      </c>
      <c r="D721">
        <v>101</v>
      </c>
      <c r="E721" t="s">
        <v>1305</v>
      </c>
    </row>
    <row r="722" spans="1:5" x14ac:dyDescent="0.25">
      <c r="A722" s="2">
        <v>45220</v>
      </c>
      <c r="B722" s="1">
        <v>0.26250000000000001</v>
      </c>
      <c r="C722" t="s">
        <v>1460</v>
      </c>
      <c r="D722">
        <v>96</v>
      </c>
      <c r="E722" t="s">
        <v>1300</v>
      </c>
    </row>
    <row r="723" spans="1:5" x14ac:dyDescent="0.25">
      <c r="A723" s="2">
        <v>45220</v>
      </c>
      <c r="B723" s="1">
        <v>0.45277777777777778</v>
      </c>
      <c r="C723" t="s">
        <v>1451</v>
      </c>
      <c r="D723">
        <v>35</v>
      </c>
      <c r="E723" t="s">
        <v>1303</v>
      </c>
    </row>
    <row r="724" spans="1:5" x14ac:dyDescent="0.25">
      <c r="A724" s="2">
        <v>45220</v>
      </c>
      <c r="B724" s="1">
        <v>0.15902777777777777</v>
      </c>
      <c r="C724" t="s">
        <v>1217</v>
      </c>
      <c r="D724">
        <v>60</v>
      </c>
      <c r="E724" t="s">
        <v>1305</v>
      </c>
    </row>
    <row r="725" spans="1:5" x14ac:dyDescent="0.25">
      <c r="A725" s="2">
        <v>45220</v>
      </c>
      <c r="B725" s="1">
        <v>0.23055555555555557</v>
      </c>
      <c r="C725" t="s">
        <v>1331</v>
      </c>
      <c r="D725">
        <v>111</v>
      </c>
      <c r="E725" t="s">
        <v>1305</v>
      </c>
    </row>
    <row r="726" spans="1:5" x14ac:dyDescent="0.25">
      <c r="A726" s="2">
        <v>45220</v>
      </c>
      <c r="B726" s="1">
        <v>0.79236111111111107</v>
      </c>
      <c r="C726" t="s">
        <v>1352</v>
      </c>
      <c r="D726">
        <v>10</v>
      </c>
      <c r="E726" t="s">
        <v>1305</v>
      </c>
    </row>
    <row r="727" spans="1:5" x14ac:dyDescent="0.25">
      <c r="A727" s="2">
        <v>45220</v>
      </c>
      <c r="B727" s="1">
        <v>0.84791666666666665</v>
      </c>
      <c r="C727" t="s">
        <v>909</v>
      </c>
      <c r="D727">
        <v>103</v>
      </c>
      <c r="E727" t="s">
        <v>1300</v>
      </c>
    </row>
    <row r="728" spans="1:5" x14ac:dyDescent="0.25">
      <c r="A728" s="2">
        <v>45220</v>
      </c>
      <c r="B728" s="1">
        <v>9.3055555555555558E-2</v>
      </c>
      <c r="C728" t="s">
        <v>1576</v>
      </c>
      <c r="D728">
        <v>48</v>
      </c>
      <c r="E728" t="s">
        <v>1300</v>
      </c>
    </row>
    <row r="729" spans="1:5" x14ac:dyDescent="0.25">
      <c r="A729" s="2">
        <v>45220</v>
      </c>
      <c r="B729" s="1">
        <v>0.39097222222222222</v>
      </c>
      <c r="C729" t="s">
        <v>1478</v>
      </c>
      <c r="D729">
        <v>13</v>
      </c>
      <c r="E729" t="s">
        <v>1303</v>
      </c>
    </row>
    <row r="730" spans="1:5" x14ac:dyDescent="0.25">
      <c r="A730" s="2">
        <v>45220</v>
      </c>
      <c r="B730" s="1">
        <v>0.67708333333333337</v>
      </c>
      <c r="C730" t="s">
        <v>983</v>
      </c>
      <c r="D730">
        <v>107</v>
      </c>
      <c r="E730" t="s">
        <v>1305</v>
      </c>
    </row>
    <row r="731" spans="1:5" x14ac:dyDescent="0.25">
      <c r="A731" s="2">
        <v>45221</v>
      </c>
      <c r="B731" s="1">
        <v>0.58333333333333337</v>
      </c>
      <c r="C731" t="s">
        <v>1549</v>
      </c>
      <c r="D731">
        <v>106</v>
      </c>
      <c r="E731" t="s">
        <v>1305</v>
      </c>
    </row>
    <row r="732" spans="1:5" x14ac:dyDescent="0.25">
      <c r="A732" s="2">
        <v>45221</v>
      </c>
      <c r="B732" s="1">
        <v>0.37638888888888888</v>
      </c>
      <c r="C732" t="s">
        <v>812</v>
      </c>
      <c r="D732">
        <v>59</v>
      </c>
      <c r="E732" t="s">
        <v>1305</v>
      </c>
    </row>
    <row r="733" spans="1:5" x14ac:dyDescent="0.25">
      <c r="A733" s="2">
        <v>45221</v>
      </c>
      <c r="B733" s="1">
        <v>0.55555555555555558</v>
      </c>
      <c r="C733" t="s">
        <v>1354</v>
      </c>
      <c r="D733">
        <v>103</v>
      </c>
      <c r="E733" t="s">
        <v>1303</v>
      </c>
    </row>
    <row r="734" spans="1:5" x14ac:dyDescent="0.25">
      <c r="A734" s="2">
        <v>45221</v>
      </c>
      <c r="B734" s="1">
        <v>0.51736111111111116</v>
      </c>
      <c r="C734" t="s">
        <v>824</v>
      </c>
      <c r="D734">
        <v>83</v>
      </c>
      <c r="E734" t="s">
        <v>1305</v>
      </c>
    </row>
    <row r="735" spans="1:5" x14ac:dyDescent="0.25">
      <c r="A735" s="2">
        <v>45221</v>
      </c>
      <c r="B735" s="1">
        <v>0.33958333333333335</v>
      </c>
      <c r="C735" t="s">
        <v>1544</v>
      </c>
      <c r="D735">
        <v>97</v>
      </c>
      <c r="E735" t="s">
        <v>1303</v>
      </c>
    </row>
    <row r="736" spans="1:5" x14ac:dyDescent="0.25">
      <c r="A736" s="2">
        <v>45221</v>
      </c>
      <c r="B736" s="1">
        <v>0.26874999999999999</v>
      </c>
      <c r="C736" t="s">
        <v>1193</v>
      </c>
      <c r="D736">
        <v>18</v>
      </c>
      <c r="E736" t="s">
        <v>1303</v>
      </c>
    </row>
    <row r="737" spans="1:5" x14ac:dyDescent="0.25">
      <c r="A737" s="2">
        <v>45221</v>
      </c>
      <c r="B737" s="1">
        <v>0.48194444444444445</v>
      </c>
      <c r="C737" t="s">
        <v>1424</v>
      </c>
      <c r="D737">
        <v>80</v>
      </c>
      <c r="E737" t="s">
        <v>1305</v>
      </c>
    </row>
    <row r="738" spans="1:5" x14ac:dyDescent="0.25">
      <c r="A738" s="2">
        <v>45221</v>
      </c>
      <c r="B738" s="1">
        <v>4.9305555555555554E-2</v>
      </c>
      <c r="C738" t="s">
        <v>1146</v>
      </c>
      <c r="D738">
        <v>53</v>
      </c>
      <c r="E738" t="s">
        <v>1303</v>
      </c>
    </row>
    <row r="739" spans="1:5" x14ac:dyDescent="0.25">
      <c r="A739" s="2">
        <v>45221</v>
      </c>
      <c r="B739" s="1">
        <v>0.50277777777777777</v>
      </c>
      <c r="C739" t="s">
        <v>1436</v>
      </c>
      <c r="D739">
        <v>69</v>
      </c>
      <c r="E739" t="s">
        <v>1300</v>
      </c>
    </row>
    <row r="740" spans="1:5" x14ac:dyDescent="0.25">
      <c r="A740" s="2">
        <v>45221</v>
      </c>
      <c r="B740" s="1">
        <v>0.27847222222222223</v>
      </c>
      <c r="C740" t="s">
        <v>1100</v>
      </c>
      <c r="D740">
        <v>83</v>
      </c>
      <c r="E740" t="s">
        <v>1305</v>
      </c>
    </row>
    <row r="741" spans="1:5" x14ac:dyDescent="0.25">
      <c r="A741" s="2">
        <v>45221</v>
      </c>
      <c r="B741" s="1">
        <v>0.84652777777777777</v>
      </c>
      <c r="C741" t="s">
        <v>1293</v>
      </c>
      <c r="D741">
        <v>96</v>
      </c>
      <c r="E741" t="s">
        <v>1305</v>
      </c>
    </row>
    <row r="742" spans="1:5" x14ac:dyDescent="0.25">
      <c r="A742" s="2">
        <v>45221</v>
      </c>
      <c r="B742" s="1">
        <v>0.19791666666666666</v>
      </c>
      <c r="C742" t="s">
        <v>1160</v>
      </c>
      <c r="D742">
        <v>61</v>
      </c>
      <c r="E742" t="s">
        <v>1305</v>
      </c>
    </row>
    <row r="743" spans="1:5" x14ac:dyDescent="0.25">
      <c r="A743" s="2">
        <v>45221</v>
      </c>
      <c r="B743" s="1">
        <v>0.98888888888888893</v>
      </c>
      <c r="C743" t="s">
        <v>1418</v>
      </c>
      <c r="D743">
        <v>72</v>
      </c>
      <c r="E743" t="s">
        <v>1303</v>
      </c>
    </row>
    <row r="744" spans="1:5" x14ac:dyDescent="0.25">
      <c r="A744" s="2">
        <v>45221</v>
      </c>
      <c r="B744" s="1">
        <v>0.49861111111111112</v>
      </c>
      <c r="C744" t="s">
        <v>1626</v>
      </c>
      <c r="D744">
        <v>116</v>
      </c>
      <c r="E744" t="s">
        <v>1303</v>
      </c>
    </row>
    <row r="745" spans="1:5" x14ac:dyDescent="0.25">
      <c r="A745" s="2">
        <v>45221</v>
      </c>
      <c r="B745" s="1">
        <v>0.50555555555555554</v>
      </c>
      <c r="C745" t="s">
        <v>1137</v>
      </c>
      <c r="D745">
        <v>51</v>
      </c>
      <c r="E745" t="s">
        <v>1300</v>
      </c>
    </row>
    <row r="746" spans="1:5" x14ac:dyDescent="0.25">
      <c r="A746" s="2">
        <v>45221</v>
      </c>
      <c r="B746" s="1">
        <v>0.83611111111111114</v>
      </c>
      <c r="C746" t="s">
        <v>900</v>
      </c>
      <c r="D746">
        <v>6</v>
      </c>
      <c r="E746" t="s">
        <v>1305</v>
      </c>
    </row>
    <row r="747" spans="1:5" x14ac:dyDescent="0.25">
      <c r="A747" s="2">
        <v>45221</v>
      </c>
      <c r="B747" s="1">
        <v>0.8618055555555556</v>
      </c>
      <c r="C747" t="s">
        <v>902</v>
      </c>
      <c r="D747">
        <v>65</v>
      </c>
      <c r="E747" t="s">
        <v>1300</v>
      </c>
    </row>
    <row r="748" spans="1:5" x14ac:dyDescent="0.25">
      <c r="A748" s="2">
        <v>45221</v>
      </c>
      <c r="B748" s="1">
        <v>0.26597222222222222</v>
      </c>
      <c r="C748" t="s">
        <v>1098</v>
      </c>
      <c r="D748">
        <v>88</v>
      </c>
      <c r="E748" t="s">
        <v>1303</v>
      </c>
    </row>
    <row r="749" spans="1:5" x14ac:dyDescent="0.25">
      <c r="A749" s="2">
        <v>45221</v>
      </c>
      <c r="B749" s="1">
        <v>0.38472222222222224</v>
      </c>
      <c r="C749" t="s">
        <v>1409</v>
      </c>
      <c r="D749">
        <v>92</v>
      </c>
      <c r="E749" t="s">
        <v>1303</v>
      </c>
    </row>
    <row r="750" spans="1:5" x14ac:dyDescent="0.25">
      <c r="A750" s="2">
        <v>45221</v>
      </c>
      <c r="B750" s="1">
        <v>0.14305555555555555</v>
      </c>
      <c r="C750" t="s">
        <v>1394</v>
      </c>
      <c r="D750">
        <v>43</v>
      </c>
      <c r="E750" t="s">
        <v>1300</v>
      </c>
    </row>
    <row r="751" spans="1:5" x14ac:dyDescent="0.25">
      <c r="A751" s="2">
        <v>45221</v>
      </c>
      <c r="B751" s="1">
        <v>0.96597222222222223</v>
      </c>
      <c r="C751" t="s">
        <v>1554</v>
      </c>
      <c r="D751">
        <v>84</v>
      </c>
      <c r="E751" t="s">
        <v>1305</v>
      </c>
    </row>
    <row r="752" spans="1:5" x14ac:dyDescent="0.25">
      <c r="A752" s="2">
        <v>45221</v>
      </c>
      <c r="B752" s="1">
        <v>0.99791666666666667</v>
      </c>
      <c r="C752" t="s">
        <v>1304</v>
      </c>
      <c r="D752">
        <v>79</v>
      </c>
      <c r="E752" t="s">
        <v>1305</v>
      </c>
    </row>
    <row r="753" spans="1:5" x14ac:dyDescent="0.25">
      <c r="A753" s="2">
        <v>45221</v>
      </c>
      <c r="B753" s="1">
        <v>0.85763888888888884</v>
      </c>
      <c r="C753" t="s">
        <v>1434</v>
      </c>
      <c r="D753">
        <v>60</v>
      </c>
      <c r="E753" t="s">
        <v>1305</v>
      </c>
    </row>
    <row r="754" spans="1:5" x14ac:dyDescent="0.25">
      <c r="A754" s="2">
        <v>45221</v>
      </c>
      <c r="B754" s="1">
        <v>3.9583333333333331E-2</v>
      </c>
      <c r="C754" t="s">
        <v>1080</v>
      </c>
      <c r="D754">
        <v>33</v>
      </c>
      <c r="E754" t="s">
        <v>1303</v>
      </c>
    </row>
    <row r="755" spans="1:5" x14ac:dyDescent="0.25">
      <c r="A755" s="2">
        <v>45221</v>
      </c>
      <c r="B755" s="1">
        <v>0.93194444444444446</v>
      </c>
      <c r="C755" t="s">
        <v>1540</v>
      </c>
      <c r="D755">
        <v>26</v>
      </c>
      <c r="E755" t="s">
        <v>1300</v>
      </c>
    </row>
    <row r="756" spans="1:5" x14ac:dyDescent="0.25">
      <c r="A756" s="2">
        <v>45221</v>
      </c>
      <c r="B756" s="1">
        <v>9.5138888888888884E-2</v>
      </c>
      <c r="C756" t="s">
        <v>1311</v>
      </c>
      <c r="D756">
        <v>10</v>
      </c>
      <c r="E756" t="s">
        <v>1303</v>
      </c>
    </row>
    <row r="757" spans="1:5" x14ac:dyDescent="0.25">
      <c r="A757" s="2">
        <v>45221</v>
      </c>
      <c r="B757" s="1">
        <v>0.10625</v>
      </c>
      <c r="C757" t="s">
        <v>1313</v>
      </c>
      <c r="D757">
        <v>52</v>
      </c>
      <c r="E757" t="s">
        <v>1305</v>
      </c>
    </row>
    <row r="758" spans="1:5" x14ac:dyDescent="0.25">
      <c r="A758" s="2">
        <v>45221</v>
      </c>
      <c r="B758" s="1">
        <v>0.77222222222222225</v>
      </c>
      <c r="C758" t="s">
        <v>865</v>
      </c>
      <c r="D758">
        <v>107</v>
      </c>
      <c r="E758" t="s">
        <v>1300</v>
      </c>
    </row>
    <row r="759" spans="1:5" x14ac:dyDescent="0.25">
      <c r="A759" s="2">
        <v>45221</v>
      </c>
      <c r="B759" s="1">
        <v>0.56597222222222221</v>
      </c>
      <c r="C759" t="s">
        <v>935</v>
      </c>
      <c r="D759">
        <v>87</v>
      </c>
      <c r="E759" t="s">
        <v>1303</v>
      </c>
    </row>
    <row r="760" spans="1:5" x14ac:dyDescent="0.25">
      <c r="A760" s="2">
        <v>45221</v>
      </c>
      <c r="B760" s="1">
        <v>0.72499999999999998</v>
      </c>
      <c r="C760" t="s">
        <v>876</v>
      </c>
      <c r="D760">
        <v>55</v>
      </c>
      <c r="E760" t="s">
        <v>1303</v>
      </c>
    </row>
    <row r="761" spans="1:5" x14ac:dyDescent="0.25">
      <c r="A761" s="2">
        <v>45221</v>
      </c>
      <c r="B761" s="1">
        <v>0.77500000000000002</v>
      </c>
      <c r="C761" t="s">
        <v>907</v>
      </c>
      <c r="D761">
        <v>24</v>
      </c>
      <c r="E761" t="s">
        <v>1300</v>
      </c>
    </row>
    <row r="762" spans="1:5" x14ac:dyDescent="0.25">
      <c r="A762" s="2">
        <v>45221</v>
      </c>
      <c r="B762" s="1">
        <v>9.583333333333334E-2</v>
      </c>
      <c r="C762" t="s">
        <v>1362</v>
      </c>
      <c r="D762">
        <v>113</v>
      </c>
      <c r="E762" t="s">
        <v>1305</v>
      </c>
    </row>
    <row r="763" spans="1:5" x14ac:dyDescent="0.25">
      <c r="A763" s="2">
        <v>45221</v>
      </c>
      <c r="B763" s="1">
        <v>0.92847222222222225</v>
      </c>
      <c r="C763" t="s">
        <v>1034</v>
      </c>
      <c r="D763">
        <v>21</v>
      </c>
      <c r="E763" t="s">
        <v>1300</v>
      </c>
    </row>
    <row r="764" spans="1:5" x14ac:dyDescent="0.25">
      <c r="A764" s="2">
        <v>45221</v>
      </c>
      <c r="B764" s="1">
        <v>0.91041666666666665</v>
      </c>
      <c r="C764" t="s">
        <v>1202</v>
      </c>
      <c r="D764">
        <v>60</v>
      </c>
      <c r="E764" t="s">
        <v>1303</v>
      </c>
    </row>
    <row r="765" spans="1:5" x14ac:dyDescent="0.25">
      <c r="A765" s="2">
        <v>45221</v>
      </c>
      <c r="B765" s="1">
        <v>0.38819444444444445</v>
      </c>
      <c r="C765" t="s">
        <v>1086</v>
      </c>
      <c r="D765">
        <v>64</v>
      </c>
      <c r="E765" t="s">
        <v>1303</v>
      </c>
    </row>
    <row r="766" spans="1:5" x14ac:dyDescent="0.25">
      <c r="A766" s="2">
        <v>45221</v>
      </c>
      <c r="B766" s="1">
        <v>0.18055555555555555</v>
      </c>
      <c r="C766" t="s">
        <v>807</v>
      </c>
      <c r="D766">
        <v>8</v>
      </c>
      <c r="E766" t="s">
        <v>1300</v>
      </c>
    </row>
    <row r="767" spans="1:5" x14ac:dyDescent="0.25">
      <c r="A767" s="2">
        <v>45221</v>
      </c>
      <c r="B767" s="1">
        <v>0.83958333333333335</v>
      </c>
      <c r="C767" t="s">
        <v>1399</v>
      </c>
      <c r="D767">
        <v>18</v>
      </c>
      <c r="E767" t="s">
        <v>1300</v>
      </c>
    </row>
    <row r="768" spans="1:5" x14ac:dyDescent="0.25">
      <c r="A768" s="2">
        <v>45221</v>
      </c>
      <c r="B768" s="1">
        <v>0.8618055555555556</v>
      </c>
      <c r="C768" t="s">
        <v>871</v>
      </c>
      <c r="D768">
        <v>21</v>
      </c>
      <c r="E768" t="s">
        <v>1303</v>
      </c>
    </row>
    <row r="769" spans="1:5" x14ac:dyDescent="0.25">
      <c r="A769" s="2">
        <v>45221</v>
      </c>
      <c r="B769" s="1">
        <v>0.28333333333333333</v>
      </c>
      <c r="C769" t="s">
        <v>1042</v>
      </c>
      <c r="D769">
        <v>22</v>
      </c>
      <c r="E769" t="s">
        <v>1300</v>
      </c>
    </row>
    <row r="770" spans="1:5" x14ac:dyDescent="0.25">
      <c r="A770" s="2">
        <v>45221</v>
      </c>
      <c r="B770" s="1">
        <v>0.55902777777777779</v>
      </c>
      <c r="C770" t="s">
        <v>1023</v>
      </c>
      <c r="D770">
        <v>22</v>
      </c>
      <c r="E770" t="s">
        <v>1300</v>
      </c>
    </row>
    <row r="771" spans="1:5" x14ac:dyDescent="0.25">
      <c r="A771" s="2">
        <v>45221</v>
      </c>
      <c r="B771" s="1">
        <v>0.31319444444444444</v>
      </c>
      <c r="C771" t="s">
        <v>1032</v>
      </c>
      <c r="D771">
        <v>34</v>
      </c>
      <c r="E771" t="s">
        <v>1303</v>
      </c>
    </row>
    <row r="772" spans="1:5" x14ac:dyDescent="0.25">
      <c r="A772" s="2">
        <v>45221</v>
      </c>
      <c r="B772" s="1">
        <v>0.71736111111111112</v>
      </c>
      <c r="C772" t="s">
        <v>1223</v>
      </c>
      <c r="D772">
        <v>14</v>
      </c>
      <c r="E772" t="s">
        <v>1300</v>
      </c>
    </row>
    <row r="773" spans="1:5" x14ac:dyDescent="0.25">
      <c r="A773" s="2">
        <v>45221</v>
      </c>
      <c r="B773" s="1">
        <v>0.6479166666666667</v>
      </c>
      <c r="C773" t="s">
        <v>875</v>
      </c>
      <c r="D773">
        <v>67</v>
      </c>
      <c r="E773" t="s">
        <v>1300</v>
      </c>
    </row>
    <row r="774" spans="1:5" x14ac:dyDescent="0.25">
      <c r="A774" s="2">
        <v>45221</v>
      </c>
      <c r="B774" s="1">
        <v>0.78055555555555556</v>
      </c>
      <c r="C774" t="s">
        <v>1219</v>
      </c>
      <c r="D774">
        <v>67</v>
      </c>
      <c r="E774" t="s">
        <v>1300</v>
      </c>
    </row>
    <row r="775" spans="1:5" x14ac:dyDescent="0.25">
      <c r="A775" s="2">
        <v>45221</v>
      </c>
      <c r="B775" s="1">
        <v>0.5493055555555556</v>
      </c>
      <c r="C775" t="s">
        <v>1574</v>
      </c>
      <c r="D775">
        <v>39</v>
      </c>
      <c r="E775" t="s">
        <v>1303</v>
      </c>
    </row>
    <row r="776" spans="1:5" x14ac:dyDescent="0.25">
      <c r="A776" s="2">
        <v>45221</v>
      </c>
      <c r="B776" s="1">
        <v>0.57847222222222228</v>
      </c>
      <c r="C776" t="s">
        <v>1393</v>
      </c>
      <c r="D776">
        <v>76</v>
      </c>
      <c r="E776" t="s">
        <v>1305</v>
      </c>
    </row>
    <row r="777" spans="1:5" x14ac:dyDescent="0.25">
      <c r="A777" s="2">
        <v>45221</v>
      </c>
      <c r="B777" s="1">
        <v>0.99791666666666667</v>
      </c>
      <c r="C777" t="s">
        <v>1357</v>
      </c>
      <c r="D777">
        <v>59</v>
      </c>
      <c r="E777" t="s">
        <v>1300</v>
      </c>
    </row>
    <row r="778" spans="1:5" x14ac:dyDescent="0.25">
      <c r="A778" s="2">
        <v>45221</v>
      </c>
      <c r="B778" s="1">
        <v>0.1673611111111111</v>
      </c>
      <c r="C778" t="s">
        <v>1289</v>
      </c>
      <c r="D778">
        <v>78</v>
      </c>
      <c r="E778" t="s">
        <v>1303</v>
      </c>
    </row>
    <row r="779" spans="1:5" x14ac:dyDescent="0.25">
      <c r="A779" s="2">
        <v>45222</v>
      </c>
      <c r="B779" s="1">
        <v>0.55972222222222223</v>
      </c>
      <c r="C779" t="s">
        <v>1506</v>
      </c>
      <c r="D779">
        <v>26</v>
      </c>
      <c r="E779" t="s">
        <v>1305</v>
      </c>
    </row>
    <row r="780" spans="1:5" x14ac:dyDescent="0.25">
      <c r="A780" s="2">
        <v>45222</v>
      </c>
      <c r="B780" s="1">
        <v>0.93819444444444444</v>
      </c>
      <c r="C780" t="s">
        <v>1493</v>
      </c>
      <c r="D780">
        <v>36</v>
      </c>
      <c r="E780" t="s">
        <v>1300</v>
      </c>
    </row>
    <row r="781" spans="1:5" x14ac:dyDescent="0.25">
      <c r="A781" s="2">
        <v>45222</v>
      </c>
      <c r="B781" s="1">
        <v>0.17916666666666667</v>
      </c>
      <c r="C781" t="s">
        <v>928</v>
      </c>
      <c r="D781">
        <v>28</v>
      </c>
      <c r="E781" t="s">
        <v>1303</v>
      </c>
    </row>
    <row r="782" spans="1:5" x14ac:dyDescent="0.25">
      <c r="A782" s="2">
        <v>45222</v>
      </c>
      <c r="B782" s="1">
        <v>0.90277777777777779</v>
      </c>
      <c r="C782" t="s">
        <v>1229</v>
      </c>
      <c r="D782">
        <v>31</v>
      </c>
      <c r="E782" t="s">
        <v>1305</v>
      </c>
    </row>
    <row r="783" spans="1:5" x14ac:dyDescent="0.25">
      <c r="A783" s="2">
        <v>45222</v>
      </c>
      <c r="B783" s="1">
        <v>0.50138888888888888</v>
      </c>
      <c r="C783" t="s">
        <v>1083</v>
      </c>
      <c r="D783">
        <v>39</v>
      </c>
      <c r="E783" t="s">
        <v>1300</v>
      </c>
    </row>
    <row r="784" spans="1:5" x14ac:dyDescent="0.25">
      <c r="A784" s="2">
        <v>45222</v>
      </c>
      <c r="B784" s="1">
        <v>0.47847222222222224</v>
      </c>
      <c r="C784" t="s">
        <v>1317</v>
      </c>
      <c r="D784">
        <v>72</v>
      </c>
      <c r="E784" t="s">
        <v>1303</v>
      </c>
    </row>
    <row r="785" spans="1:5" x14ac:dyDescent="0.25">
      <c r="A785" s="2">
        <v>45222</v>
      </c>
      <c r="B785" s="1">
        <v>0.65277777777777779</v>
      </c>
      <c r="C785" t="s">
        <v>820</v>
      </c>
      <c r="D785">
        <v>46</v>
      </c>
      <c r="E785" t="s">
        <v>1305</v>
      </c>
    </row>
    <row r="786" spans="1:5" x14ac:dyDescent="0.25">
      <c r="A786" s="2">
        <v>45222</v>
      </c>
      <c r="B786" s="1">
        <v>0.7631944444444444</v>
      </c>
      <c r="C786" t="s">
        <v>958</v>
      </c>
      <c r="D786">
        <v>91</v>
      </c>
      <c r="E786" t="s">
        <v>1305</v>
      </c>
    </row>
    <row r="787" spans="1:5" x14ac:dyDescent="0.25">
      <c r="A787" s="2">
        <v>45222</v>
      </c>
      <c r="B787" s="1">
        <v>0.46736111111111112</v>
      </c>
      <c r="C787" t="s">
        <v>1422</v>
      </c>
      <c r="D787">
        <v>104</v>
      </c>
      <c r="E787" t="s">
        <v>1305</v>
      </c>
    </row>
    <row r="788" spans="1:5" x14ac:dyDescent="0.25">
      <c r="A788" s="2">
        <v>45222</v>
      </c>
      <c r="B788" s="1">
        <v>0.42569444444444443</v>
      </c>
      <c r="C788" t="s">
        <v>1323</v>
      </c>
      <c r="D788">
        <v>48</v>
      </c>
      <c r="E788" t="s">
        <v>1300</v>
      </c>
    </row>
    <row r="789" spans="1:5" x14ac:dyDescent="0.25">
      <c r="A789" s="2">
        <v>45222</v>
      </c>
      <c r="B789" s="1">
        <v>0.83402777777777781</v>
      </c>
      <c r="C789" t="s">
        <v>1196</v>
      </c>
      <c r="D789">
        <v>109</v>
      </c>
      <c r="E789" t="s">
        <v>1303</v>
      </c>
    </row>
    <row r="790" spans="1:5" x14ac:dyDescent="0.25">
      <c r="A790" s="2">
        <v>45222</v>
      </c>
      <c r="B790" s="1">
        <v>0.60277777777777775</v>
      </c>
      <c r="C790" t="s">
        <v>1446</v>
      </c>
      <c r="D790">
        <v>53</v>
      </c>
      <c r="E790" t="s">
        <v>1303</v>
      </c>
    </row>
    <row r="791" spans="1:5" x14ac:dyDescent="0.25">
      <c r="A791" s="2">
        <v>45222</v>
      </c>
      <c r="B791" s="1">
        <v>0.4152777777777778</v>
      </c>
      <c r="C791" t="s">
        <v>1165</v>
      </c>
      <c r="D791">
        <v>73</v>
      </c>
      <c r="E791" t="s">
        <v>1300</v>
      </c>
    </row>
    <row r="792" spans="1:5" x14ac:dyDescent="0.25">
      <c r="A792" s="2">
        <v>45222</v>
      </c>
      <c r="B792" s="1">
        <v>0.35347222222222224</v>
      </c>
      <c r="C792" t="s">
        <v>860</v>
      </c>
      <c r="D792">
        <v>101</v>
      </c>
      <c r="E792" t="s">
        <v>1303</v>
      </c>
    </row>
    <row r="793" spans="1:5" x14ac:dyDescent="0.25">
      <c r="A793" s="2">
        <v>45222</v>
      </c>
      <c r="B793" s="1">
        <v>0.18888888888888888</v>
      </c>
      <c r="C793" t="s">
        <v>929</v>
      </c>
      <c r="D793">
        <v>33</v>
      </c>
      <c r="E793" t="s">
        <v>1300</v>
      </c>
    </row>
    <row r="794" spans="1:5" x14ac:dyDescent="0.25">
      <c r="A794" s="2">
        <v>45222</v>
      </c>
      <c r="B794" s="1">
        <v>0.66319444444444442</v>
      </c>
      <c r="C794" t="s">
        <v>852</v>
      </c>
      <c r="D794">
        <v>6</v>
      </c>
      <c r="E794" t="s">
        <v>1305</v>
      </c>
    </row>
    <row r="795" spans="1:5" x14ac:dyDescent="0.25">
      <c r="A795" s="2">
        <v>45222</v>
      </c>
      <c r="B795" s="1">
        <v>0.94444444444444442</v>
      </c>
      <c r="C795" t="s">
        <v>1400</v>
      </c>
      <c r="D795">
        <v>87</v>
      </c>
      <c r="E795" t="s">
        <v>1303</v>
      </c>
    </row>
    <row r="796" spans="1:5" x14ac:dyDescent="0.25">
      <c r="A796" s="2">
        <v>45222</v>
      </c>
      <c r="B796" s="1">
        <v>0.77152777777777781</v>
      </c>
      <c r="C796" t="s">
        <v>1306</v>
      </c>
      <c r="D796">
        <v>53</v>
      </c>
      <c r="E796" t="s">
        <v>1305</v>
      </c>
    </row>
    <row r="797" spans="1:5" x14ac:dyDescent="0.25">
      <c r="A797" s="2">
        <v>45222</v>
      </c>
      <c r="B797" s="1">
        <v>0.47916666666666669</v>
      </c>
      <c r="C797" t="s">
        <v>880</v>
      </c>
      <c r="D797">
        <v>112</v>
      </c>
      <c r="E797" t="s">
        <v>1303</v>
      </c>
    </row>
    <row r="798" spans="1:5" x14ac:dyDescent="0.25">
      <c r="A798" s="2">
        <v>45222</v>
      </c>
      <c r="B798" s="1">
        <v>0.58472222222222225</v>
      </c>
      <c r="C798" t="s">
        <v>817</v>
      </c>
      <c r="D798">
        <v>15</v>
      </c>
      <c r="E798" t="s">
        <v>1305</v>
      </c>
    </row>
    <row r="799" spans="1:5" x14ac:dyDescent="0.25">
      <c r="A799" s="2">
        <v>45222</v>
      </c>
      <c r="B799" s="1">
        <v>0.51180555555555551</v>
      </c>
      <c r="C799" t="s">
        <v>1391</v>
      </c>
      <c r="D799">
        <v>56</v>
      </c>
      <c r="E799" t="s">
        <v>1300</v>
      </c>
    </row>
    <row r="800" spans="1:5" x14ac:dyDescent="0.25">
      <c r="A800" s="2">
        <v>45222</v>
      </c>
      <c r="B800" s="1">
        <v>0.51666666666666672</v>
      </c>
      <c r="C800" t="s">
        <v>1398</v>
      </c>
      <c r="D800">
        <v>66</v>
      </c>
      <c r="E800" t="s">
        <v>1300</v>
      </c>
    </row>
    <row r="801" spans="1:5" x14ac:dyDescent="0.25">
      <c r="A801" s="2">
        <v>45222</v>
      </c>
      <c r="B801" s="1">
        <v>0.52847222222222223</v>
      </c>
      <c r="C801" t="s">
        <v>1405</v>
      </c>
      <c r="D801">
        <v>111</v>
      </c>
      <c r="E801" t="s">
        <v>1300</v>
      </c>
    </row>
    <row r="802" spans="1:5" x14ac:dyDescent="0.25">
      <c r="A802" s="2">
        <v>45222</v>
      </c>
      <c r="B802" s="1">
        <v>0.74861111111111112</v>
      </c>
      <c r="C802" t="s">
        <v>911</v>
      </c>
      <c r="D802">
        <v>28</v>
      </c>
      <c r="E802" t="s">
        <v>1303</v>
      </c>
    </row>
    <row r="803" spans="1:5" x14ac:dyDescent="0.25">
      <c r="A803" s="2">
        <v>45222</v>
      </c>
      <c r="B803" s="1">
        <v>0.10833333333333334</v>
      </c>
      <c r="C803" t="s">
        <v>1536</v>
      </c>
      <c r="D803">
        <v>88</v>
      </c>
      <c r="E803" t="s">
        <v>1305</v>
      </c>
    </row>
    <row r="804" spans="1:5" x14ac:dyDescent="0.25">
      <c r="A804" s="2">
        <v>45222</v>
      </c>
      <c r="B804" s="1">
        <v>0.59722222222222221</v>
      </c>
      <c r="C804" t="s">
        <v>1193</v>
      </c>
      <c r="D804">
        <v>22</v>
      </c>
      <c r="E804" t="s">
        <v>1303</v>
      </c>
    </row>
    <row r="805" spans="1:5" x14ac:dyDescent="0.25">
      <c r="A805" s="2">
        <v>45222</v>
      </c>
      <c r="B805" s="1">
        <v>0.94374999999999998</v>
      </c>
      <c r="C805" t="s">
        <v>896</v>
      </c>
      <c r="D805">
        <v>114</v>
      </c>
      <c r="E805" t="s">
        <v>1300</v>
      </c>
    </row>
    <row r="806" spans="1:5" x14ac:dyDescent="0.25">
      <c r="A806" s="2">
        <v>45222</v>
      </c>
      <c r="B806" s="1">
        <v>0.63124999999999998</v>
      </c>
      <c r="C806" t="s">
        <v>830</v>
      </c>
      <c r="D806">
        <v>90</v>
      </c>
      <c r="E806" t="s">
        <v>1300</v>
      </c>
    </row>
    <row r="807" spans="1:5" x14ac:dyDescent="0.25">
      <c r="A807" s="2">
        <v>45222</v>
      </c>
      <c r="B807" s="1">
        <v>0.1076388888888889</v>
      </c>
      <c r="C807" t="s">
        <v>1357</v>
      </c>
      <c r="D807">
        <v>85</v>
      </c>
      <c r="E807" t="s">
        <v>1300</v>
      </c>
    </row>
    <row r="808" spans="1:5" x14ac:dyDescent="0.25">
      <c r="A808" s="2">
        <v>45222</v>
      </c>
      <c r="B808" s="1">
        <v>0.42708333333333331</v>
      </c>
      <c r="C808" t="s">
        <v>1112</v>
      </c>
      <c r="D808">
        <v>82</v>
      </c>
      <c r="E808" t="s">
        <v>1300</v>
      </c>
    </row>
    <row r="809" spans="1:5" x14ac:dyDescent="0.25">
      <c r="A809" s="2">
        <v>45222</v>
      </c>
      <c r="B809" s="1">
        <v>0.87916666666666665</v>
      </c>
      <c r="C809" t="s">
        <v>1339</v>
      </c>
      <c r="D809">
        <v>103</v>
      </c>
      <c r="E809" t="s">
        <v>1305</v>
      </c>
    </row>
    <row r="810" spans="1:5" x14ac:dyDescent="0.25">
      <c r="A810" s="2">
        <v>45222</v>
      </c>
      <c r="B810" s="1">
        <v>0.36736111111111114</v>
      </c>
      <c r="C810" t="s">
        <v>1368</v>
      </c>
      <c r="D810">
        <v>117</v>
      </c>
      <c r="E810" t="s">
        <v>1303</v>
      </c>
    </row>
    <row r="811" spans="1:5" x14ac:dyDescent="0.25">
      <c r="A811" s="2">
        <v>45222</v>
      </c>
      <c r="B811" s="1">
        <v>0.77777777777777779</v>
      </c>
      <c r="C811" t="s">
        <v>1237</v>
      </c>
      <c r="D811">
        <v>102</v>
      </c>
      <c r="E811" t="s">
        <v>1305</v>
      </c>
    </row>
    <row r="812" spans="1:5" x14ac:dyDescent="0.25">
      <c r="A812" s="2">
        <v>45223</v>
      </c>
      <c r="B812" s="1">
        <v>0.71944444444444444</v>
      </c>
      <c r="C812" t="s">
        <v>1444</v>
      </c>
      <c r="D812">
        <v>61</v>
      </c>
      <c r="E812" t="s">
        <v>1303</v>
      </c>
    </row>
    <row r="813" spans="1:5" x14ac:dyDescent="0.25">
      <c r="A813" s="2">
        <v>45223</v>
      </c>
      <c r="B813" s="1">
        <v>0.29375000000000001</v>
      </c>
      <c r="C813" t="s">
        <v>1060</v>
      </c>
      <c r="D813">
        <v>42</v>
      </c>
      <c r="E813" t="s">
        <v>1305</v>
      </c>
    </row>
    <row r="814" spans="1:5" x14ac:dyDescent="0.25">
      <c r="A814" s="2">
        <v>45223</v>
      </c>
      <c r="B814" s="1">
        <v>0.5541666666666667</v>
      </c>
      <c r="C814" t="s">
        <v>1067</v>
      </c>
      <c r="D814">
        <v>86</v>
      </c>
      <c r="E814" t="s">
        <v>1303</v>
      </c>
    </row>
    <row r="815" spans="1:5" x14ac:dyDescent="0.25">
      <c r="A815" s="2">
        <v>45223</v>
      </c>
      <c r="B815" s="1">
        <v>0.57013888888888886</v>
      </c>
      <c r="C815" t="s">
        <v>1284</v>
      </c>
      <c r="D815">
        <v>10</v>
      </c>
      <c r="E815" t="s">
        <v>1303</v>
      </c>
    </row>
    <row r="816" spans="1:5" x14ac:dyDescent="0.25">
      <c r="A816" s="2">
        <v>45223</v>
      </c>
      <c r="B816" s="1">
        <v>0.99097222222222225</v>
      </c>
      <c r="C816" t="s">
        <v>1031</v>
      </c>
      <c r="D816">
        <v>23</v>
      </c>
      <c r="E816" t="s">
        <v>1300</v>
      </c>
    </row>
    <row r="817" spans="1:5" x14ac:dyDescent="0.25">
      <c r="A817" s="2">
        <v>45223</v>
      </c>
      <c r="B817" s="1">
        <v>0.41875000000000001</v>
      </c>
      <c r="C817" t="s">
        <v>1241</v>
      </c>
      <c r="D817">
        <v>89</v>
      </c>
      <c r="E817" t="s">
        <v>1300</v>
      </c>
    </row>
    <row r="818" spans="1:5" x14ac:dyDescent="0.25">
      <c r="A818" s="2">
        <v>45223</v>
      </c>
      <c r="B818" s="1">
        <v>0.69305555555555554</v>
      </c>
      <c r="C818" t="s">
        <v>1595</v>
      </c>
      <c r="D818">
        <v>18</v>
      </c>
      <c r="E818" t="s">
        <v>1303</v>
      </c>
    </row>
    <row r="819" spans="1:5" x14ac:dyDescent="0.25">
      <c r="A819" s="2">
        <v>45223</v>
      </c>
      <c r="B819" s="1">
        <v>0.40069444444444446</v>
      </c>
      <c r="C819" t="s">
        <v>1137</v>
      </c>
      <c r="D819">
        <v>41</v>
      </c>
      <c r="E819" t="s">
        <v>1305</v>
      </c>
    </row>
    <row r="820" spans="1:5" x14ac:dyDescent="0.25">
      <c r="A820" s="2">
        <v>45223</v>
      </c>
      <c r="B820" s="1">
        <v>0.7944444444444444</v>
      </c>
      <c r="C820" t="s">
        <v>1069</v>
      </c>
      <c r="D820">
        <v>97</v>
      </c>
      <c r="E820" t="s">
        <v>1300</v>
      </c>
    </row>
    <row r="821" spans="1:5" x14ac:dyDescent="0.25">
      <c r="A821" s="2">
        <v>45223</v>
      </c>
      <c r="B821" s="1">
        <v>0.75972222222222219</v>
      </c>
      <c r="C821" t="s">
        <v>929</v>
      </c>
      <c r="D821">
        <v>78</v>
      </c>
      <c r="E821" t="s">
        <v>1303</v>
      </c>
    </row>
    <row r="822" spans="1:5" x14ac:dyDescent="0.25">
      <c r="A822" s="2">
        <v>45223</v>
      </c>
      <c r="B822" s="1">
        <v>0.73611111111111116</v>
      </c>
      <c r="C822" t="s">
        <v>898</v>
      </c>
      <c r="D822">
        <v>116</v>
      </c>
      <c r="E822" t="s">
        <v>1303</v>
      </c>
    </row>
    <row r="823" spans="1:5" x14ac:dyDescent="0.25">
      <c r="A823" s="2">
        <v>45223</v>
      </c>
      <c r="B823" s="1">
        <v>0.3125</v>
      </c>
      <c r="C823" t="s">
        <v>1619</v>
      </c>
      <c r="D823">
        <v>62</v>
      </c>
      <c r="E823" t="s">
        <v>1300</v>
      </c>
    </row>
    <row r="824" spans="1:5" x14ac:dyDescent="0.25">
      <c r="A824" s="2">
        <v>45223</v>
      </c>
      <c r="B824" s="1">
        <v>0.7104166666666667</v>
      </c>
      <c r="C824" t="s">
        <v>1339</v>
      </c>
      <c r="D824">
        <v>43</v>
      </c>
      <c r="E824" t="s">
        <v>1303</v>
      </c>
    </row>
    <row r="825" spans="1:5" x14ac:dyDescent="0.25">
      <c r="A825" s="2">
        <v>45223</v>
      </c>
      <c r="B825" s="1">
        <v>0.36527777777777776</v>
      </c>
      <c r="C825" t="s">
        <v>1556</v>
      </c>
      <c r="D825">
        <v>104</v>
      </c>
      <c r="E825" t="s">
        <v>1303</v>
      </c>
    </row>
    <row r="826" spans="1:5" x14ac:dyDescent="0.25">
      <c r="A826" s="2">
        <v>45223</v>
      </c>
      <c r="B826" s="1">
        <v>0.51388888888888884</v>
      </c>
      <c r="C826" t="s">
        <v>1457</v>
      </c>
      <c r="D826">
        <v>109</v>
      </c>
      <c r="E826" t="s">
        <v>1303</v>
      </c>
    </row>
    <row r="827" spans="1:5" x14ac:dyDescent="0.25">
      <c r="A827" s="2">
        <v>45223</v>
      </c>
      <c r="B827" s="1">
        <v>0.25208333333333333</v>
      </c>
      <c r="C827" t="s">
        <v>860</v>
      </c>
      <c r="D827">
        <v>12</v>
      </c>
      <c r="E827" t="s">
        <v>1303</v>
      </c>
    </row>
    <row r="828" spans="1:5" x14ac:dyDescent="0.25">
      <c r="A828" s="2">
        <v>45223</v>
      </c>
      <c r="B828" s="1">
        <v>0.56805555555555554</v>
      </c>
      <c r="C828" t="s">
        <v>1595</v>
      </c>
      <c r="D828">
        <v>21</v>
      </c>
      <c r="E828" t="s">
        <v>1300</v>
      </c>
    </row>
    <row r="829" spans="1:5" x14ac:dyDescent="0.25">
      <c r="A829" s="2">
        <v>45223</v>
      </c>
      <c r="B829" s="1">
        <v>0.45208333333333334</v>
      </c>
      <c r="C829" t="s">
        <v>1330</v>
      </c>
      <c r="D829">
        <v>117</v>
      </c>
      <c r="E829" t="s">
        <v>1305</v>
      </c>
    </row>
    <row r="830" spans="1:5" x14ac:dyDescent="0.25">
      <c r="A830" s="2">
        <v>45223</v>
      </c>
      <c r="B830" s="1">
        <v>0.18472222222222223</v>
      </c>
      <c r="C830" t="s">
        <v>1402</v>
      </c>
      <c r="D830">
        <v>42</v>
      </c>
      <c r="E830" t="s">
        <v>1303</v>
      </c>
    </row>
    <row r="831" spans="1:5" x14ac:dyDescent="0.25">
      <c r="A831" s="2">
        <v>45223</v>
      </c>
      <c r="B831" s="1">
        <v>0.10208333333333333</v>
      </c>
      <c r="C831" t="s">
        <v>1410</v>
      </c>
      <c r="D831">
        <v>104</v>
      </c>
      <c r="E831" t="s">
        <v>1303</v>
      </c>
    </row>
    <row r="832" spans="1:5" x14ac:dyDescent="0.25">
      <c r="A832" s="2">
        <v>45223</v>
      </c>
      <c r="B832" s="1">
        <v>0.54861111111111116</v>
      </c>
      <c r="C832" t="s">
        <v>1551</v>
      </c>
      <c r="D832">
        <v>19</v>
      </c>
      <c r="E832" t="s">
        <v>1303</v>
      </c>
    </row>
    <row r="833" spans="1:5" x14ac:dyDescent="0.25">
      <c r="A833" s="2">
        <v>45223</v>
      </c>
      <c r="B833" s="1">
        <v>0.43611111111111112</v>
      </c>
      <c r="C833" t="s">
        <v>1127</v>
      </c>
      <c r="D833">
        <v>26</v>
      </c>
      <c r="E833" t="s">
        <v>1300</v>
      </c>
    </row>
    <row r="834" spans="1:5" x14ac:dyDescent="0.25">
      <c r="A834" s="2">
        <v>45223</v>
      </c>
      <c r="B834" s="1">
        <v>3.0555555555555555E-2</v>
      </c>
      <c r="C834" t="s">
        <v>1578</v>
      </c>
      <c r="D834">
        <v>59</v>
      </c>
      <c r="E834" t="s">
        <v>1300</v>
      </c>
    </row>
    <row r="835" spans="1:5" x14ac:dyDescent="0.25">
      <c r="A835" s="2">
        <v>45223</v>
      </c>
      <c r="B835" s="1">
        <v>0.61111111111111116</v>
      </c>
      <c r="C835" t="s">
        <v>859</v>
      </c>
      <c r="D835">
        <v>88</v>
      </c>
      <c r="E835" t="s">
        <v>1300</v>
      </c>
    </row>
    <row r="836" spans="1:5" x14ac:dyDescent="0.25">
      <c r="A836" s="2">
        <v>45223</v>
      </c>
      <c r="B836" s="1">
        <v>0.45069444444444445</v>
      </c>
      <c r="C836" t="s">
        <v>1133</v>
      </c>
      <c r="D836">
        <v>14</v>
      </c>
      <c r="E836" t="s">
        <v>1305</v>
      </c>
    </row>
    <row r="837" spans="1:5" x14ac:dyDescent="0.25">
      <c r="A837" s="2">
        <v>45223</v>
      </c>
      <c r="B837" s="1">
        <v>0.6479166666666667</v>
      </c>
      <c r="C837" t="s">
        <v>1468</v>
      </c>
      <c r="D837">
        <v>14</v>
      </c>
      <c r="E837" t="s">
        <v>1305</v>
      </c>
    </row>
    <row r="838" spans="1:5" x14ac:dyDescent="0.25">
      <c r="A838" s="2">
        <v>45224</v>
      </c>
      <c r="B838" s="1">
        <v>0.6</v>
      </c>
      <c r="C838" t="s">
        <v>1637</v>
      </c>
      <c r="D838">
        <v>70</v>
      </c>
      <c r="E838" t="s">
        <v>1305</v>
      </c>
    </row>
    <row r="839" spans="1:5" x14ac:dyDescent="0.25">
      <c r="A839" s="2">
        <v>45224</v>
      </c>
      <c r="B839" s="1">
        <v>0.10486111111111111</v>
      </c>
      <c r="C839" t="s">
        <v>1017</v>
      </c>
      <c r="D839">
        <v>98</v>
      </c>
      <c r="E839" t="s">
        <v>1305</v>
      </c>
    </row>
    <row r="840" spans="1:5" x14ac:dyDescent="0.25">
      <c r="A840" s="2">
        <v>45224</v>
      </c>
      <c r="B840" s="1">
        <v>0.29722222222222222</v>
      </c>
      <c r="C840" t="s">
        <v>1570</v>
      </c>
      <c r="D840">
        <v>12</v>
      </c>
      <c r="E840" t="s">
        <v>1305</v>
      </c>
    </row>
    <row r="841" spans="1:5" x14ac:dyDescent="0.25">
      <c r="A841" s="2">
        <v>45224</v>
      </c>
      <c r="B841" s="1">
        <v>0.4826388888888889</v>
      </c>
      <c r="C841" t="s">
        <v>1201</v>
      </c>
      <c r="D841">
        <v>95</v>
      </c>
      <c r="E841" t="s">
        <v>1303</v>
      </c>
    </row>
    <row r="842" spans="1:5" x14ac:dyDescent="0.25">
      <c r="A842" s="2">
        <v>45224</v>
      </c>
      <c r="B842" s="1">
        <v>0.81805555555555554</v>
      </c>
      <c r="C842" t="s">
        <v>1406</v>
      </c>
      <c r="D842">
        <v>5</v>
      </c>
      <c r="E842" t="s">
        <v>1305</v>
      </c>
    </row>
    <row r="843" spans="1:5" x14ac:dyDescent="0.25">
      <c r="A843" s="2">
        <v>45224</v>
      </c>
      <c r="B843" s="1">
        <v>0.2298611111111111</v>
      </c>
      <c r="C843" t="s">
        <v>995</v>
      </c>
      <c r="D843">
        <v>20</v>
      </c>
      <c r="E843" t="s">
        <v>1300</v>
      </c>
    </row>
    <row r="844" spans="1:5" x14ac:dyDescent="0.25">
      <c r="A844" s="2">
        <v>45224</v>
      </c>
      <c r="B844" s="1">
        <v>0.31041666666666667</v>
      </c>
      <c r="C844" t="s">
        <v>1503</v>
      </c>
      <c r="D844">
        <v>98</v>
      </c>
      <c r="E844" t="s">
        <v>1303</v>
      </c>
    </row>
    <row r="845" spans="1:5" x14ac:dyDescent="0.25">
      <c r="A845" s="2">
        <v>45224</v>
      </c>
      <c r="B845" s="1">
        <v>0.96180555555555558</v>
      </c>
      <c r="C845" t="s">
        <v>1521</v>
      </c>
      <c r="D845">
        <v>83</v>
      </c>
      <c r="E845" t="s">
        <v>1305</v>
      </c>
    </row>
    <row r="846" spans="1:5" x14ac:dyDescent="0.25">
      <c r="A846" s="2">
        <v>45224</v>
      </c>
      <c r="B846" s="1">
        <v>0.34791666666666665</v>
      </c>
      <c r="C846" t="s">
        <v>1219</v>
      </c>
      <c r="D846">
        <v>14</v>
      </c>
      <c r="E846" t="s">
        <v>1300</v>
      </c>
    </row>
    <row r="847" spans="1:5" x14ac:dyDescent="0.25">
      <c r="A847" s="2">
        <v>45224</v>
      </c>
      <c r="B847" s="1">
        <v>0.11527777777777778</v>
      </c>
      <c r="C847" t="s">
        <v>1279</v>
      </c>
      <c r="D847">
        <v>45</v>
      </c>
      <c r="E847" t="s">
        <v>1303</v>
      </c>
    </row>
    <row r="848" spans="1:5" x14ac:dyDescent="0.25">
      <c r="A848" s="2">
        <v>45224</v>
      </c>
      <c r="B848" s="1">
        <v>0.70972222222222225</v>
      </c>
      <c r="C848" t="s">
        <v>1630</v>
      </c>
      <c r="D848">
        <v>62</v>
      </c>
      <c r="E848" t="s">
        <v>1303</v>
      </c>
    </row>
    <row r="849" spans="1:5" x14ac:dyDescent="0.25">
      <c r="A849" s="2">
        <v>45224</v>
      </c>
      <c r="B849" s="1">
        <v>0.55277777777777781</v>
      </c>
      <c r="C849" t="s">
        <v>959</v>
      </c>
      <c r="D849">
        <v>60</v>
      </c>
      <c r="E849" t="s">
        <v>1303</v>
      </c>
    </row>
    <row r="850" spans="1:5" x14ac:dyDescent="0.25">
      <c r="A850" s="2">
        <v>45224</v>
      </c>
      <c r="B850" s="1">
        <v>0.68333333333333335</v>
      </c>
      <c r="C850" t="s">
        <v>1381</v>
      </c>
      <c r="D850">
        <v>71</v>
      </c>
      <c r="E850" t="s">
        <v>1300</v>
      </c>
    </row>
    <row r="851" spans="1:5" x14ac:dyDescent="0.25">
      <c r="A851" s="2">
        <v>45224</v>
      </c>
      <c r="B851" s="1">
        <v>0.37847222222222221</v>
      </c>
      <c r="C851" t="s">
        <v>1302</v>
      </c>
      <c r="D851">
        <v>53</v>
      </c>
      <c r="E851" t="s">
        <v>1305</v>
      </c>
    </row>
    <row r="852" spans="1:5" x14ac:dyDescent="0.25">
      <c r="A852" s="2">
        <v>45224</v>
      </c>
      <c r="B852" s="1">
        <v>0.28819444444444442</v>
      </c>
      <c r="C852" t="s">
        <v>1456</v>
      </c>
      <c r="D852">
        <v>116</v>
      </c>
      <c r="E852" t="s">
        <v>1305</v>
      </c>
    </row>
    <row r="853" spans="1:5" x14ac:dyDescent="0.25">
      <c r="A853" s="2">
        <v>45224</v>
      </c>
      <c r="B853" s="1">
        <v>0.45694444444444443</v>
      </c>
      <c r="C853" t="s">
        <v>1316</v>
      </c>
      <c r="D853">
        <v>32</v>
      </c>
      <c r="E853" t="s">
        <v>1300</v>
      </c>
    </row>
    <row r="854" spans="1:5" x14ac:dyDescent="0.25">
      <c r="A854" s="2">
        <v>45224</v>
      </c>
      <c r="B854" s="1">
        <v>8.3333333333333329E-2</v>
      </c>
      <c r="C854" t="s">
        <v>1344</v>
      </c>
      <c r="D854">
        <v>31</v>
      </c>
      <c r="E854" t="s">
        <v>1300</v>
      </c>
    </row>
    <row r="855" spans="1:5" x14ac:dyDescent="0.25">
      <c r="A855" s="2">
        <v>45224</v>
      </c>
      <c r="B855" s="1">
        <v>0.83194444444444449</v>
      </c>
      <c r="C855" t="s">
        <v>1488</v>
      </c>
      <c r="D855">
        <v>100</v>
      </c>
      <c r="E855" t="s">
        <v>1300</v>
      </c>
    </row>
    <row r="856" spans="1:5" x14ac:dyDescent="0.25">
      <c r="A856" s="2">
        <v>45224</v>
      </c>
      <c r="B856" s="1">
        <v>0.88472222222222219</v>
      </c>
      <c r="C856" t="s">
        <v>1585</v>
      </c>
      <c r="D856">
        <v>119</v>
      </c>
      <c r="E856" t="s">
        <v>1303</v>
      </c>
    </row>
    <row r="857" spans="1:5" x14ac:dyDescent="0.25">
      <c r="A857" s="2">
        <v>45224</v>
      </c>
      <c r="B857" s="1">
        <v>0.98819444444444449</v>
      </c>
      <c r="C857" t="s">
        <v>1329</v>
      </c>
      <c r="D857">
        <v>39</v>
      </c>
      <c r="E857" t="s">
        <v>1300</v>
      </c>
    </row>
    <row r="858" spans="1:5" x14ac:dyDescent="0.25">
      <c r="A858" s="2">
        <v>45224</v>
      </c>
      <c r="B858" s="1">
        <v>0.19513888888888889</v>
      </c>
      <c r="C858" t="s">
        <v>1024</v>
      </c>
      <c r="D858">
        <v>81</v>
      </c>
      <c r="E858" t="s">
        <v>1303</v>
      </c>
    </row>
    <row r="859" spans="1:5" x14ac:dyDescent="0.25">
      <c r="A859" s="2">
        <v>45224</v>
      </c>
      <c r="B859" s="1">
        <v>1.0416666666666666E-2</v>
      </c>
      <c r="C859" t="s">
        <v>1235</v>
      </c>
      <c r="D859">
        <v>114</v>
      </c>
      <c r="E859" t="s">
        <v>1305</v>
      </c>
    </row>
    <row r="860" spans="1:5" x14ac:dyDescent="0.25">
      <c r="A860" s="2">
        <v>45224</v>
      </c>
      <c r="B860" s="1">
        <v>0.2013888888888889</v>
      </c>
      <c r="C860" t="s">
        <v>1214</v>
      </c>
      <c r="D860">
        <v>43</v>
      </c>
      <c r="E860" t="s">
        <v>1305</v>
      </c>
    </row>
    <row r="861" spans="1:5" x14ac:dyDescent="0.25">
      <c r="A861" s="2">
        <v>45224</v>
      </c>
      <c r="B861" s="1">
        <v>0.4284722222222222</v>
      </c>
      <c r="C861" t="s">
        <v>1153</v>
      </c>
      <c r="D861">
        <v>65</v>
      </c>
      <c r="E861" t="s">
        <v>1303</v>
      </c>
    </row>
    <row r="862" spans="1:5" x14ac:dyDescent="0.25">
      <c r="A862" s="2">
        <v>45224</v>
      </c>
      <c r="B862" s="1">
        <v>0.77500000000000002</v>
      </c>
      <c r="C862" t="s">
        <v>1262</v>
      </c>
      <c r="D862">
        <v>107</v>
      </c>
      <c r="E862" t="s">
        <v>1305</v>
      </c>
    </row>
    <row r="863" spans="1:5" x14ac:dyDescent="0.25">
      <c r="A863" s="2">
        <v>45224</v>
      </c>
      <c r="B863" s="1">
        <v>0.67152777777777772</v>
      </c>
      <c r="C863" t="s">
        <v>1370</v>
      </c>
      <c r="D863">
        <v>14</v>
      </c>
      <c r="E863" t="s">
        <v>1305</v>
      </c>
    </row>
    <row r="864" spans="1:5" x14ac:dyDescent="0.25">
      <c r="A864" s="2">
        <v>45224</v>
      </c>
      <c r="B864" s="1">
        <v>0.98402777777777772</v>
      </c>
      <c r="C864" t="s">
        <v>1635</v>
      </c>
      <c r="D864">
        <v>49</v>
      </c>
      <c r="E864" t="s">
        <v>1300</v>
      </c>
    </row>
    <row r="865" spans="1:5" x14ac:dyDescent="0.25">
      <c r="A865" s="2">
        <v>45224</v>
      </c>
      <c r="B865" s="1">
        <v>0.98333333333333328</v>
      </c>
      <c r="C865" t="s">
        <v>1284</v>
      </c>
      <c r="D865">
        <v>107</v>
      </c>
      <c r="E865" t="s">
        <v>1305</v>
      </c>
    </row>
    <row r="866" spans="1:5" x14ac:dyDescent="0.25">
      <c r="A866" s="2">
        <v>45224</v>
      </c>
      <c r="B866" s="1">
        <v>0.16458333333333333</v>
      </c>
      <c r="C866" t="s">
        <v>1559</v>
      </c>
      <c r="D866">
        <v>57</v>
      </c>
      <c r="E866" t="s">
        <v>1303</v>
      </c>
    </row>
    <row r="867" spans="1:5" x14ac:dyDescent="0.25">
      <c r="A867" s="2">
        <v>45224</v>
      </c>
      <c r="B867" s="1">
        <v>0.56805555555555554</v>
      </c>
      <c r="C867" t="s">
        <v>1051</v>
      </c>
      <c r="D867">
        <v>27</v>
      </c>
      <c r="E867" t="s">
        <v>1300</v>
      </c>
    </row>
    <row r="868" spans="1:5" x14ac:dyDescent="0.25">
      <c r="A868" s="2">
        <v>45224</v>
      </c>
      <c r="B868" s="1">
        <v>0.96388888888888891</v>
      </c>
      <c r="C868" t="s">
        <v>1516</v>
      </c>
      <c r="D868">
        <v>83</v>
      </c>
      <c r="E868" t="s">
        <v>1303</v>
      </c>
    </row>
    <row r="869" spans="1:5" x14ac:dyDescent="0.25">
      <c r="A869" s="2">
        <v>45225</v>
      </c>
      <c r="B869" s="1">
        <v>0.77638888888888891</v>
      </c>
      <c r="C869" t="s">
        <v>991</v>
      </c>
      <c r="D869">
        <v>71</v>
      </c>
      <c r="E869" t="s">
        <v>1300</v>
      </c>
    </row>
    <row r="870" spans="1:5" x14ac:dyDescent="0.25">
      <c r="A870" s="2">
        <v>45225</v>
      </c>
      <c r="B870" s="1">
        <v>0.96527777777777779</v>
      </c>
      <c r="C870" t="s">
        <v>903</v>
      </c>
      <c r="D870">
        <v>36</v>
      </c>
      <c r="E870" t="s">
        <v>1300</v>
      </c>
    </row>
    <row r="871" spans="1:5" x14ac:dyDescent="0.25">
      <c r="A871" s="2">
        <v>45225</v>
      </c>
      <c r="B871" s="1">
        <v>0.62291666666666667</v>
      </c>
      <c r="C871" t="s">
        <v>1032</v>
      </c>
      <c r="D871">
        <v>86</v>
      </c>
      <c r="E871" t="s">
        <v>1300</v>
      </c>
    </row>
    <row r="872" spans="1:5" x14ac:dyDescent="0.25">
      <c r="A872" s="2">
        <v>45225</v>
      </c>
      <c r="B872" s="1">
        <v>0.55347222222222225</v>
      </c>
      <c r="C872" t="s">
        <v>1557</v>
      </c>
      <c r="D872">
        <v>120</v>
      </c>
      <c r="E872" t="s">
        <v>1300</v>
      </c>
    </row>
    <row r="873" spans="1:5" x14ac:dyDescent="0.25">
      <c r="A873" s="2">
        <v>45225</v>
      </c>
      <c r="B873" s="1">
        <v>0.97916666666666663</v>
      </c>
      <c r="C873" t="s">
        <v>1269</v>
      </c>
      <c r="D873">
        <v>6</v>
      </c>
      <c r="E873" t="s">
        <v>1300</v>
      </c>
    </row>
    <row r="874" spans="1:5" x14ac:dyDescent="0.25">
      <c r="A874" s="2">
        <v>45225</v>
      </c>
      <c r="B874" s="1">
        <v>0.22083333333333333</v>
      </c>
      <c r="C874" t="s">
        <v>1212</v>
      </c>
      <c r="D874">
        <v>104</v>
      </c>
      <c r="E874" t="s">
        <v>1303</v>
      </c>
    </row>
    <row r="875" spans="1:5" x14ac:dyDescent="0.25">
      <c r="A875" s="2">
        <v>45225</v>
      </c>
      <c r="B875" s="1">
        <v>0.92152777777777772</v>
      </c>
      <c r="C875" t="s">
        <v>1503</v>
      </c>
      <c r="D875">
        <v>45</v>
      </c>
      <c r="E875" t="s">
        <v>1300</v>
      </c>
    </row>
    <row r="876" spans="1:5" x14ac:dyDescent="0.25">
      <c r="A876" s="2">
        <v>45225</v>
      </c>
      <c r="B876" s="1">
        <v>0.14722222222222223</v>
      </c>
      <c r="C876" t="s">
        <v>1075</v>
      </c>
      <c r="D876">
        <v>44</v>
      </c>
      <c r="E876" t="s">
        <v>1300</v>
      </c>
    </row>
    <row r="877" spans="1:5" x14ac:dyDescent="0.25">
      <c r="A877" s="2">
        <v>45225</v>
      </c>
      <c r="B877" s="1">
        <v>5.4166666666666669E-2</v>
      </c>
      <c r="C877" t="s">
        <v>917</v>
      </c>
      <c r="D877">
        <v>38</v>
      </c>
      <c r="E877" t="s">
        <v>1305</v>
      </c>
    </row>
    <row r="878" spans="1:5" x14ac:dyDescent="0.25">
      <c r="A878" s="2">
        <v>45225</v>
      </c>
      <c r="B878" s="1">
        <v>0.94930555555555551</v>
      </c>
      <c r="C878" t="s">
        <v>1564</v>
      </c>
      <c r="D878">
        <v>117</v>
      </c>
      <c r="E878" t="s">
        <v>1300</v>
      </c>
    </row>
    <row r="879" spans="1:5" x14ac:dyDescent="0.25">
      <c r="A879" s="2">
        <v>45225</v>
      </c>
      <c r="B879" s="1">
        <v>0.66041666666666665</v>
      </c>
      <c r="C879" t="s">
        <v>1327</v>
      </c>
      <c r="D879">
        <v>14</v>
      </c>
      <c r="E879" t="s">
        <v>1300</v>
      </c>
    </row>
    <row r="880" spans="1:5" x14ac:dyDescent="0.25">
      <c r="A880" s="2">
        <v>45225</v>
      </c>
      <c r="B880" s="1">
        <v>0.43263888888888891</v>
      </c>
      <c r="C880" t="s">
        <v>1378</v>
      </c>
      <c r="D880">
        <v>50</v>
      </c>
      <c r="E880" t="s">
        <v>1303</v>
      </c>
    </row>
    <row r="881" spans="1:5" x14ac:dyDescent="0.25">
      <c r="A881" s="2">
        <v>45225</v>
      </c>
      <c r="B881" s="1">
        <v>0.62361111111111112</v>
      </c>
      <c r="C881" t="s">
        <v>1103</v>
      </c>
      <c r="D881">
        <v>22</v>
      </c>
      <c r="E881" t="s">
        <v>1300</v>
      </c>
    </row>
    <row r="882" spans="1:5" x14ac:dyDescent="0.25">
      <c r="A882" s="2">
        <v>45225</v>
      </c>
      <c r="B882" s="1">
        <v>0.40694444444444444</v>
      </c>
      <c r="C882" t="s">
        <v>954</v>
      </c>
      <c r="D882">
        <v>74</v>
      </c>
      <c r="E882" t="s">
        <v>1300</v>
      </c>
    </row>
    <row r="883" spans="1:5" x14ac:dyDescent="0.25">
      <c r="A883" s="2">
        <v>45225</v>
      </c>
      <c r="B883" s="1">
        <v>0.17708333333333334</v>
      </c>
      <c r="C883" t="s">
        <v>1466</v>
      </c>
      <c r="D883">
        <v>36</v>
      </c>
      <c r="E883" t="s">
        <v>1305</v>
      </c>
    </row>
    <row r="884" spans="1:5" x14ac:dyDescent="0.25">
      <c r="A884" s="2">
        <v>45225</v>
      </c>
      <c r="B884" s="1">
        <v>0.62569444444444444</v>
      </c>
      <c r="C884" t="s">
        <v>1155</v>
      </c>
      <c r="D884">
        <v>108</v>
      </c>
      <c r="E884" t="s">
        <v>1305</v>
      </c>
    </row>
    <row r="885" spans="1:5" x14ac:dyDescent="0.25">
      <c r="A885" s="2">
        <v>45225</v>
      </c>
      <c r="B885" s="1">
        <v>0.8881944444444444</v>
      </c>
      <c r="C885" t="s">
        <v>910</v>
      </c>
      <c r="D885">
        <v>87</v>
      </c>
      <c r="E885" t="s">
        <v>1305</v>
      </c>
    </row>
    <row r="886" spans="1:5" x14ac:dyDescent="0.25">
      <c r="A886" s="2">
        <v>45225</v>
      </c>
      <c r="B886" s="1">
        <v>0.94861111111111107</v>
      </c>
      <c r="C886" t="s">
        <v>914</v>
      </c>
      <c r="D886">
        <v>30</v>
      </c>
      <c r="E886" t="s">
        <v>1300</v>
      </c>
    </row>
    <row r="887" spans="1:5" x14ac:dyDescent="0.25">
      <c r="A887" s="2">
        <v>45225</v>
      </c>
      <c r="B887" s="1">
        <v>0.3840277777777778</v>
      </c>
      <c r="C887" t="s">
        <v>1568</v>
      </c>
      <c r="D887">
        <v>42</v>
      </c>
      <c r="E887" t="s">
        <v>1300</v>
      </c>
    </row>
    <row r="888" spans="1:5" x14ac:dyDescent="0.25">
      <c r="A888" s="2">
        <v>45225</v>
      </c>
      <c r="B888" s="1">
        <v>0.78194444444444444</v>
      </c>
      <c r="C888" t="s">
        <v>1096</v>
      </c>
      <c r="D888">
        <v>113</v>
      </c>
      <c r="E888" t="s">
        <v>1303</v>
      </c>
    </row>
    <row r="889" spans="1:5" x14ac:dyDescent="0.25">
      <c r="A889" s="2">
        <v>45225</v>
      </c>
      <c r="B889" s="1">
        <v>0.31736111111111109</v>
      </c>
      <c r="C889" t="s">
        <v>1094</v>
      </c>
      <c r="D889">
        <v>56</v>
      </c>
      <c r="E889" t="s">
        <v>1303</v>
      </c>
    </row>
    <row r="890" spans="1:5" x14ac:dyDescent="0.25">
      <c r="A890" s="2">
        <v>45225</v>
      </c>
      <c r="B890" s="1">
        <v>0.21319444444444444</v>
      </c>
      <c r="C890" t="s">
        <v>1610</v>
      </c>
      <c r="D890">
        <v>35</v>
      </c>
      <c r="E890" t="s">
        <v>1305</v>
      </c>
    </row>
    <row r="891" spans="1:5" x14ac:dyDescent="0.25">
      <c r="A891" s="2">
        <v>45225</v>
      </c>
      <c r="B891" s="1">
        <v>0.2388888888888889</v>
      </c>
      <c r="C891" t="s">
        <v>1310</v>
      </c>
      <c r="D891">
        <v>16</v>
      </c>
      <c r="E891" t="s">
        <v>1303</v>
      </c>
    </row>
    <row r="892" spans="1:5" x14ac:dyDescent="0.25">
      <c r="A892" s="2">
        <v>45225</v>
      </c>
      <c r="B892" s="1">
        <v>0.71250000000000002</v>
      </c>
      <c r="C892" t="s">
        <v>1199</v>
      </c>
      <c r="D892">
        <v>25</v>
      </c>
      <c r="E892" t="s">
        <v>1300</v>
      </c>
    </row>
    <row r="893" spans="1:5" x14ac:dyDescent="0.25">
      <c r="A893" s="2">
        <v>45225</v>
      </c>
      <c r="B893" s="1">
        <v>6.1805555555555558E-2</v>
      </c>
      <c r="C893" t="s">
        <v>1502</v>
      </c>
      <c r="D893">
        <v>15</v>
      </c>
      <c r="E893" t="s">
        <v>1305</v>
      </c>
    </row>
    <row r="894" spans="1:5" x14ac:dyDescent="0.25">
      <c r="A894" s="2">
        <v>45225</v>
      </c>
      <c r="B894" s="1">
        <v>0.6479166666666667</v>
      </c>
      <c r="C894" t="s">
        <v>1484</v>
      </c>
      <c r="D894">
        <v>49</v>
      </c>
      <c r="E894" t="s">
        <v>1300</v>
      </c>
    </row>
    <row r="895" spans="1:5" x14ac:dyDescent="0.25">
      <c r="A895" s="2">
        <v>45225</v>
      </c>
      <c r="B895" s="1">
        <v>0.77986111111111112</v>
      </c>
      <c r="C895" t="s">
        <v>1613</v>
      </c>
      <c r="D895">
        <v>69</v>
      </c>
      <c r="E895" t="s">
        <v>1303</v>
      </c>
    </row>
    <row r="896" spans="1:5" x14ac:dyDescent="0.25">
      <c r="A896" s="2">
        <v>45225</v>
      </c>
      <c r="B896" s="1">
        <v>0.21111111111111111</v>
      </c>
      <c r="C896" t="s">
        <v>1596</v>
      </c>
      <c r="D896">
        <v>33</v>
      </c>
      <c r="E896" t="s">
        <v>1303</v>
      </c>
    </row>
    <row r="897" spans="1:5" x14ac:dyDescent="0.25">
      <c r="A897" s="2">
        <v>45225</v>
      </c>
      <c r="B897" s="1">
        <v>0.73750000000000004</v>
      </c>
      <c r="C897" t="s">
        <v>1336</v>
      </c>
      <c r="D897">
        <v>6</v>
      </c>
      <c r="E897" t="s">
        <v>1303</v>
      </c>
    </row>
    <row r="898" spans="1:5" x14ac:dyDescent="0.25">
      <c r="A898" s="2">
        <v>45225</v>
      </c>
      <c r="B898" s="1">
        <v>0.12916666666666668</v>
      </c>
      <c r="C898" t="s">
        <v>1347</v>
      </c>
      <c r="D898">
        <v>36</v>
      </c>
      <c r="E898" t="s">
        <v>1305</v>
      </c>
    </row>
    <row r="899" spans="1:5" x14ac:dyDescent="0.25">
      <c r="A899" s="2">
        <v>45225</v>
      </c>
      <c r="B899" s="1">
        <v>0.83958333333333335</v>
      </c>
      <c r="C899" t="s">
        <v>1521</v>
      </c>
      <c r="D899">
        <v>60</v>
      </c>
      <c r="E899" t="s">
        <v>1305</v>
      </c>
    </row>
    <row r="900" spans="1:5" x14ac:dyDescent="0.25">
      <c r="A900" s="2">
        <v>45225</v>
      </c>
      <c r="B900" s="1">
        <v>0.85902777777777772</v>
      </c>
      <c r="C900" t="s">
        <v>1387</v>
      </c>
      <c r="D900">
        <v>90</v>
      </c>
      <c r="E900" t="s">
        <v>1303</v>
      </c>
    </row>
    <row r="901" spans="1:5" x14ac:dyDescent="0.25">
      <c r="A901" s="2">
        <v>45225</v>
      </c>
      <c r="B901" s="1">
        <v>0.4152777777777778</v>
      </c>
      <c r="C901" t="s">
        <v>1539</v>
      </c>
      <c r="D901">
        <v>15</v>
      </c>
      <c r="E901" t="s">
        <v>1300</v>
      </c>
    </row>
    <row r="902" spans="1:5" x14ac:dyDescent="0.25">
      <c r="A902" s="2">
        <v>45225</v>
      </c>
      <c r="B902" s="1">
        <v>0.99652777777777779</v>
      </c>
      <c r="C902" t="s">
        <v>1396</v>
      </c>
      <c r="D902">
        <v>55</v>
      </c>
      <c r="E902" t="s">
        <v>1303</v>
      </c>
    </row>
    <row r="903" spans="1:5" x14ac:dyDescent="0.25">
      <c r="A903" s="2">
        <v>45225</v>
      </c>
      <c r="B903" s="1">
        <v>0.28888888888888886</v>
      </c>
      <c r="C903" t="s">
        <v>1052</v>
      </c>
      <c r="D903">
        <v>89</v>
      </c>
      <c r="E903" t="s">
        <v>1300</v>
      </c>
    </row>
    <row r="904" spans="1:5" x14ac:dyDescent="0.25">
      <c r="A904" s="2">
        <v>45225</v>
      </c>
      <c r="B904" s="1">
        <v>0.17152777777777778</v>
      </c>
      <c r="C904" t="s">
        <v>878</v>
      </c>
      <c r="D904">
        <v>104</v>
      </c>
      <c r="E904" t="s">
        <v>1303</v>
      </c>
    </row>
    <row r="905" spans="1:5" x14ac:dyDescent="0.25">
      <c r="A905" s="2">
        <v>45225</v>
      </c>
      <c r="B905" s="1">
        <v>0.21527777777777779</v>
      </c>
      <c r="C905" t="s">
        <v>839</v>
      </c>
      <c r="D905">
        <v>41</v>
      </c>
      <c r="E905" t="s">
        <v>1305</v>
      </c>
    </row>
    <row r="906" spans="1:5" x14ac:dyDescent="0.25">
      <c r="A906" s="2">
        <v>45225</v>
      </c>
      <c r="B906" s="1">
        <v>0.52777777777777779</v>
      </c>
      <c r="C906" t="s">
        <v>1535</v>
      </c>
      <c r="D906">
        <v>6</v>
      </c>
      <c r="E906" t="s">
        <v>1303</v>
      </c>
    </row>
    <row r="907" spans="1:5" x14ac:dyDescent="0.25">
      <c r="A907" s="2">
        <v>45225</v>
      </c>
      <c r="B907" s="1">
        <v>0.77847222222222223</v>
      </c>
      <c r="C907" t="s">
        <v>1443</v>
      </c>
      <c r="D907">
        <v>89</v>
      </c>
      <c r="E907" t="s">
        <v>1300</v>
      </c>
    </row>
    <row r="908" spans="1:5" x14ac:dyDescent="0.25">
      <c r="A908" s="2">
        <v>45225</v>
      </c>
      <c r="B908" s="1">
        <v>0.15972222222222221</v>
      </c>
      <c r="C908" t="s">
        <v>1373</v>
      </c>
      <c r="D908">
        <v>113</v>
      </c>
      <c r="E908" t="s">
        <v>1300</v>
      </c>
    </row>
    <row r="909" spans="1:5" x14ac:dyDescent="0.25">
      <c r="A909" s="2">
        <v>45225</v>
      </c>
      <c r="B909" s="1">
        <v>0.32291666666666669</v>
      </c>
      <c r="C909" t="s">
        <v>1519</v>
      </c>
      <c r="D909">
        <v>47</v>
      </c>
      <c r="E909" t="s">
        <v>1305</v>
      </c>
    </row>
    <row r="910" spans="1:5" x14ac:dyDescent="0.25">
      <c r="A910" s="2">
        <v>45225</v>
      </c>
      <c r="B910" s="1">
        <v>8.8888888888888892E-2</v>
      </c>
      <c r="C910" t="s">
        <v>1607</v>
      </c>
      <c r="D910">
        <v>51</v>
      </c>
      <c r="E910" t="s">
        <v>1300</v>
      </c>
    </row>
    <row r="911" spans="1:5" x14ac:dyDescent="0.25">
      <c r="A911" s="2">
        <v>45226</v>
      </c>
      <c r="B911" s="1">
        <v>0.62361111111111112</v>
      </c>
      <c r="C911" t="s">
        <v>1094</v>
      </c>
      <c r="D911">
        <v>98</v>
      </c>
      <c r="E911" t="s">
        <v>1305</v>
      </c>
    </row>
    <row r="912" spans="1:5" x14ac:dyDescent="0.25">
      <c r="A912" s="2">
        <v>45226</v>
      </c>
      <c r="B912" s="1">
        <v>0.97569444444444442</v>
      </c>
      <c r="C912" t="s">
        <v>1384</v>
      </c>
      <c r="D912">
        <v>89</v>
      </c>
      <c r="E912" t="s">
        <v>1305</v>
      </c>
    </row>
    <row r="913" spans="1:5" x14ac:dyDescent="0.25">
      <c r="A913" s="2">
        <v>45226</v>
      </c>
      <c r="B913" s="1">
        <v>7.2222222222222215E-2</v>
      </c>
      <c r="C913" t="s">
        <v>1629</v>
      </c>
      <c r="D913">
        <v>29</v>
      </c>
      <c r="E913" t="s">
        <v>1305</v>
      </c>
    </row>
    <row r="914" spans="1:5" x14ac:dyDescent="0.25">
      <c r="A914" s="2">
        <v>45226</v>
      </c>
      <c r="B914" s="1">
        <v>0.9555555555555556</v>
      </c>
      <c r="C914" t="s">
        <v>1634</v>
      </c>
      <c r="D914">
        <v>20</v>
      </c>
      <c r="E914" t="s">
        <v>1303</v>
      </c>
    </row>
    <row r="915" spans="1:5" x14ac:dyDescent="0.25">
      <c r="A915" s="2">
        <v>45226</v>
      </c>
      <c r="B915" s="1">
        <v>0.10069444444444445</v>
      </c>
      <c r="C915" t="s">
        <v>866</v>
      </c>
      <c r="D915">
        <v>110</v>
      </c>
      <c r="E915" t="s">
        <v>1303</v>
      </c>
    </row>
    <row r="916" spans="1:5" x14ac:dyDescent="0.25">
      <c r="A916" s="2">
        <v>45226</v>
      </c>
      <c r="B916" s="1">
        <v>0.63124999999999998</v>
      </c>
      <c r="C916" t="s">
        <v>1590</v>
      </c>
      <c r="D916">
        <v>112</v>
      </c>
      <c r="E916" t="s">
        <v>1303</v>
      </c>
    </row>
    <row r="917" spans="1:5" x14ac:dyDescent="0.25">
      <c r="A917" s="2">
        <v>45226</v>
      </c>
      <c r="B917" s="1">
        <v>0.11597222222222223</v>
      </c>
      <c r="C917" t="s">
        <v>1173</v>
      </c>
      <c r="D917">
        <v>5</v>
      </c>
      <c r="E917" t="s">
        <v>1305</v>
      </c>
    </row>
    <row r="918" spans="1:5" x14ac:dyDescent="0.25">
      <c r="A918" s="2">
        <v>45226</v>
      </c>
      <c r="B918" s="1">
        <v>3.472222222222222E-3</v>
      </c>
      <c r="C918" t="s">
        <v>1301</v>
      </c>
      <c r="D918">
        <v>111</v>
      </c>
      <c r="E918" t="s">
        <v>1300</v>
      </c>
    </row>
    <row r="919" spans="1:5" x14ac:dyDescent="0.25">
      <c r="A919" s="2">
        <v>45226</v>
      </c>
      <c r="B919" s="1">
        <v>0.84097222222222223</v>
      </c>
      <c r="C919" t="s">
        <v>868</v>
      </c>
      <c r="D919">
        <v>74</v>
      </c>
      <c r="E919" t="s">
        <v>1303</v>
      </c>
    </row>
    <row r="920" spans="1:5" x14ac:dyDescent="0.25">
      <c r="A920" s="2">
        <v>45226</v>
      </c>
      <c r="B920" s="1">
        <v>0.74791666666666667</v>
      </c>
      <c r="C920" t="s">
        <v>1499</v>
      </c>
      <c r="D920">
        <v>52</v>
      </c>
      <c r="E920" t="s">
        <v>1303</v>
      </c>
    </row>
    <row r="921" spans="1:5" x14ac:dyDescent="0.25">
      <c r="A921" s="2">
        <v>45226</v>
      </c>
      <c r="B921" s="1">
        <v>0.10416666666666667</v>
      </c>
      <c r="C921" t="s">
        <v>1208</v>
      </c>
      <c r="D921">
        <v>110</v>
      </c>
      <c r="E921" t="s">
        <v>1303</v>
      </c>
    </row>
    <row r="922" spans="1:5" x14ac:dyDescent="0.25">
      <c r="A922" s="2">
        <v>45226</v>
      </c>
      <c r="B922" s="1">
        <v>0.90625</v>
      </c>
      <c r="C922" t="s">
        <v>1451</v>
      </c>
      <c r="D922">
        <v>26</v>
      </c>
      <c r="E922" t="s">
        <v>1303</v>
      </c>
    </row>
    <row r="923" spans="1:5" x14ac:dyDescent="0.25">
      <c r="A923" s="2">
        <v>45226</v>
      </c>
      <c r="B923" s="1">
        <v>0.65694444444444444</v>
      </c>
      <c r="C923" t="s">
        <v>1421</v>
      </c>
      <c r="D923">
        <v>7</v>
      </c>
      <c r="E923" t="s">
        <v>1300</v>
      </c>
    </row>
    <row r="924" spans="1:5" x14ac:dyDescent="0.25">
      <c r="A924" s="2">
        <v>45226</v>
      </c>
      <c r="B924" s="1">
        <v>0.37777777777777777</v>
      </c>
      <c r="C924" t="s">
        <v>1005</v>
      </c>
      <c r="D924">
        <v>74</v>
      </c>
      <c r="E924" t="s">
        <v>1305</v>
      </c>
    </row>
    <row r="925" spans="1:5" x14ac:dyDescent="0.25">
      <c r="A925" s="2">
        <v>45226</v>
      </c>
      <c r="B925" s="1">
        <v>0.88541666666666663</v>
      </c>
      <c r="C925" t="s">
        <v>1486</v>
      </c>
      <c r="D925">
        <v>96</v>
      </c>
      <c r="E925" t="s">
        <v>1305</v>
      </c>
    </row>
    <row r="926" spans="1:5" x14ac:dyDescent="0.25">
      <c r="A926" s="2">
        <v>45226</v>
      </c>
      <c r="B926" s="1">
        <v>0.79027777777777775</v>
      </c>
      <c r="C926" t="s">
        <v>1141</v>
      </c>
      <c r="D926">
        <v>68</v>
      </c>
      <c r="E926" t="s">
        <v>1305</v>
      </c>
    </row>
    <row r="927" spans="1:5" x14ac:dyDescent="0.25">
      <c r="A927" s="2">
        <v>45226</v>
      </c>
      <c r="B927" s="1">
        <v>0.89513888888888893</v>
      </c>
      <c r="C927" t="s">
        <v>1457</v>
      </c>
      <c r="D927">
        <v>42</v>
      </c>
      <c r="E927" t="s">
        <v>1300</v>
      </c>
    </row>
    <row r="928" spans="1:5" x14ac:dyDescent="0.25">
      <c r="A928" s="2">
        <v>45226</v>
      </c>
      <c r="B928" s="1">
        <v>0.72916666666666663</v>
      </c>
      <c r="C928" t="s">
        <v>1459</v>
      </c>
      <c r="D928">
        <v>62</v>
      </c>
      <c r="E928" t="s">
        <v>1303</v>
      </c>
    </row>
    <row r="929" spans="1:5" x14ac:dyDescent="0.25">
      <c r="A929" s="2">
        <v>45226</v>
      </c>
      <c r="B929" s="1">
        <v>1.3194444444444444E-2</v>
      </c>
      <c r="C929" t="s">
        <v>1359</v>
      </c>
      <c r="D929">
        <v>107</v>
      </c>
      <c r="E929" t="s">
        <v>1303</v>
      </c>
    </row>
    <row r="930" spans="1:5" x14ac:dyDescent="0.25">
      <c r="A930" s="2">
        <v>45226</v>
      </c>
      <c r="B930" s="1">
        <v>0.20902777777777778</v>
      </c>
      <c r="C930" t="s">
        <v>975</v>
      </c>
      <c r="D930">
        <v>81</v>
      </c>
      <c r="E930" t="s">
        <v>1305</v>
      </c>
    </row>
    <row r="931" spans="1:5" x14ac:dyDescent="0.25">
      <c r="A931" s="2">
        <v>45226</v>
      </c>
      <c r="B931" s="1">
        <v>0.92013888888888884</v>
      </c>
      <c r="C931" t="s">
        <v>1324</v>
      </c>
      <c r="D931">
        <v>64</v>
      </c>
      <c r="E931" t="s">
        <v>1305</v>
      </c>
    </row>
    <row r="932" spans="1:5" x14ac:dyDescent="0.25">
      <c r="A932" s="2">
        <v>45226</v>
      </c>
      <c r="B932" s="1">
        <v>3.472222222222222E-3</v>
      </c>
      <c r="C932" t="s">
        <v>1480</v>
      </c>
      <c r="D932">
        <v>76</v>
      </c>
      <c r="E932" t="s">
        <v>1300</v>
      </c>
    </row>
    <row r="933" spans="1:5" x14ac:dyDescent="0.25">
      <c r="A933" s="2">
        <v>45226</v>
      </c>
      <c r="B933" s="1">
        <v>0.17083333333333334</v>
      </c>
      <c r="C933" t="s">
        <v>885</v>
      </c>
      <c r="D933">
        <v>54</v>
      </c>
      <c r="E933" t="s">
        <v>1300</v>
      </c>
    </row>
    <row r="934" spans="1:5" x14ac:dyDescent="0.25">
      <c r="A934" s="2">
        <v>45226</v>
      </c>
      <c r="B934" s="1">
        <v>0.22500000000000001</v>
      </c>
      <c r="C934" t="s">
        <v>1254</v>
      </c>
      <c r="D934">
        <v>11</v>
      </c>
      <c r="E934" t="s">
        <v>1303</v>
      </c>
    </row>
    <row r="935" spans="1:5" x14ac:dyDescent="0.25">
      <c r="A935" s="2">
        <v>45226</v>
      </c>
      <c r="B935" s="1">
        <v>0.16319444444444445</v>
      </c>
      <c r="C935" t="s">
        <v>1550</v>
      </c>
      <c r="D935">
        <v>36</v>
      </c>
      <c r="E935" t="s">
        <v>1303</v>
      </c>
    </row>
    <row r="936" spans="1:5" x14ac:dyDescent="0.25">
      <c r="A936" s="2">
        <v>45226</v>
      </c>
      <c r="B936" s="1">
        <v>0.53055555555555556</v>
      </c>
      <c r="C936" t="s">
        <v>1142</v>
      </c>
      <c r="D936">
        <v>101</v>
      </c>
      <c r="E936" t="s">
        <v>1305</v>
      </c>
    </row>
    <row r="937" spans="1:5" x14ac:dyDescent="0.25">
      <c r="A937" s="2">
        <v>45226</v>
      </c>
      <c r="B937" s="1">
        <v>0.57430555555555551</v>
      </c>
      <c r="C937" t="s">
        <v>1417</v>
      </c>
      <c r="D937">
        <v>81</v>
      </c>
      <c r="E937" t="s">
        <v>1303</v>
      </c>
    </row>
    <row r="938" spans="1:5" x14ac:dyDescent="0.25">
      <c r="A938" s="2">
        <v>45226</v>
      </c>
      <c r="B938" s="1">
        <v>0.96944444444444444</v>
      </c>
      <c r="C938" t="s">
        <v>1045</v>
      </c>
      <c r="D938">
        <v>68</v>
      </c>
      <c r="E938" t="s">
        <v>1300</v>
      </c>
    </row>
    <row r="939" spans="1:5" x14ac:dyDescent="0.25">
      <c r="A939" s="2">
        <v>45226</v>
      </c>
      <c r="B939" s="1">
        <v>0.3215277777777778</v>
      </c>
      <c r="C939" t="s">
        <v>1277</v>
      </c>
      <c r="D939">
        <v>22</v>
      </c>
      <c r="E939" t="s">
        <v>1305</v>
      </c>
    </row>
    <row r="940" spans="1:5" x14ac:dyDescent="0.25">
      <c r="A940" s="2">
        <v>45226</v>
      </c>
      <c r="B940" s="1">
        <v>0.84375</v>
      </c>
      <c r="C940" t="s">
        <v>1372</v>
      </c>
      <c r="D940">
        <v>48</v>
      </c>
      <c r="E940" t="s">
        <v>1300</v>
      </c>
    </row>
    <row r="941" spans="1:5" x14ac:dyDescent="0.25">
      <c r="A941" s="2">
        <v>45226</v>
      </c>
      <c r="B941" s="1">
        <v>0.98819444444444449</v>
      </c>
      <c r="C941" t="s">
        <v>1452</v>
      </c>
      <c r="D941">
        <v>83</v>
      </c>
      <c r="E941" t="s">
        <v>1303</v>
      </c>
    </row>
    <row r="942" spans="1:5" x14ac:dyDescent="0.25">
      <c r="A942" s="2">
        <v>45226</v>
      </c>
      <c r="B942" s="1">
        <v>0.74791666666666667</v>
      </c>
      <c r="C942" t="s">
        <v>1040</v>
      </c>
      <c r="D942">
        <v>68</v>
      </c>
      <c r="E942" t="s">
        <v>1303</v>
      </c>
    </row>
    <row r="943" spans="1:5" x14ac:dyDescent="0.25">
      <c r="A943" s="2">
        <v>45226</v>
      </c>
      <c r="B943" s="1">
        <v>0.38819444444444445</v>
      </c>
      <c r="C943" t="s">
        <v>1593</v>
      </c>
      <c r="D943">
        <v>115</v>
      </c>
      <c r="E943" t="s">
        <v>1305</v>
      </c>
    </row>
    <row r="944" spans="1:5" x14ac:dyDescent="0.25">
      <c r="A944" s="2">
        <v>45226</v>
      </c>
      <c r="B944" s="1">
        <v>0.65972222222222221</v>
      </c>
      <c r="C944" t="s">
        <v>1063</v>
      </c>
      <c r="D944">
        <v>65</v>
      </c>
      <c r="E944" t="s">
        <v>1303</v>
      </c>
    </row>
    <row r="945" spans="1:5" x14ac:dyDescent="0.25">
      <c r="A945" s="2">
        <v>45226</v>
      </c>
      <c r="B945" s="1">
        <v>0.96458333333333335</v>
      </c>
      <c r="C945" t="s">
        <v>870</v>
      </c>
      <c r="D945">
        <v>27</v>
      </c>
      <c r="E945" t="s">
        <v>1303</v>
      </c>
    </row>
    <row r="946" spans="1:5" x14ac:dyDescent="0.25">
      <c r="A946" s="2">
        <v>45226</v>
      </c>
      <c r="B946" s="1">
        <v>0.58680555555555558</v>
      </c>
      <c r="C946" t="s">
        <v>904</v>
      </c>
      <c r="D946">
        <v>33</v>
      </c>
      <c r="E946" t="s">
        <v>1305</v>
      </c>
    </row>
    <row r="947" spans="1:5" x14ac:dyDescent="0.25">
      <c r="A947" s="2">
        <v>45226</v>
      </c>
      <c r="B947" s="1">
        <v>0.31319444444444444</v>
      </c>
      <c r="C947" t="s">
        <v>862</v>
      </c>
      <c r="D947">
        <v>66</v>
      </c>
      <c r="E947" t="s">
        <v>1305</v>
      </c>
    </row>
    <row r="948" spans="1:5" x14ac:dyDescent="0.25">
      <c r="A948" s="2">
        <v>45226</v>
      </c>
      <c r="B948" s="1">
        <v>0.99791666666666667</v>
      </c>
      <c r="C948" t="s">
        <v>1090</v>
      </c>
      <c r="D948">
        <v>53</v>
      </c>
      <c r="E948" t="s">
        <v>1305</v>
      </c>
    </row>
    <row r="949" spans="1:5" x14ac:dyDescent="0.25">
      <c r="A949" s="2">
        <v>45226</v>
      </c>
      <c r="B949" s="1">
        <v>7.7083333333333337E-2</v>
      </c>
      <c r="C949" t="s">
        <v>1034</v>
      </c>
      <c r="D949">
        <v>101</v>
      </c>
      <c r="E949" t="s">
        <v>1300</v>
      </c>
    </row>
    <row r="950" spans="1:5" x14ac:dyDescent="0.25">
      <c r="A950" s="2">
        <v>45227</v>
      </c>
      <c r="B950" s="1">
        <v>3.3333333333333333E-2</v>
      </c>
      <c r="C950" t="s">
        <v>939</v>
      </c>
      <c r="D950">
        <v>68</v>
      </c>
      <c r="E950" t="s">
        <v>1305</v>
      </c>
    </row>
    <row r="951" spans="1:5" x14ac:dyDescent="0.25">
      <c r="A951" s="2">
        <v>45227</v>
      </c>
      <c r="B951" s="1">
        <v>0.30625000000000002</v>
      </c>
      <c r="C951" t="s">
        <v>1318</v>
      </c>
      <c r="D951">
        <v>71</v>
      </c>
      <c r="E951" t="s">
        <v>1303</v>
      </c>
    </row>
    <row r="952" spans="1:5" x14ac:dyDescent="0.25">
      <c r="A952" s="2">
        <v>45227</v>
      </c>
      <c r="B952" s="1">
        <v>0.30902777777777779</v>
      </c>
      <c r="C952" t="s">
        <v>1012</v>
      </c>
      <c r="D952">
        <v>118</v>
      </c>
      <c r="E952" t="s">
        <v>1305</v>
      </c>
    </row>
    <row r="953" spans="1:5" x14ac:dyDescent="0.25">
      <c r="A953" s="2">
        <v>45227</v>
      </c>
      <c r="B953" s="1">
        <v>0.77847222222222223</v>
      </c>
      <c r="C953" t="s">
        <v>1103</v>
      </c>
      <c r="D953">
        <v>67</v>
      </c>
      <c r="E953" t="s">
        <v>1305</v>
      </c>
    </row>
    <row r="954" spans="1:5" x14ac:dyDescent="0.25">
      <c r="A954" s="2">
        <v>45227</v>
      </c>
      <c r="B954" s="1">
        <v>5.5555555555555558E-3</v>
      </c>
      <c r="C954" t="s">
        <v>1428</v>
      </c>
      <c r="D954">
        <v>66</v>
      </c>
      <c r="E954" t="s">
        <v>1305</v>
      </c>
    </row>
    <row r="955" spans="1:5" x14ac:dyDescent="0.25">
      <c r="A955" s="2">
        <v>45227</v>
      </c>
      <c r="B955" s="1">
        <v>1.0416666666666666E-2</v>
      </c>
      <c r="C955" t="s">
        <v>1562</v>
      </c>
      <c r="D955">
        <v>49</v>
      </c>
      <c r="E955" t="s">
        <v>1305</v>
      </c>
    </row>
    <row r="956" spans="1:5" x14ac:dyDescent="0.25">
      <c r="A956" s="2">
        <v>45227</v>
      </c>
      <c r="B956" s="1">
        <v>0.21111111111111111</v>
      </c>
      <c r="C956" t="s">
        <v>1341</v>
      </c>
      <c r="D956">
        <v>38</v>
      </c>
      <c r="E956" t="s">
        <v>1300</v>
      </c>
    </row>
    <row r="957" spans="1:5" x14ac:dyDescent="0.25">
      <c r="A957" s="2">
        <v>45227</v>
      </c>
      <c r="B957" s="1">
        <v>0.32430555555555557</v>
      </c>
      <c r="C957" t="s">
        <v>1513</v>
      </c>
      <c r="D957">
        <v>52</v>
      </c>
      <c r="E957" t="s">
        <v>1300</v>
      </c>
    </row>
    <row r="958" spans="1:5" x14ac:dyDescent="0.25">
      <c r="A958" s="2">
        <v>45227</v>
      </c>
      <c r="B958" s="1">
        <v>0.42152777777777778</v>
      </c>
      <c r="C958" t="s">
        <v>1555</v>
      </c>
      <c r="D958">
        <v>25</v>
      </c>
      <c r="E958" t="s">
        <v>1303</v>
      </c>
    </row>
    <row r="959" spans="1:5" x14ac:dyDescent="0.25">
      <c r="A959" s="2">
        <v>45227</v>
      </c>
      <c r="B959" s="1">
        <v>0.19583333333333333</v>
      </c>
      <c r="C959" t="s">
        <v>1203</v>
      </c>
      <c r="D959">
        <v>113</v>
      </c>
      <c r="E959" t="s">
        <v>1303</v>
      </c>
    </row>
    <row r="960" spans="1:5" x14ac:dyDescent="0.25">
      <c r="A960" s="2">
        <v>45227</v>
      </c>
      <c r="B960" s="1">
        <v>0.57777777777777772</v>
      </c>
      <c r="C960" t="s">
        <v>1070</v>
      </c>
      <c r="D960">
        <v>50</v>
      </c>
      <c r="E960" t="s">
        <v>1305</v>
      </c>
    </row>
    <row r="961" spans="1:5" x14ac:dyDescent="0.25">
      <c r="A961" s="2">
        <v>45227</v>
      </c>
      <c r="B961" s="1">
        <v>0.7055555555555556</v>
      </c>
      <c r="C961" t="s">
        <v>1427</v>
      </c>
      <c r="D961">
        <v>108</v>
      </c>
      <c r="E961" t="s">
        <v>1303</v>
      </c>
    </row>
    <row r="962" spans="1:5" x14ac:dyDescent="0.25">
      <c r="A962" s="2">
        <v>45227</v>
      </c>
      <c r="B962" s="1">
        <v>0.72430555555555554</v>
      </c>
      <c r="C962" t="s">
        <v>1427</v>
      </c>
      <c r="D962">
        <v>20</v>
      </c>
      <c r="E962" t="s">
        <v>1300</v>
      </c>
    </row>
    <row r="963" spans="1:5" x14ac:dyDescent="0.25">
      <c r="A963" s="2">
        <v>45227</v>
      </c>
      <c r="B963" s="1">
        <v>0.48333333333333334</v>
      </c>
      <c r="C963" t="s">
        <v>1309</v>
      </c>
      <c r="D963">
        <v>81</v>
      </c>
      <c r="E963" t="s">
        <v>1303</v>
      </c>
    </row>
    <row r="964" spans="1:5" x14ac:dyDescent="0.25">
      <c r="A964" s="2">
        <v>45227</v>
      </c>
      <c r="B964" s="1">
        <v>0.75138888888888888</v>
      </c>
      <c r="C964" t="s">
        <v>1067</v>
      </c>
      <c r="D964">
        <v>42</v>
      </c>
      <c r="E964" t="s">
        <v>1300</v>
      </c>
    </row>
    <row r="965" spans="1:5" x14ac:dyDescent="0.25">
      <c r="A965" s="2">
        <v>45227</v>
      </c>
      <c r="B965" s="1">
        <v>0.39305555555555555</v>
      </c>
      <c r="C965" t="s">
        <v>1435</v>
      </c>
      <c r="D965">
        <v>67</v>
      </c>
      <c r="E965" t="s">
        <v>1300</v>
      </c>
    </row>
    <row r="966" spans="1:5" x14ac:dyDescent="0.25">
      <c r="A966" s="2">
        <v>45227</v>
      </c>
      <c r="B966" s="1">
        <v>0.3298611111111111</v>
      </c>
      <c r="C966" t="s">
        <v>1317</v>
      </c>
      <c r="D966">
        <v>81</v>
      </c>
      <c r="E966" t="s">
        <v>1303</v>
      </c>
    </row>
    <row r="967" spans="1:5" x14ac:dyDescent="0.25">
      <c r="A967" s="2">
        <v>45227</v>
      </c>
      <c r="B967" s="1">
        <v>0.83958333333333335</v>
      </c>
      <c r="C967" t="s">
        <v>1403</v>
      </c>
      <c r="D967">
        <v>94</v>
      </c>
      <c r="E967" t="s">
        <v>1305</v>
      </c>
    </row>
    <row r="968" spans="1:5" x14ac:dyDescent="0.25">
      <c r="A968" s="2">
        <v>45227</v>
      </c>
      <c r="B968" s="1">
        <v>0.92291666666666672</v>
      </c>
      <c r="C968" t="s">
        <v>1277</v>
      </c>
      <c r="D968">
        <v>26</v>
      </c>
      <c r="E968" t="s">
        <v>1305</v>
      </c>
    </row>
    <row r="969" spans="1:5" x14ac:dyDescent="0.25">
      <c r="A969" s="2">
        <v>45227</v>
      </c>
      <c r="B969" s="1">
        <v>0.66041666666666665</v>
      </c>
      <c r="C969" t="s">
        <v>892</v>
      </c>
      <c r="D969">
        <v>67</v>
      </c>
      <c r="E969" t="s">
        <v>1305</v>
      </c>
    </row>
    <row r="970" spans="1:5" x14ac:dyDescent="0.25">
      <c r="A970" s="2">
        <v>45227</v>
      </c>
      <c r="B970" s="1">
        <v>0.91527777777777775</v>
      </c>
      <c r="C970" t="s">
        <v>1071</v>
      </c>
      <c r="D970">
        <v>26</v>
      </c>
      <c r="E970" t="s">
        <v>1303</v>
      </c>
    </row>
    <row r="971" spans="1:5" x14ac:dyDescent="0.25">
      <c r="A971" s="2">
        <v>45227</v>
      </c>
      <c r="B971" s="1">
        <v>0.48472222222222222</v>
      </c>
      <c r="C971" t="s">
        <v>1313</v>
      </c>
      <c r="D971">
        <v>24</v>
      </c>
      <c r="E971" t="s">
        <v>1303</v>
      </c>
    </row>
    <row r="972" spans="1:5" x14ac:dyDescent="0.25">
      <c r="A972" s="2">
        <v>45227</v>
      </c>
      <c r="B972" s="1">
        <v>0.76875000000000004</v>
      </c>
      <c r="C972" t="s">
        <v>1383</v>
      </c>
      <c r="D972">
        <v>61</v>
      </c>
      <c r="E972" t="s">
        <v>1303</v>
      </c>
    </row>
    <row r="973" spans="1:5" x14ac:dyDescent="0.25">
      <c r="A973" s="2">
        <v>45227</v>
      </c>
      <c r="B973" s="1">
        <v>0.16319444444444445</v>
      </c>
      <c r="C973" t="s">
        <v>1401</v>
      </c>
      <c r="D973">
        <v>78</v>
      </c>
      <c r="E973" t="s">
        <v>1303</v>
      </c>
    </row>
    <row r="974" spans="1:5" x14ac:dyDescent="0.25">
      <c r="A974" s="2">
        <v>45227</v>
      </c>
      <c r="B974" s="1">
        <v>0.8979166666666667</v>
      </c>
      <c r="C974" t="s">
        <v>1002</v>
      </c>
      <c r="D974">
        <v>61</v>
      </c>
      <c r="E974" t="s">
        <v>1300</v>
      </c>
    </row>
    <row r="975" spans="1:5" x14ac:dyDescent="0.25">
      <c r="A975" s="2">
        <v>45227</v>
      </c>
      <c r="B975" s="1">
        <v>0.11805555555555555</v>
      </c>
      <c r="C975" t="s">
        <v>1541</v>
      </c>
      <c r="D975">
        <v>61</v>
      </c>
      <c r="E975" t="s">
        <v>1303</v>
      </c>
    </row>
    <row r="976" spans="1:5" x14ac:dyDescent="0.25">
      <c r="A976" s="2">
        <v>45227</v>
      </c>
      <c r="B976" s="1">
        <v>0.46250000000000002</v>
      </c>
      <c r="C976" t="s">
        <v>1343</v>
      </c>
      <c r="D976">
        <v>70</v>
      </c>
      <c r="E976" t="s">
        <v>1305</v>
      </c>
    </row>
    <row r="977" spans="1:5" x14ac:dyDescent="0.25">
      <c r="A977" s="2">
        <v>45227</v>
      </c>
      <c r="B977" s="1">
        <v>9.166666666666666E-2</v>
      </c>
      <c r="C977" t="s">
        <v>869</v>
      </c>
      <c r="D977">
        <v>112</v>
      </c>
      <c r="E977" t="s">
        <v>1300</v>
      </c>
    </row>
    <row r="978" spans="1:5" x14ac:dyDescent="0.25">
      <c r="A978" s="2">
        <v>45227</v>
      </c>
      <c r="B978" s="1">
        <v>0.14444444444444443</v>
      </c>
      <c r="C978" t="s">
        <v>1162</v>
      </c>
      <c r="D978">
        <v>11</v>
      </c>
      <c r="E978" t="s">
        <v>1303</v>
      </c>
    </row>
    <row r="979" spans="1:5" x14ac:dyDescent="0.25">
      <c r="A979" s="2">
        <v>45227</v>
      </c>
      <c r="B979" s="1">
        <v>0.29722222222222222</v>
      </c>
      <c r="C979" t="s">
        <v>968</v>
      </c>
      <c r="D979">
        <v>92</v>
      </c>
      <c r="E979" t="s">
        <v>1305</v>
      </c>
    </row>
    <row r="980" spans="1:5" x14ac:dyDescent="0.25">
      <c r="A980" s="2">
        <v>45227</v>
      </c>
      <c r="B980" s="3">
        <v>0.13541666666666666</v>
      </c>
      <c r="C980" t="s">
        <v>1331</v>
      </c>
      <c r="D980">
        <v>13</v>
      </c>
      <c r="E980" t="s">
        <v>1303</v>
      </c>
    </row>
    <row r="981" spans="1:5" x14ac:dyDescent="0.25">
      <c r="A981" s="2">
        <v>45227</v>
      </c>
      <c r="B981" s="3">
        <v>0.58750000000000002</v>
      </c>
      <c r="C981" t="s">
        <v>1157</v>
      </c>
      <c r="D981">
        <v>50</v>
      </c>
      <c r="E981" t="s">
        <v>1303</v>
      </c>
    </row>
    <row r="982" spans="1:5" x14ac:dyDescent="0.25">
      <c r="A982" s="2">
        <v>45227</v>
      </c>
      <c r="B982" s="1">
        <v>0.52708333333333335</v>
      </c>
      <c r="C982" t="s">
        <v>850</v>
      </c>
      <c r="D982">
        <v>107</v>
      </c>
      <c r="E982" t="s">
        <v>1303</v>
      </c>
    </row>
    <row r="983" spans="1:5" x14ac:dyDescent="0.25">
      <c r="A983" s="2">
        <v>45227</v>
      </c>
      <c r="B983" s="1">
        <v>0.77569444444444446</v>
      </c>
      <c r="C983" t="s">
        <v>1354</v>
      </c>
      <c r="D983">
        <v>45</v>
      </c>
      <c r="E983" t="s">
        <v>1305</v>
      </c>
    </row>
    <row r="984" spans="1:5" x14ac:dyDescent="0.25">
      <c r="A984" s="2">
        <v>45227</v>
      </c>
      <c r="B984" s="1">
        <v>0.44791666666666669</v>
      </c>
      <c r="C984" t="s">
        <v>1097</v>
      </c>
      <c r="D984">
        <v>84</v>
      </c>
      <c r="E984" t="s">
        <v>1303</v>
      </c>
    </row>
    <row r="985" spans="1:5" x14ac:dyDescent="0.25">
      <c r="A985" s="2">
        <v>45228</v>
      </c>
      <c r="B985" s="1">
        <v>0.34097222222222223</v>
      </c>
      <c r="C985" t="s">
        <v>1346</v>
      </c>
      <c r="D985">
        <v>118</v>
      </c>
      <c r="E985" t="s">
        <v>1305</v>
      </c>
    </row>
    <row r="986" spans="1:5" x14ac:dyDescent="0.25">
      <c r="A986" s="2">
        <v>45228</v>
      </c>
      <c r="B986" s="1">
        <v>0.72083333333333333</v>
      </c>
      <c r="C986" t="s">
        <v>1542</v>
      </c>
      <c r="D986">
        <v>101</v>
      </c>
      <c r="E986" t="s">
        <v>1303</v>
      </c>
    </row>
    <row r="987" spans="1:5" x14ac:dyDescent="0.25">
      <c r="A987" s="2">
        <v>45228</v>
      </c>
      <c r="B987" s="1">
        <v>0.5180555555555556</v>
      </c>
      <c r="C987" t="s">
        <v>1591</v>
      </c>
      <c r="D987">
        <v>92</v>
      </c>
      <c r="E987" t="s">
        <v>1305</v>
      </c>
    </row>
    <row r="988" spans="1:5" x14ac:dyDescent="0.25">
      <c r="A988" s="2">
        <v>45228</v>
      </c>
      <c r="B988" s="1">
        <v>0.10069444444444445</v>
      </c>
      <c r="C988" t="s">
        <v>1423</v>
      </c>
      <c r="D988">
        <v>23</v>
      </c>
      <c r="E988" t="s">
        <v>1305</v>
      </c>
    </row>
    <row r="989" spans="1:5" x14ac:dyDescent="0.25">
      <c r="A989" s="2">
        <v>45228</v>
      </c>
      <c r="B989" s="1">
        <v>0.7583333333333333</v>
      </c>
      <c r="C989" t="s">
        <v>1350</v>
      </c>
      <c r="D989">
        <v>54</v>
      </c>
      <c r="E989" t="s">
        <v>1300</v>
      </c>
    </row>
    <row r="990" spans="1:5" x14ac:dyDescent="0.25">
      <c r="A990" s="2">
        <v>45228</v>
      </c>
      <c r="B990" s="1">
        <v>0.26944444444444443</v>
      </c>
      <c r="C990" t="s">
        <v>1344</v>
      </c>
      <c r="D990">
        <v>109</v>
      </c>
      <c r="E990" t="s">
        <v>1303</v>
      </c>
    </row>
    <row r="991" spans="1:5" x14ac:dyDescent="0.25">
      <c r="A991" s="2">
        <v>45228</v>
      </c>
      <c r="B991" s="1">
        <v>0.65138888888888891</v>
      </c>
      <c r="C991" t="s">
        <v>813</v>
      </c>
      <c r="D991">
        <v>119</v>
      </c>
      <c r="E991" t="s">
        <v>1300</v>
      </c>
    </row>
    <row r="992" spans="1:5" x14ac:dyDescent="0.25">
      <c r="A992" s="2">
        <v>45228</v>
      </c>
      <c r="B992" s="1">
        <v>0.15902777777777777</v>
      </c>
      <c r="C992" t="s">
        <v>883</v>
      </c>
      <c r="D992">
        <v>30</v>
      </c>
      <c r="E992" t="s">
        <v>1300</v>
      </c>
    </row>
    <row r="993" spans="1:5" x14ac:dyDescent="0.25">
      <c r="A993" s="2">
        <v>45228</v>
      </c>
      <c r="B993" s="1">
        <v>0.67222222222222228</v>
      </c>
      <c r="C993" t="s">
        <v>1200</v>
      </c>
      <c r="D993">
        <v>106</v>
      </c>
      <c r="E993" t="s">
        <v>1300</v>
      </c>
    </row>
    <row r="994" spans="1:5" x14ac:dyDescent="0.25">
      <c r="A994" s="2">
        <v>45228</v>
      </c>
      <c r="B994" s="1">
        <v>0.84027777777777779</v>
      </c>
      <c r="C994" t="s">
        <v>1322</v>
      </c>
      <c r="D994">
        <v>101</v>
      </c>
      <c r="E994" t="s">
        <v>1300</v>
      </c>
    </row>
    <row r="995" spans="1:5" x14ac:dyDescent="0.25">
      <c r="A995" s="2">
        <v>45228</v>
      </c>
      <c r="B995" s="1">
        <v>0.74791666666666667</v>
      </c>
      <c r="C995" t="s">
        <v>859</v>
      </c>
      <c r="D995">
        <v>27</v>
      </c>
      <c r="E995" t="s">
        <v>1300</v>
      </c>
    </row>
    <row r="996" spans="1:5" x14ac:dyDescent="0.25">
      <c r="A996" s="2">
        <v>45228</v>
      </c>
      <c r="B996" s="1">
        <v>0.56319444444444444</v>
      </c>
      <c r="C996" t="s">
        <v>1279</v>
      </c>
      <c r="D996">
        <v>44</v>
      </c>
      <c r="E996" t="s">
        <v>1300</v>
      </c>
    </row>
    <row r="997" spans="1:5" x14ac:dyDescent="0.25">
      <c r="A997" s="2">
        <v>45228</v>
      </c>
      <c r="B997" s="1">
        <v>0.79166666666666663</v>
      </c>
      <c r="C997" t="s">
        <v>1019</v>
      </c>
      <c r="D997">
        <v>63</v>
      </c>
      <c r="E997" t="s">
        <v>1300</v>
      </c>
    </row>
    <row r="998" spans="1:5" x14ac:dyDescent="0.25">
      <c r="A998" s="2">
        <v>45228</v>
      </c>
      <c r="B998" s="1">
        <v>1.3888888888888889E-3</v>
      </c>
      <c r="C998" t="s">
        <v>1026</v>
      </c>
      <c r="D998">
        <v>100</v>
      </c>
      <c r="E998" t="s">
        <v>1303</v>
      </c>
    </row>
    <row r="999" spans="1:5" x14ac:dyDescent="0.25">
      <c r="A999" s="2">
        <v>45228</v>
      </c>
      <c r="B999" s="1">
        <v>0.51180555555555551</v>
      </c>
      <c r="C999" t="s">
        <v>1260</v>
      </c>
      <c r="D999">
        <v>64</v>
      </c>
      <c r="E999" t="s">
        <v>1303</v>
      </c>
    </row>
    <row r="1000" spans="1:5" x14ac:dyDescent="0.25">
      <c r="A1000" s="2">
        <v>45228</v>
      </c>
      <c r="B1000" s="1">
        <v>8.611111111111111E-2</v>
      </c>
      <c r="C1000" t="s">
        <v>1243</v>
      </c>
      <c r="D1000">
        <v>43</v>
      </c>
      <c r="E1000" t="s">
        <v>1305</v>
      </c>
    </row>
    <row r="1001" spans="1:5" x14ac:dyDescent="0.25">
      <c r="A1001" s="2">
        <v>45228</v>
      </c>
      <c r="B1001" s="1">
        <v>0.85347222222222219</v>
      </c>
      <c r="C1001" t="s">
        <v>980</v>
      </c>
      <c r="D1001">
        <v>42</v>
      </c>
      <c r="E1001" t="s">
        <v>1300</v>
      </c>
    </row>
    <row r="1002" spans="1:5" x14ac:dyDescent="0.25">
      <c r="A1002" s="2">
        <v>45228</v>
      </c>
      <c r="B1002" s="1">
        <v>0.84861111111111109</v>
      </c>
      <c r="C1002" t="s">
        <v>1425</v>
      </c>
      <c r="D1002">
        <v>18</v>
      </c>
      <c r="E1002" t="s">
        <v>1305</v>
      </c>
    </row>
    <row r="1003" spans="1:5" x14ac:dyDescent="0.25">
      <c r="A1003" s="2">
        <v>45228</v>
      </c>
      <c r="B1003" s="1">
        <v>0.62152777777777779</v>
      </c>
      <c r="C1003" t="s">
        <v>1048</v>
      </c>
      <c r="D1003">
        <v>98</v>
      </c>
      <c r="E1003" t="s">
        <v>1305</v>
      </c>
    </row>
    <row r="1004" spans="1:5" x14ac:dyDescent="0.25">
      <c r="A1004" s="2">
        <v>45228</v>
      </c>
      <c r="B1004" s="1">
        <v>0.88055555555555554</v>
      </c>
      <c r="C1004" t="s">
        <v>1240</v>
      </c>
      <c r="D1004">
        <v>112</v>
      </c>
      <c r="E1004" t="s">
        <v>1305</v>
      </c>
    </row>
    <row r="1005" spans="1:5" x14ac:dyDescent="0.25">
      <c r="A1005" s="2">
        <v>45228</v>
      </c>
      <c r="B1005" s="1">
        <v>0.73611111111111116</v>
      </c>
      <c r="C1005" t="s">
        <v>1084</v>
      </c>
      <c r="D1005">
        <v>66</v>
      </c>
      <c r="E1005" t="s">
        <v>1305</v>
      </c>
    </row>
    <row r="1006" spans="1:5" x14ac:dyDescent="0.25">
      <c r="A1006" s="2">
        <v>45228</v>
      </c>
      <c r="B1006" s="1">
        <v>0.98055555555555551</v>
      </c>
      <c r="C1006" t="s">
        <v>1394</v>
      </c>
      <c r="D1006">
        <v>37</v>
      </c>
      <c r="E1006" t="s">
        <v>1303</v>
      </c>
    </row>
    <row r="1007" spans="1:5" x14ac:dyDescent="0.25">
      <c r="A1007" s="2">
        <v>45228</v>
      </c>
      <c r="B1007" s="1">
        <v>0.61458333333333337</v>
      </c>
      <c r="C1007" t="s">
        <v>958</v>
      </c>
      <c r="D1007">
        <v>48</v>
      </c>
      <c r="E1007" t="s">
        <v>1303</v>
      </c>
    </row>
    <row r="1008" spans="1:5" x14ac:dyDescent="0.25">
      <c r="A1008" s="2">
        <v>45228</v>
      </c>
      <c r="B1008" s="1">
        <v>1.4583333333333334E-2</v>
      </c>
      <c r="C1008" t="s">
        <v>1353</v>
      </c>
      <c r="D1008">
        <v>98</v>
      </c>
      <c r="E1008" t="s">
        <v>1300</v>
      </c>
    </row>
    <row r="1009" spans="1:5" x14ac:dyDescent="0.25">
      <c r="A1009" s="2">
        <v>45228</v>
      </c>
      <c r="B1009" s="1">
        <v>0.51527777777777772</v>
      </c>
      <c r="C1009" t="s">
        <v>1030</v>
      </c>
      <c r="D1009">
        <v>105</v>
      </c>
      <c r="E1009" t="s">
        <v>1300</v>
      </c>
    </row>
    <row r="1010" spans="1:5" x14ac:dyDescent="0.25">
      <c r="A1010" s="2">
        <v>45228</v>
      </c>
      <c r="B1010" s="1">
        <v>0.57708333333333328</v>
      </c>
      <c r="C1010" t="s">
        <v>1278</v>
      </c>
      <c r="D1010">
        <v>80</v>
      </c>
      <c r="E1010" t="s">
        <v>1305</v>
      </c>
    </row>
    <row r="1011" spans="1:5" x14ac:dyDescent="0.25">
      <c r="A1011" s="2">
        <v>45229</v>
      </c>
      <c r="B1011" s="1">
        <v>0.97222222222222221</v>
      </c>
      <c r="C1011" t="s">
        <v>975</v>
      </c>
      <c r="D1011">
        <v>5</v>
      </c>
      <c r="E1011" t="s">
        <v>1305</v>
      </c>
    </row>
    <row r="1012" spans="1:5" x14ac:dyDescent="0.25">
      <c r="A1012" s="2">
        <v>45229</v>
      </c>
      <c r="B1012" s="1">
        <v>0.67013888888888884</v>
      </c>
      <c r="C1012" t="s">
        <v>925</v>
      </c>
      <c r="D1012">
        <v>41</v>
      </c>
      <c r="E1012" t="s">
        <v>1305</v>
      </c>
    </row>
    <row r="1013" spans="1:5" x14ac:dyDescent="0.25">
      <c r="A1013" s="2">
        <v>45229</v>
      </c>
      <c r="B1013" s="1">
        <v>0.62083333333333335</v>
      </c>
      <c r="C1013" t="s">
        <v>1238</v>
      </c>
      <c r="D1013">
        <v>74</v>
      </c>
      <c r="E1013" t="s">
        <v>1305</v>
      </c>
    </row>
    <row r="1014" spans="1:5" x14ac:dyDescent="0.25">
      <c r="A1014" s="2">
        <v>45229</v>
      </c>
      <c r="B1014" s="1">
        <v>0.75624999999999998</v>
      </c>
      <c r="C1014" t="s">
        <v>1414</v>
      </c>
      <c r="D1014">
        <v>82</v>
      </c>
      <c r="E1014" t="s">
        <v>1305</v>
      </c>
    </row>
    <row r="1015" spans="1:5" x14ac:dyDescent="0.25">
      <c r="A1015" s="2">
        <v>45229</v>
      </c>
      <c r="B1015" s="1">
        <v>0.28263888888888888</v>
      </c>
      <c r="C1015" t="s">
        <v>1324</v>
      </c>
      <c r="D1015">
        <v>102</v>
      </c>
      <c r="E1015" t="s">
        <v>1303</v>
      </c>
    </row>
    <row r="1016" spans="1:5" x14ac:dyDescent="0.25">
      <c r="A1016" s="2">
        <v>45229</v>
      </c>
      <c r="B1016" s="1">
        <v>0.63124999999999998</v>
      </c>
      <c r="C1016" t="s">
        <v>889</v>
      </c>
      <c r="D1016">
        <v>81</v>
      </c>
      <c r="E1016" t="s">
        <v>1300</v>
      </c>
    </row>
    <row r="1017" spans="1:5" x14ac:dyDescent="0.25">
      <c r="A1017" s="2">
        <v>45229</v>
      </c>
      <c r="B1017" s="1">
        <v>0.2986111111111111</v>
      </c>
      <c r="C1017" t="s">
        <v>1334</v>
      </c>
      <c r="D1017">
        <v>74</v>
      </c>
      <c r="E1017" t="s">
        <v>1305</v>
      </c>
    </row>
    <row r="1018" spans="1:5" x14ac:dyDescent="0.25">
      <c r="A1018" s="2">
        <v>45229</v>
      </c>
      <c r="B1018" s="1">
        <v>0.75138888888888888</v>
      </c>
      <c r="C1018" t="s">
        <v>1328</v>
      </c>
      <c r="D1018">
        <v>70</v>
      </c>
      <c r="E1018" t="s">
        <v>1300</v>
      </c>
    </row>
    <row r="1019" spans="1:5" x14ac:dyDescent="0.25">
      <c r="A1019" s="2">
        <v>45229</v>
      </c>
      <c r="B1019" s="1">
        <v>0.4</v>
      </c>
      <c r="C1019" t="s">
        <v>1370</v>
      </c>
      <c r="D1019">
        <v>77</v>
      </c>
      <c r="E1019" t="s">
        <v>1300</v>
      </c>
    </row>
    <row r="1020" spans="1:5" x14ac:dyDescent="0.25">
      <c r="A1020" s="2">
        <v>45229</v>
      </c>
      <c r="B1020" s="1">
        <v>0.80138888888888893</v>
      </c>
      <c r="C1020" t="s">
        <v>1400</v>
      </c>
      <c r="D1020">
        <v>89</v>
      </c>
      <c r="E1020" t="s">
        <v>1300</v>
      </c>
    </row>
    <row r="1021" spans="1:5" x14ac:dyDescent="0.25">
      <c r="A1021" s="2">
        <v>45229</v>
      </c>
      <c r="B1021" s="1">
        <v>0.72291666666666665</v>
      </c>
      <c r="C1021" t="s">
        <v>1157</v>
      </c>
      <c r="D1021">
        <v>76</v>
      </c>
      <c r="E1021" t="s">
        <v>1303</v>
      </c>
    </row>
    <row r="1022" spans="1:5" x14ac:dyDescent="0.25">
      <c r="A1022" s="2">
        <v>45229</v>
      </c>
      <c r="B1022" s="1">
        <v>0.73819444444444449</v>
      </c>
      <c r="C1022" t="s">
        <v>815</v>
      </c>
      <c r="D1022">
        <v>36</v>
      </c>
      <c r="E1022" t="s">
        <v>1303</v>
      </c>
    </row>
    <row r="1023" spans="1:5" x14ac:dyDescent="0.25">
      <c r="A1023" s="2">
        <v>45229</v>
      </c>
      <c r="B1023" s="1">
        <v>0.9868055555555556</v>
      </c>
      <c r="C1023" t="s">
        <v>1509</v>
      </c>
      <c r="D1023">
        <v>37</v>
      </c>
      <c r="E1023" t="s">
        <v>1305</v>
      </c>
    </row>
    <row r="1024" spans="1:5" x14ac:dyDescent="0.25">
      <c r="A1024" s="2">
        <v>45229</v>
      </c>
      <c r="B1024" s="1">
        <v>6.5972222222222224E-2</v>
      </c>
      <c r="C1024" t="s">
        <v>991</v>
      </c>
      <c r="D1024">
        <v>93</v>
      </c>
      <c r="E1024" t="s">
        <v>1300</v>
      </c>
    </row>
    <row r="1025" spans="1:5" x14ac:dyDescent="0.25">
      <c r="A1025" s="2">
        <v>45229</v>
      </c>
      <c r="B1025" s="1">
        <v>0.39166666666666666</v>
      </c>
      <c r="C1025" t="s">
        <v>855</v>
      </c>
      <c r="D1025">
        <v>28</v>
      </c>
      <c r="E1025" t="s">
        <v>1305</v>
      </c>
    </row>
    <row r="1026" spans="1:5" x14ac:dyDescent="0.25">
      <c r="A1026" s="2">
        <v>45229</v>
      </c>
      <c r="B1026" s="1">
        <v>0.50347222222222221</v>
      </c>
      <c r="C1026" t="s">
        <v>1314</v>
      </c>
      <c r="D1026">
        <v>106</v>
      </c>
      <c r="E1026" t="s">
        <v>1303</v>
      </c>
    </row>
    <row r="1027" spans="1:5" x14ac:dyDescent="0.25">
      <c r="A1027" s="2">
        <v>45229</v>
      </c>
      <c r="B1027" s="1">
        <v>0.42986111111111114</v>
      </c>
      <c r="C1027" t="s">
        <v>1438</v>
      </c>
      <c r="D1027">
        <v>90</v>
      </c>
      <c r="E1027" t="s">
        <v>1300</v>
      </c>
    </row>
    <row r="1028" spans="1:5" x14ac:dyDescent="0.25">
      <c r="A1028" s="2">
        <v>45229</v>
      </c>
      <c r="B1028" s="1">
        <v>0.59583333333333333</v>
      </c>
      <c r="C1028" t="s">
        <v>967</v>
      </c>
      <c r="D1028">
        <v>88</v>
      </c>
      <c r="E1028" t="s">
        <v>1305</v>
      </c>
    </row>
    <row r="1029" spans="1:5" x14ac:dyDescent="0.25">
      <c r="A1029" s="2">
        <v>45229</v>
      </c>
      <c r="B1029" s="1">
        <v>0.77222222222222225</v>
      </c>
      <c r="C1029" t="s">
        <v>1510</v>
      </c>
      <c r="D1029">
        <v>27</v>
      </c>
      <c r="E1029" t="s">
        <v>1300</v>
      </c>
    </row>
    <row r="1030" spans="1:5" x14ac:dyDescent="0.25">
      <c r="A1030" s="2">
        <v>45229</v>
      </c>
      <c r="B1030" s="1">
        <v>0.44374999999999998</v>
      </c>
      <c r="C1030" t="s">
        <v>828</v>
      </c>
      <c r="D1030">
        <v>5</v>
      </c>
      <c r="E1030" t="s">
        <v>1300</v>
      </c>
    </row>
    <row r="1031" spans="1:5" x14ac:dyDescent="0.25">
      <c r="A1031" s="2">
        <v>45230</v>
      </c>
      <c r="B1031" s="1">
        <v>0.86805555555555558</v>
      </c>
      <c r="C1031" t="s">
        <v>1082</v>
      </c>
      <c r="D1031">
        <v>103</v>
      </c>
      <c r="E1031" t="s">
        <v>1305</v>
      </c>
    </row>
    <row r="1032" spans="1:5" x14ac:dyDescent="0.25">
      <c r="A1032" s="2">
        <v>45230</v>
      </c>
      <c r="B1032" s="1">
        <v>0.62986111111111109</v>
      </c>
      <c r="C1032" t="s">
        <v>1378</v>
      </c>
      <c r="D1032">
        <v>91</v>
      </c>
      <c r="E1032" t="s">
        <v>1300</v>
      </c>
    </row>
    <row r="1033" spans="1:5" x14ac:dyDescent="0.25">
      <c r="A1033" s="2">
        <v>45230</v>
      </c>
      <c r="B1033" s="1">
        <v>0.77638888888888891</v>
      </c>
      <c r="C1033" t="s">
        <v>1438</v>
      </c>
      <c r="D1033">
        <v>55</v>
      </c>
      <c r="E1033" t="s">
        <v>1303</v>
      </c>
    </row>
    <row r="1034" spans="1:5" x14ac:dyDescent="0.25">
      <c r="A1034" s="2">
        <v>45230</v>
      </c>
      <c r="B1034" s="1">
        <v>0.11944444444444445</v>
      </c>
      <c r="C1034" t="s">
        <v>1111</v>
      </c>
      <c r="D1034">
        <v>8</v>
      </c>
      <c r="E1034" t="s">
        <v>1303</v>
      </c>
    </row>
    <row r="1035" spans="1:5" x14ac:dyDescent="0.25">
      <c r="A1035" s="2">
        <v>45230</v>
      </c>
      <c r="B1035" s="1">
        <v>0.22847222222222222</v>
      </c>
      <c r="C1035" t="s">
        <v>1168</v>
      </c>
      <c r="D1035">
        <v>39</v>
      </c>
      <c r="E1035" t="s">
        <v>1305</v>
      </c>
    </row>
    <row r="1036" spans="1:5" x14ac:dyDescent="0.25">
      <c r="A1036" s="2">
        <v>45230</v>
      </c>
      <c r="B1036" s="1">
        <v>0.50277777777777777</v>
      </c>
      <c r="C1036" t="s">
        <v>1262</v>
      </c>
      <c r="D1036">
        <v>99</v>
      </c>
      <c r="E1036" t="s">
        <v>1300</v>
      </c>
    </row>
    <row r="1037" spans="1:5" x14ac:dyDescent="0.25">
      <c r="A1037" s="2">
        <v>45230</v>
      </c>
      <c r="B1037" s="1">
        <v>0.92500000000000004</v>
      </c>
      <c r="C1037" t="s">
        <v>1371</v>
      </c>
      <c r="D1037">
        <v>90</v>
      </c>
      <c r="E1037" t="s">
        <v>1300</v>
      </c>
    </row>
    <row r="1038" spans="1:5" x14ac:dyDescent="0.25">
      <c r="A1038" s="2">
        <v>45230</v>
      </c>
      <c r="B1038" s="1">
        <v>0.57777777777777772</v>
      </c>
      <c r="C1038" t="s">
        <v>1542</v>
      </c>
      <c r="D1038">
        <v>97</v>
      </c>
      <c r="E1038" t="s">
        <v>1300</v>
      </c>
    </row>
    <row r="1039" spans="1:5" x14ac:dyDescent="0.25">
      <c r="A1039" s="2">
        <v>45230</v>
      </c>
      <c r="B1039" s="1">
        <v>0.18541666666666667</v>
      </c>
      <c r="C1039" t="s">
        <v>1472</v>
      </c>
      <c r="D1039">
        <v>31</v>
      </c>
      <c r="E1039" t="s">
        <v>1303</v>
      </c>
    </row>
    <row r="1040" spans="1:5" x14ac:dyDescent="0.25">
      <c r="A1040" s="2">
        <v>45230</v>
      </c>
      <c r="B1040" s="1">
        <v>0.56597222222222221</v>
      </c>
      <c r="C1040" t="s">
        <v>1369</v>
      </c>
      <c r="D1040">
        <v>74</v>
      </c>
      <c r="E1040" t="s">
        <v>1300</v>
      </c>
    </row>
    <row r="1041" spans="1:5" x14ac:dyDescent="0.25">
      <c r="A1041" s="2">
        <v>45230</v>
      </c>
      <c r="B1041" s="1">
        <v>0.53749999999999998</v>
      </c>
      <c r="C1041" t="s">
        <v>1568</v>
      </c>
      <c r="D1041">
        <v>33</v>
      </c>
      <c r="E1041" t="s">
        <v>1303</v>
      </c>
    </row>
    <row r="1042" spans="1:5" x14ac:dyDescent="0.25">
      <c r="A1042" s="2">
        <v>45230</v>
      </c>
      <c r="B1042" s="1">
        <v>0.76736111111111116</v>
      </c>
      <c r="C1042" t="s">
        <v>1579</v>
      </c>
      <c r="D1042">
        <v>16</v>
      </c>
      <c r="E1042" t="s">
        <v>1305</v>
      </c>
    </row>
    <row r="1043" spans="1:5" x14ac:dyDescent="0.25">
      <c r="A1043" s="2">
        <v>45230</v>
      </c>
      <c r="B1043" s="1">
        <v>6.7361111111111108E-2</v>
      </c>
      <c r="C1043" t="s">
        <v>1338</v>
      </c>
      <c r="D1043">
        <v>75</v>
      </c>
      <c r="E1043" t="s">
        <v>1300</v>
      </c>
    </row>
    <row r="1044" spans="1:5" x14ac:dyDescent="0.25">
      <c r="A1044" s="2">
        <v>45230</v>
      </c>
      <c r="B1044" s="1">
        <v>3.9583333333333331E-2</v>
      </c>
      <c r="C1044" t="s">
        <v>1218</v>
      </c>
      <c r="D1044">
        <v>117</v>
      </c>
      <c r="E1044" t="s">
        <v>1303</v>
      </c>
    </row>
    <row r="1045" spans="1:5" x14ac:dyDescent="0.25">
      <c r="A1045" s="2">
        <v>45230</v>
      </c>
      <c r="B1045" s="1">
        <v>6.1111111111111109E-2</v>
      </c>
      <c r="C1045" t="s">
        <v>1444</v>
      </c>
      <c r="D1045">
        <v>103</v>
      </c>
      <c r="E1045" t="s">
        <v>1300</v>
      </c>
    </row>
    <row r="1046" spans="1:5" x14ac:dyDescent="0.25">
      <c r="A1046" s="2">
        <v>45230</v>
      </c>
      <c r="B1046" s="1">
        <v>0.91180555555555554</v>
      </c>
      <c r="C1046" t="s">
        <v>1394</v>
      </c>
      <c r="D1046">
        <v>16</v>
      </c>
      <c r="E1046" t="s">
        <v>1303</v>
      </c>
    </row>
    <row r="1047" spans="1:5" x14ac:dyDescent="0.25">
      <c r="A1047" s="2">
        <v>45230</v>
      </c>
      <c r="B1047" s="1">
        <v>0.42916666666666664</v>
      </c>
      <c r="C1047" t="s">
        <v>1082</v>
      </c>
      <c r="D1047">
        <v>11</v>
      </c>
      <c r="E1047" t="s">
        <v>1305</v>
      </c>
    </row>
    <row r="1048" spans="1:5" x14ac:dyDescent="0.25">
      <c r="A1048" s="2">
        <v>45230</v>
      </c>
      <c r="B1048" s="1">
        <v>0.12777777777777777</v>
      </c>
      <c r="C1048" t="s">
        <v>981</v>
      </c>
      <c r="D1048">
        <v>87</v>
      </c>
      <c r="E1048" t="s">
        <v>1305</v>
      </c>
    </row>
    <row r="1049" spans="1:5" x14ac:dyDescent="0.25">
      <c r="A1049" s="2">
        <v>45230</v>
      </c>
      <c r="B1049" s="1">
        <v>0.39513888888888887</v>
      </c>
      <c r="C1049" t="s">
        <v>1044</v>
      </c>
      <c r="D1049">
        <v>89</v>
      </c>
      <c r="E1049" t="s">
        <v>1305</v>
      </c>
    </row>
    <row r="1050" spans="1:5" x14ac:dyDescent="0.25">
      <c r="A1050" s="2">
        <v>45230</v>
      </c>
      <c r="B1050" s="1">
        <v>0.26458333333333334</v>
      </c>
      <c r="C1050" t="s">
        <v>926</v>
      </c>
      <c r="D1050">
        <v>62</v>
      </c>
      <c r="E1050" t="s">
        <v>1300</v>
      </c>
    </row>
    <row r="1051" spans="1:5" x14ac:dyDescent="0.25">
      <c r="A1051" s="2">
        <v>45230</v>
      </c>
      <c r="B1051" s="1">
        <v>0.72638888888888886</v>
      </c>
      <c r="C1051" t="s">
        <v>1407</v>
      </c>
      <c r="D1051">
        <v>19</v>
      </c>
      <c r="E1051" t="s">
        <v>1303</v>
      </c>
    </row>
    <row r="1052" spans="1:5" x14ac:dyDescent="0.25">
      <c r="A1052" s="2">
        <v>45230</v>
      </c>
      <c r="B1052" s="1">
        <v>0.4861111111111111</v>
      </c>
      <c r="C1052" t="s">
        <v>1135</v>
      </c>
      <c r="D1052">
        <v>38</v>
      </c>
      <c r="E1052" t="s">
        <v>1300</v>
      </c>
    </row>
    <row r="1053" spans="1:5" x14ac:dyDescent="0.25">
      <c r="A1053" s="2">
        <v>45230</v>
      </c>
      <c r="B1053" s="1">
        <v>0.99791666666666667</v>
      </c>
      <c r="C1053" t="s">
        <v>920</v>
      </c>
      <c r="D1053">
        <v>72</v>
      </c>
      <c r="E1053" t="s">
        <v>1305</v>
      </c>
    </row>
    <row r="1054" spans="1:5" x14ac:dyDescent="0.25">
      <c r="A1054" s="2">
        <v>45230</v>
      </c>
      <c r="B1054" s="1">
        <v>0.86250000000000004</v>
      </c>
      <c r="C1054" t="s">
        <v>830</v>
      </c>
      <c r="D1054">
        <v>67</v>
      </c>
      <c r="E1054" t="s">
        <v>1300</v>
      </c>
    </row>
    <row r="1055" spans="1:5" x14ac:dyDescent="0.25">
      <c r="A1055" s="2">
        <v>45230</v>
      </c>
      <c r="B1055" s="1">
        <v>0.90625</v>
      </c>
      <c r="C1055" t="s">
        <v>1592</v>
      </c>
      <c r="D1055">
        <v>87</v>
      </c>
      <c r="E1055" t="s">
        <v>1300</v>
      </c>
    </row>
    <row r="1056" spans="1:5" x14ac:dyDescent="0.25">
      <c r="A1056" s="2">
        <v>45230</v>
      </c>
      <c r="B1056" s="1">
        <v>0.48402777777777778</v>
      </c>
      <c r="C1056" t="s">
        <v>933</v>
      </c>
      <c r="D1056">
        <v>37</v>
      </c>
      <c r="E1056" t="s">
        <v>1303</v>
      </c>
    </row>
    <row r="1057" spans="1:5" x14ac:dyDescent="0.25">
      <c r="A1057" s="2">
        <v>45230</v>
      </c>
      <c r="B1057" s="1">
        <v>0.63888888888888884</v>
      </c>
      <c r="C1057" t="s">
        <v>1050</v>
      </c>
      <c r="D1057">
        <v>77</v>
      </c>
      <c r="E1057" t="s">
        <v>1303</v>
      </c>
    </row>
    <row r="1058" spans="1:5" x14ac:dyDescent="0.25">
      <c r="A1058" s="2">
        <v>45230</v>
      </c>
      <c r="B1058" s="1">
        <v>0.91319444444444442</v>
      </c>
      <c r="C1058" t="s">
        <v>841</v>
      </c>
      <c r="D1058">
        <v>62</v>
      </c>
      <c r="E1058" t="s">
        <v>1300</v>
      </c>
    </row>
    <row r="1059" spans="1:5" x14ac:dyDescent="0.25">
      <c r="A1059" s="2">
        <v>45230</v>
      </c>
      <c r="B1059" s="1">
        <v>0.3034722222222222</v>
      </c>
      <c r="C1059" t="s">
        <v>1099</v>
      </c>
      <c r="D1059">
        <v>83</v>
      </c>
      <c r="E1059" t="s">
        <v>1305</v>
      </c>
    </row>
    <row r="1060" spans="1:5" x14ac:dyDescent="0.25">
      <c r="A1060" s="2">
        <v>45230</v>
      </c>
      <c r="B1060" s="1">
        <v>0.84722222222222221</v>
      </c>
      <c r="C1060" t="s">
        <v>905</v>
      </c>
      <c r="D1060">
        <v>58</v>
      </c>
      <c r="E1060" t="s">
        <v>1305</v>
      </c>
    </row>
    <row r="1061" spans="1:5" x14ac:dyDescent="0.25">
      <c r="A1061" s="2">
        <v>45230</v>
      </c>
      <c r="B1061" s="1">
        <v>0.40902777777777777</v>
      </c>
      <c r="C1061" t="s">
        <v>883</v>
      </c>
      <c r="D1061">
        <v>80</v>
      </c>
      <c r="E1061" t="s">
        <v>1303</v>
      </c>
    </row>
    <row r="1062" spans="1:5" x14ac:dyDescent="0.25">
      <c r="A1062" s="2">
        <v>45230</v>
      </c>
      <c r="B1062" s="1">
        <v>0.64166666666666672</v>
      </c>
      <c r="C1062" t="s">
        <v>1288</v>
      </c>
      <c r="D1062">
        <v>106</v>
      </c>
      <c r="E1062" t="s">
        <v>1300</v>
      </c>
    </row>
    <row r="1063" spans="1:5" x14ac:dyDescent="0.25">
      <c r="A1063" s="2">
        <v>45230</v>
      </c>
      <c r="B1063" s="1">
        <v>0.59513888888888888</v>
      </c>
      <c r="C1063" t="s">
        <v>1002</v>
      </c>
      <c r="D1063">
        <v>14</v>
      </c>
      <c r="E1063" t="s">
        <v>1300</v>
      </c>
    </row>
    <row r="1064" spans="1:5" x14ac:dyDescent="0.25">
      <c r="A1064" s="2">
        <v>45230</v>
      </c>
      <c r="B1064" s="1">
        <v>0.1875</v>
      </c>
      <c r="C1064" t="s">
        <v>1495</v>
      </c>
      <c r="D1064">
        <v>9</v>
      </c>
      <c r="E1064" t="s">
        <v>1305</v>
      </c>
    </row>
    <row r="1065" spans="1:5" x14ac:dyDescent="0.25">
      <c r="A1065" s="2">
        <v>45230</v>
      </c>
      <c r="B1065" s="1">
        <v>4.8611111111111112E-3</v>
      </c>
      <c r="C1065" t="s">
        <v>1117</v>
      </c>
      <c r="D1065">
        <v>58</v>
      </c>
      <c r="E1065" t="s">
        <v>1300</v>
      </c>
    </row>
    <row r="1066" spans="1:5" x14ac:dyDescent="0.25">
      <c r="A1066" s="2">
        <v>45230</v>
      </c>
      <c r="B1066" s="1">
        <v>0.6333333333333333</v>
      </c>
      <c r="C1066" t="s">
        <v>1173</v>
      </c>
      <c r="D1066">
        <v>34</v>
      </c>
      <c r="E1066" t="s">
        <v>1300</v>
      </c>
    </row>
    <row r="1067" spans="1:5" x14ac:dyDescent="0.25">
      <c r="A1067" s="2">
        <v>45230</v>
      </c>
      <c r="B1067" s="1">
        <v>0.78888888888888886</v>
      </c>
      <c r="C1067" t="s">
        <v>1322</v>
      </c>
      <c r="D1067">
        <v>87</v>
      </c>
      <c r="E1067" t="s">
        <v>1303</v>
      </c>
    </row>
    <row r="1068" spans="1:5" x14ac:dyDescent="0.25">
      <c r="A1068" s="2">
        <v>45230</v>
      </c>
      <c r="B1068" s="1">
        <v>8.819444444444445E-2</v>
      </c>
      <c r="C1068" t="s">
        <v>1480</v>
      </c>
      <c r="D1068">
        <v>87</v>
      </c>
      <c r="E1068" t="s">
        <v>1305</v>
      </c>
    </row>
    <row r="1069" spans="1:5" x14ac:dyDescent="0.25">
      <c r="A1069" s="2">
        <v>45230</v>
      </c>
      <c r="B1069" s="1">
        <v>9.0277777777777769E-3</v>
      </c>
      <c r="C1069" t="s">
        <v>838</v>
      </c>
      <c r="D1069">
        <v>11</v>
      </c>
      <c r="E1069" t="s">
        <v>1303</v>
      </c>
    </row>
    <row r="1070" spans="1:5" x14ac:dyDescent="0.25">
      <c r="A1070" s="2">
        <v>45230</v>
      </c>
      <c r="B1070" s="1">
        <v>0.83472222222222225</v>
      </c>
      <c r="C1070" t="s">
        <v>1324</v>
      </c>
      <c r="D1070">
        <v>46</v>
      </c>
      <c r="E1070" t="s">
        <v>1303</v>
      </c>
    </row>
    <row r="1071" spans="1:5" x14ac:dyDescent="0.25">
      <c r="A1071" s="2">
        <v>45230</v>
      </c>
      <c r="B1071" s="1">
        <v>0.32361111111111113</v>
      </c>
      <c r="C1071" t="s">
        <v>1260</v>
      </c>
      <c r="D1071">
        <v>105</v>
      </c>
      <c r="E1071" t="s">
        <v>1300</v>
      </c>
    </row>
    <row r="1072" spans="1:5" x14ac:dyDescent="0.25">
      <c r="A1072" s="2">
        <v>45230</v>
      </c>
      <c r="B1072" s="1">
        <v>0.44444444444444442</v>
      </c>
      <c r="C1072" t="s">
        <v>1388</v>
      </c>
      <c r="D1072">
        <v>40</v>
      </c>
      <c r="E1072" t="s">
        <v>1300</v>
      </c>
    </row>
    <row r="1073" spans="1:5" x14ac:dyDescent="0.25">
      <c r="A1073" s="2">
        <v>45230</v>
      </c>
      <c r="B1073" s="1">
        <v>0.86388888888888893</v>
      </c>
      <c r="C1073" t="s">
        <v>1220</v>
      </c>
      <c r="D1073">
        <v>57</v>
      </c>
      <c r="E1073" t="s">
        <v>1300</v>
      </c>
    </row>
    <row r="1074" spans="1:5" x14ac:dyDescent="0.25">
      <c r="A1074" s="2">
        <v>45230</v>
      </c>
      <c r="B1074" s="1">
        <v>0.83958333333333335</v>
      </c>
      <c r="C1074" t="s">
        <v>1130</v>
      </c>
      <c r="D1074">
        <v>83</v>
      </c>
      <c r="E1074" t="s">
        <v>1305</v>
      </c>
    </row>
    <row r="1075" spans="1:5" x14ac:dyDescent="0.25">
      <c r="A1075" s="2">
        <v>45230</v>
      </c>
      <c r="B1075" s="1">
        <v>0.7319444444444444</v>
      </c>
      <c r="C1075" t="s">
        <v>1442</v>
      </c>
      <c r="D1075">
        <v>52</v>
      </c>
      <c r="E1075" t="s">
        <v>1300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72B5-EE8D-4516-9983-27CF16158595}">
  <sheetPr>
    <tabColor theme="3" tint="0.249977111117893"/>
  </sheetPr>
  <dimension ref="A1:F499"/>
  <sheetViews>
    <sheetView workbookViewId="0">
      <selection activeCell="F367" sqref="F367"/>
    </sheetView>
  </sheetViews>
  <sheetFormatPr baseColWidth="10" defaultRowHeight="15" x14ac:dyDescent="0.25"/>
  <cols>
    <col min="1" max="1" width="13.7109375" bestFit="1" customWidth="1"/>
    <col min="2" max="2" width="16.140625" bestFit="1" customWidth="1"/>
    <col min="3" max="3" width="10.7109375" bestFit="1" customWidth="1"/>
    <col min="4" max="4" width="12.28515625" bestFit="1" customWidth="1"/>
    <col min="5" max="5" width="14.28515625" bestFit="1" customWidth="1"/>
    <col min="6" max="7" width="16.7109375" bestFit="1" customWidth="1"/>
  </cols>
  <sheetData>
    <row r="1" spans="1:6" x14ac:dyDescent="0.25">
      <c r="A1" t="s">
        <v>785</v>
      </c>
      <c r="B1" t="s">
        <v>786</v>
      </c>
      <c r="C1" t="s">
        <v>787</v>
      </c>
      <c r="D1" t="s">
        <v>788</v>
      </c>
      <c r="E1" t="s">
        <v>789</v>
      </c>
      <c r="F1" t="s">
        <v>790</v>
      </c>
    </row>
    <row r="2" spans="1:6" x14ac:dyDescent="0.25">
      <c r="A2" t="s">
        <v>791</v>
      </c>
      <c r="B2" t="s">
        <v>42</v>
      </c>
      <c r="C2">
        <v>-3.003879</v>
      </c>
      <c r="D2">
        <v>23.633893</v>
      </c>
      <c r="E2" t="s">
        <v>792</v>
      </c>
      <c r="F2" t="s">
        <v>793</v>
      </c>
    </row>
    <row r="3" spans="1:6" x14ac:dyDescent="0.25">
      <c r="A3" t="s">
        <v>794</v>
      </c>
      <c r="B3" t="s">
        <v>11</v>
      </c>
      <c r="C3">
        <v>2.413557</v>
      </c>
      <c r="D3">
        <v>19.690681999999999</v>
      </c>
      <c r="E3" t="s">
        <v>795</v>
      </c>
      <c r="F3" t="s">
        <v>796</v>
      </c>
    </row>
    <row r="4" spans="1:6" x14ac:dyDescent="0.25">
      <c r="A4" t="s">
        <v>797</v>
      </c>
      <c r="B4" t="s">
        <v>8</v>
      </c>
      <c r="C4">
        <v>-9.4708620000000003</v>
      </c>
      <c r="D4">
        <v>29.234387999999999</v>
      </c>
      <c r="E4" t="s">
        <v>798</v>
      </c>
      <c r="F4" t="s">
        <v>799</v>
      </c>
    </row>
    <row r="5" spans="1:6" x14ac:dyDescent="0.25">
      <c r="A5" t="s">
        <v>800</v>
      </c>
      <c r="B5" t="s">
        <v>67</v>
      </c>
      <c r="C5">
        <v>1.400674</v>
      </c>
      <c r="D5">
        <v>13.503126999999999</v>
      </c>
      <c r="E5" t="s">
        <v>792</v>
      </c>
      <c r="F5" t="s">
        <v>799</v>
      </c>
    </row>
    <row r="6" spans="1:6" x14ac:dyDescent="0.25">
      <c r="A6" t="s">
        <v>801</v>
      </c>
      <c r="B6" t="s">
        <v>42</v>
      </c>
      <c r="C6">
        <v>0.29375600000000002</v>
      </c>
      <c r="D6">
        <v>18.528884000000001</v>
      </c>
      <c r="E6" t="s">
        <v>792</v>
      </c>
      <c r="F6" t="s">
        <v>799</v>
      </c>
    </row>
    <row r="7" spans="1:6" x14ac:dyDescent="0.25">
      <c r="A7" t="s">
        <v>802</v>
      </c>
      <c r="B7" t="s">
        <v>30</v>
      </c>
      <c r="C7">
        <v>-4.4862339999999996</v>
      </c>
      <c r="D7">
        <v>17.956159</v>
      </c>
      <c r="E7" t="s">
        <v>798</v>
      </c>
      <c r="F7" t="s">
        <v>796</v>
      </c>
    </row>
    <row r="8" spans="1:6" x14ac:dyDescent="0.25">
      <c r="A8" t="s">
        <v>803</v>
      </c>
      <c r="B8" t="s">
        <v>8</v>
      </c>
      <c r="C8">
        <v>-12.824638999999999</v>
      </c>
      <c r="D8">
        <v>24.407249</v>
      </c>
      <c r="E8" t="s">
        <v>792</v>
      </c>
      <c r="F8" t="s">
        <v>796</v>
      </c>
    </row>
    <row r="9" spans="1:6" x14ac:dyDescent="0.25">
      <c r="A9" t="s">
        <v>804</v>
      </c>
      <c r="B9" t="s">
        <v>99</v>
      </c>
      <c r="C9">
        <v>-5.4126279999999998</v>
      </c>
      <c r="D9">
        <v>25.498235999999999</v>
      </c>
      <c r="E9" t="s">
        <v>792</v>
      </c>
      <c r="F9" t="s">
        <v>799</v>
      </c>
    </row>
    <row r="10" spans="1:6" x14ac:dyDescent="0.25">
      <c r="A10" t="s">
        <v>805</v>
      </c>
      <c r="B10" t="s">
        <v>99</v>
      </c>
      <c r="C10">
        <v>-10.579510000000001</v>
      </c>
      <c r="D10">
        <v>23.502313999999998</v>
      </c>
      <c r="E10" t="s">
        <v>795</v>
      </c>
      <c r="F10" t="s">
        <v>799</v>
      </c>
    </row>
    <row r="11" spans="1:6" x14ac:dyDescent="0.25">
      <c r="A11" t="s">
        <v>806</v>
      </c>
      <c r="B11" t="s">
        <v>26</v>
      </c>
      <c r="C11">
        <v>3.0788669999999998</v>
      </c>
      <c r="D11">
        <v>19.513650999999999</v>
      </c>
      <c r="E11" t="s">
        <v>792</v>
      </c>
      <c r="F11" t="s">
        <v>796</v>
      </c>
    </row>
    <row r="12" spans="1:6" x14ac:dyDescent="0.25">
      <c r="A12" t="s">
        <v>807</v>
      </c>
      <c r="B12" t="s">
        <v>48</v>
      </c>
      <c r="C12">
        <v>-1.648264</v>
      </c>
      <c r="D12">
        <v>28.866143999999998</v>
      </c>
      <c r="E12" t="s">
        <v>792</v>
      </c>
      <c r="F12" t="s">
        <v>793</v>
      </c>
    </row>
    <row r="13" spans="1:6" x14ac:dyDescent="0.25">
      <c r="A13" t="s">
        <v>808</v>
      </c>
      <c r="B13" t="s">
        <v>34</v>
      </c>
      <c r="C13">
        <v>-3.3883130000000001</v>
      </c>
      <c r="D13">
        <v>26.838507</v>
      </c>
      <c r="E13" t="s">
        <v>792</v>
      </c>
      <c r="F13" t="s">
        <v>809</v>
      </c>
    </row>
    <row r="14" spans="1:6" x14ac:dyDescent="0.25">
      <c r="A14" t="s">
        <v>810</v>
      </c>
      <c r="B14" t="s">
        <v>74</v>
      </c>
      <c r="C14">
        <v>-7.31691</v>
      </c>
      <c r="D14">
        <v>29.836627</v>
      </c>
      <c r="E14" t="s">
        <v>792</v>
      </c>
      <c r="F14" t="s">
        <v>799</v>
      </c>
    </row>
    <row r="15" spans="1:6" x14ac:dyDescent="0.25">
      <c r="A15" t="s">
        <v>811</v>
      </c>
      <c r="B15" t="s">
        <v>11</v>
      </c>
      <c r="C15">
        <v>-4.2408359999999998</v>
      </c>
      <c r="D15">
        <v>26.210014000000001</v>
      </c>
      <c r="E15" t="s">
        <v>795</v>
      </c>
      <c r="F15" t="s">
        <v>796</v>
      </c>
    </row>
    <row r="16" spans="1:6" x14ac:dyDescent="0.25">
      <c r="A16" t="s">
        <v>812</v>
      </c>
      <c r="B16" t="s">
        <v>30</v>
      </c>
      <c r="C16">
        <v>-8.4824669999999998</v>
      </c>
      <c r="D16">
        <v>21.897777999999999</v>
      </c>
      <c r="E16" t="s">
        <v>792</v>
      </c>
      <c r="F16" t="s">
        <v>793</v>
      </c>
    </row>
    <row r="17" spans="1:6" x14ac:dyDescent="0.25">
      <c r="A17" t="s">
        <v>813</v>
      </c>
      <c r="B17" t="s">
        <v>40</v>
      </c>
      <c r="C17">
        <v>2.453036</v>
      </c>
      <c r="D17">
        <v>20.555484</v>
      </c>
      <c r="E17" t="s">
        <v>792</v>
      </c>
      <c r="F17" t="s">
        <v>793</v>
      </c>
    </row>
    <row r="18" spans="1:6" x14ac:dyDescent="0.25">
      <c r="A18" t="s">
        <v>814</v>
      </c>
      <c r="B18" t="s">
        <v>50</v>
      </c>
      <c r="C18">
        <v>-12.141233</v>
      </c>
      <c r="D18">
        <v>15.179043999999999</v>
      </c>
      <c r="E18" t="s">
        <v>792</v>
      </c>
      <c r="F18" t="s">
        <v>793</v>
      </c>
    </row>
    <row r="19" spans="1:6" x14ac:dyDescent="0.25">
      <c r="A19" t="s">
        <v>815</v>
      </c>
      <c r="B19" t="s">
        <v>36</v>
      </c>
      <c r="C19">
        <v>-11.218453999999999</v>
      </c>
      <c r="D19">
        <v>28.230025000000001</v>
      </c>
      <c r="E19" t="s">
        <v>792</v>
      </c>
      <c r="F19" t="s">
        <v>799</v>
      </c>
    </row>
    <row r="20" spans="1:6" x14ac:dyDescent="0.25">
      <c r="A20" t="s">
        <v>816</v>
      </c>
      <c r="B20" t="s">
        <v>44</v>
      </c>
      <c r="C20">
        <v>-10.059846</v>
      </c>
      <c r="D20">
        <v>14.375757999999999</v>
      </c>
      <c r="E20" t="s">
        <v>795</v>
      </c>
      <c r="F20" t="s">
        <v>796</v>
      </c>
    </row>
    <row r="21" spans="1:6" x14ac:dyDescent="0.25">
      <c r="A21" t="s">
        <v>817</v>
      </c>
      <c r="B21" t="s">
        <v>61</v>
      </c>
      <c r="C21">
        <v>-9.1215879999999991</v>
      </c>
      <c r="D21">
        <v>16.457916999999998</v>
      </c>
      <c r="E21" t="s">
        <v>795</v>
      </c>
      <c r="F21" t="s">
        <v>809</v>
      </c>
    </row>
    <row r="22" spans="1:6" x14ac:dyDescent="0.25">
      <c r="A22" t="s">
        <v>818</v>
      </c>
      <c r="B22" t="s">
        <v>36</v>
      </c>
      <c r="C22">
        <v>-8.4227860000000003</v>
      </c>
      <c r="D22">
        <v>16.781293000000002</v>
      </c>
      <c r="E22" t="s">
        <v>795</v>
      </c>
      <c r="F22" t="s">
        <v>796</v>
      </c>
    </row>
    <row r="23" spans="1:6" x14ac:dyDescent="0.25">
      <c r="A23" t="s">
        <v>819</v>
      </c>
      <c r="B23" t="s">
        <v>71</v>
      </c>
      <c r="C23">
        <v>2.1014910000000002</v>
      </c>
      <c r="D23">
        <v>26.133631999999999</v>
      </c>
      <c r="E23" t="s">
        <v>792</v>
      </c>
      <c r="F23" t="s">
        <v>796</v>
      </c>
    </row>
    <row r="24" spans="1:6" x14ac:dyDescent="0.25">
      <c r="A24" t="s">
        <v>820</v>
      </c>
      <c r="B24" t="s">
        <v>36</v>
      </c>
      <c r="C24">
        <v>-11.266565999999999</v>
      </c>
      <c r="D24">
        <v>26.245055000000001</v>
      </c>
      <c r="E24" t="s">
        <v>798</v>
      </c>
      <c r="F24" t="s">
        <v>793</v>
      </c>
    </row>
    <row r="25" spans="1:6" x14ac:dyDescent="0.25">
      <c r="A25" t="s">
        <v>821</v>
      </c>
      <c r="B25" t="s">
        <v>24</v>
      </c>
      <c r="C25">
        <v>0.40267799999999998</v>
      </c>
      <c r="D25">
        <v>16.000858000000001</v>
      </c>
      <c r="E25" t="s">
        <v>798</v>
      </c>
      <c r="F25" t="s">
        <v>809</v>
      </c>
    </row>
    <row r="26" spans="1:6" x14ac:dyDescent="0.25">
      <c r="A26" t="s">
        <v>822</v>
      </c>
      <c r="B26" t="s">
        <v>50</v>
      </c>
      <c r="C26">
        <v>-8.3241560000000003</v>
      </c>
      <c r="D26">
        <v>19.543866000000001</v>
      </c>
      <c r="E26" t="s">
        <v>795</v>
      </c>
      <c r="F26" t="s">
        <v>799</v>
      </c>
    </row>
    <row r="27" spans="1:6" x14ac:dyDescent="0.25">
      <c r="A27" t="s">
        <v>823</v>
      </c>
      <c r="B27" t="s">
        <v>30</v>
      </c>
      <c r="C27">
        <v>-6.5144820000000001</v>
      </c>
      <c r="D27">
        <v>13.815521</v>
      </c>
      <c r="E27" t="s">
        <v>795</v>
      </c>
      <c r="F27" t="s">
        <v>799</v>
      </c>
    </row>
    <row r="28" spans="1:6" x14ac:dyDescent="0.25">
      <c r="A28" t="s">
        <v>824</v>
      </c>
      <c r="B28" t="s">
        <v>40</v>
      </c>
      <c r="C28">
        <v>-2.9651529999999999</v>
      </c>
      <c r="D28">
        <v>29.79908</v>
      </c>
      <c r="E28" t="s">
        <v>795</v>
      </c>
      <c r="F28" t="s">
        <v>793</v>
      </c>
    </row>
    <row r="29" spans="1:6" x14ac:dyDescent="0.25">
      <c r="A29" t="s">
        <v>825</v>
      </c>
      <c r="B29" t="s">
        <v>44</v>
      </c>
      <c r="C29">
        <v>1.5802860000000001</v>
      </c>
      <c r="D29">
        <v>20.99053</v>
      </c>
      <c r="E29" t="s">
        <v>795</v>
      </c>
      <c r="F29" t="s">
        <v>799</v>
      </c>
    </row>
    <row r="30" spans="1:6" x14ac:dyDescent="0.25">
      <c r="A30" t="s">
        <v>826</v>
      </c>
      <c r="B30" t="s">
        <v>24</v>
      </c>
      <c r="C30">
        <v>-6.8054750000000004</v>
      </c>
      <c r="D30">
        <v>13.022683000000001</v>
      </c>
      <c r="E30" t="s">
        <v>795</v>
      </c>
      <c r="F30" t="s">
        <v>796</v>
      </c>
    </row>
    <row r="31" spans="1:6" x14ac:dyDescent="0.25">
      <c r="A31" t="s">
        <v>827</v>
      </c>
      <c r="B31" t="s">
        <v>32</v>
      </c>
      <c r="C31">
        <v>-5.5883039999999999</v>
      </c>
      <c r="D31">
        <v>26.647739999999999</v>
      </c>
      <c r="E31" t="s">
        <v>798</v>
      </c>
      <c r="F31" t="s">
        <v>793</v>
      </c>
    </row>
    <row r="32" spans="1:6" x14ac:dyDescent="0.25">
      <c r="A32" t="s">
        <v>828</v>
      </c>
      <c r="B32" t="s">
        <v>48</v>
      </c>
      <c r="C32">
        <v>-6.6803710000000001</v>
      </c>
      <c r="D32">
        <v>21.955673000000001</v>
      </c>
      <c r="E32" t="s">
        <v>795</v>
      </c>
      <c r="F32" t="s">
        <v>809</v>
      </c>
    </row>
    <row r="33" spans="1:6" x14ac:dyDescent="0.25">
      <c r="A33" t="s">
        <v>829</v>
      </c>
      <c r="B33" t="s">
        <v>32</v>
      </c>
      <c r="C33">
        <v>-0.767455</v>
      </c>
      <c r="D33">
        <v>30.924261000000001</v>
      </c>
      <c r="E33" t="s">
        <v>798</v>
      </c>
      <c r="F33" t="s">
        <v>796</v>
      </c>
    </row>
    <row r="34" spans="1:6" x14ac:dyDescent="0.25">
      <c r="A34" t="s">
        <v>830</v>
      </c>
      <c r="B34" t="s">
        <v>8</v>
      </c>
      <c r="C34">
        <v>-2.099631</v>
      </c>
      <c r="D34">
        <v>13.974640000000001</v>
      </c>
      <c r="E34" t="s">
        <v>798</v>
      </c>
      <c r="F34" t="s">
        <v>809</v>
      </c>
    </row>
    <row r="35" spans="1:6" x14ac:dyDescent="0.25">
      <c r="A35" t="s">
        <v>831</v>
      </c>
      <c r="B35" t="s">
        <v>158</v>
      </c>
      <c r="C35">
        <v>-2.6166320000000001</v>
      </c>
      <c r="D35">
        <v>23.743941</v>
      </c>
      <c r="E35" t="s">
        <v>792</v>
      </c>
      <c r="F35" t="s">
        <v>809</v>
      </c>
    </row>
    <row r="36" spans="1:6" x14ac:dyDescent="0.25">
      <c r="A36" t="s">
        <v>832</v>
      </c>
      <c r="B36" t="s">
        <v>40</v>
      </c>
      <c r="C36">
        <v>-1.3024210000000001</v>
      </c>
      <c r="D36">
        <v>13.601914000000001</v>
      </c>
      <c r="E36" t="s">
        <v>798</v>
      </c>
      <c r="F36" t="s">
        <v>796</v>
      </c>
    </row>
    <row r="37" spans="1:6" x14ac:dyDescent="0.25">
      <c r="A37" t="s">
        <v>833</v>
      </c>
      <c r="B37" t="s">
        <v>40</v>
      </c>
      <c r="C37">
        <v>-3.3081109999999998</v>
      </c>
      <c r="D37">
        <v>29.700202000000001</v>
      </c>
      <c r="E37" t="s">
        <v>795</v>
      </c>
      <c r="F37" t="s">
        <v>809</v>
      </c>
    </row>
    <row r="38" spans="1:6" x14ac:dyDescent="0.25">
      <c r="A38" t="s">
        <v>834</v>
      </c>
      <c r="B38" t="s">
        <v>34</v>
      </c>
      <c r="C38">
        <v>4.6287159999999998</v>
      </c>
      <c r="D38">
        <v>19.407077999999998</v>
      </c>
      <c r="E38" t="s">
        <v>795</v>
      </c>
      <c r="F38" t="s">
        <v>793</v>
      </c>
    </row>
    <row r="39" spans="1:6" x14ac:dyDescent="0.25">
      <c r="A39" t="s">
        <v>835</v>
      </c>
      <c r="B39" t="s">
        <v>36</v>
      </c>
      <c r="C39">
        <v>-7.8770429999999996</v>
      </c>
      <c r="D39">
        <v>16.357762999999998</v>
      </c>
      <c r="E39" t="s">
        <v>795</v>
      </c>
      <c r="F39" t="s">
        <v>793</v>
      </c>
    </row>
    <row r="40" spans="1:6" x14ac:dyDescent="0.25">
      <c r="A40" t="s">
        <v>836</v>
      </c>
      <c r="B40" t="s">
        <v>42</v>
      </c>
      <c r="C40">
        <v>-7.1483749999999997</v>
      </c>
      <c r="D40">
        <v>26.014271000000001</v>
      </c>
      <c r="E40" t="s">
        <v>792</v>
      </c>
      <c r="F40" t="s">
        <v>796</v>
      </c>
    </row>
    <row r="41" spans="1:6" x14ac:dyDescent="0.25">
      <c r="A41" t="s">
        <v>837</v>
      </c>
      <c r="B41" t="s">
        <v>44</v>
      </c>
      <c r="C41">
        <v>-3.8119990000000001</v>
      </c>
      <c r="D41">
        <v>20.420048000000001</v>
      </c>
      <c r="E41" t="s">
        <v>798</v>
      </c>
      <c r="F41" t="s">
        <v>799</v>
      </c>
    </row>
    <row r="42" spans="1:6" x14ac:dyDescent="0.25">
      <c r="A42" t="s">
        <v>838</v>
      </c>
      <c r="B42" t="s">
        <v>74</v>
      </c>
      <c r="C42">
        <v>0.94539899999999999</v>
      </c>
      <c r="D42">
        <v>14.401821999999999</v>
      </c>
      <c r="E42" t="s">
        <v>792</v>
      </c>
      <c r="F42" t="s">
        <v>809</v>
      </c>
    </row>
    <row r="43" spans="1:6" x14ac:dyDescent="0.25">
      <c r="A43" t="s">
        <v>839</v>
      </c>
      <c r="B43" t="s">
        <v>59</v>
      </c>
      <c r="C43">
        <v>-4.9552579999999997</v>
      </c>
      <c r="D43">
        <v>22.008103999999999</v>
      </c>
      <c r="E43" t="s">
        <v>795</v>
      </c>
      <c r="F43" t="s">
        <v>796</v>
      </c>
    </row>
    <row r="44" spans="1:6" x14ac:dyDescent="0.25">
      <c r="A44" t="s">
        <v>840</v>
      </c>
      <c r="B44" t="s">
        <v>74</v>
      </c>
      <c r="C44">
        <v>-11.588665000000001</v>
      </c>
      <c r="D44">
        <v>15.241552</v>
      </c>
      <c r="E44" t="s">
        <v>795</v>
      </c>
      <c r="F44" t="s">
        <v>809</v>
      </c>
    </row>
    <row r="45" spans="1:6" x14ac:dyDescent="0.25">
      <c r="A45" t="s">
        <v>841</v>
      </c>
      <c r="B45" t="s">
        <v>26</v>
      </c>
      <c r="C45">
        <v>-1.9540519999999999</v>
      </c>
      <c r="D45">
        <v>12.667945</v>
      </c>
      <c r="E45" t="s">
        <v>795</v>
      </c>
      <c r="F45" t="s">
        <v>796</v>
      </c>
    </row>
    <row r="46" spans="1:6" x14ac:dyDescent="0.25">
      <c r="A46" t="s">
        <v>842</v>
      </c>
      <c r="B46" t="s">
        <v>71</v>
      </c>
      <c r="C46">
        <v>-4.652463</v>
      </c>
      <c r="D46">
        <v>18.779983999999999</v>
      </c>
      <c r="E46" t="s">
        <v>798</v>
      </c>
      <c r="F46" t="s">
        <v>809</v>
      </c>
    </row>
    <row r="47" spans="1:6" x14ac:dyDescent="0.25">
      <c r="A47" t="s">
        <v>843</v>
      </c>
      <c r="B47" t="s">
        <v>11</v>
      </c>
      <c r="C47">
        <v>4.2187000000000001</v>
      </c>
      <c r="D47">
        <v>29.390174999999999</v>
      </c>
      <c r="E47" t="s">
        <v>795</v>
      </c>
      <c r="F47" t="s">
        <v>799</v>
      </c>
    </row>
    <row r="48" spans="1:6" x14ac:dyDescent="0.25">
      <c r="A48" t="s">
        <v>844</v>
      </c>
      <c r="B48" t="s">
        <v>20</v>
      </c>
      <c r="C48">
        <v>2.628638</v>
      </c>
      <c r="D48">
        <v>28.420582</v>
      </c>
      <c r="E48" t="s">
        <v>795</v>
      </c>
      <c r="F48" t="s">
        <v>796</v>
      </c>
    </row>
    <row r="49" spans="1:6" x14ac:dyDescent="0.25">
      <c r="A49" t="s">
        <v>845</v>
      </c>
      <c r="B49" t="s">
        <v>36</v>
      </c>
      <c r="C49">
        <v>-1.4695480000000001</v>
      </c>
      <c r="D49">
        <v>20.876676</v>
      </c>
      <c r="E49" t="s">
        <v>792</v>
      </c>
      <c r="F49" t="s">
        <v>793</v>
      </c>
    </row>
    <row r="50" spans="1:6" x14ac:dyDescent="0.25">
      <c r="A50" t="s">
        <v>846</v>
      </c>
      <c r="B50" t="s">
        <v>46</v>
      </c>
      <c r="C50">
        <v>3.7141999999999999</v>
      </c>
      <c r="D50">
        <v>28.547066999999998</v>
      </c>
      <c r="E50" t="s">
        <v>798</v>
      </c>
      <c r="F50" t="s">
        <v>799</v>
      </c>
    </row>
    <row r="51" spans="1:6" x14ac:dyDescent="0.25">
      <c r="A51" t="s">
        <v>847</v>
      </c>
      <c r="B51" t="s">
        <v>71</v>
      </c>
      <c r="C51">
        <v>-5.4073029999999997</v>
      </c>
      <c r="D51">
        <v>29.762294000000001</v>
      </c>
      <c r="E51" t="s">
        <v>798</v>
      </c>
      <c r="F51" t="s">
        <v>793</v>
      </c>
    </row>
    <row r="52" spans="1:6" x14ac:dyDescent="0.25">
      <c r="A52" t="s">
        <v>848</v>
      </c>
      <c r="B52" t="s">
        <v>40</v>
      </c>
      <c r="C52">
        <v>-3.6233270000000002</v>
      </c>
      <c r="D52">
        <v>25.915645999999999</v>
      </c>
      <c r="E52" t="s">
        <v>798</v>
      </c>
      <c r="F52" t="s">
        <v>796</v>
      </c>
    </row>
    <row r="53" spans="1:6" x14ac:dyDescent="0.25">
      <c r="A53" t="s">
        <v>849</v>
      </c>
      <c r="B53" t="s">
        <v>42</v>
      </c>
      <c r="C53">
        <v>-8.4403710000000007</v>
      </c>
      <c r="D53">
        <v>17.231165000000001</v>
      </c>
      <c r="E53" t="s">
        <v>795</v>
      </c>
      <c r="F53" t="s">
        <v>796</v>
      </c>
    </row>
    <row r="54" spans="1:6" x14ac:dyDescent="0.25">
      <c r="A54" t="s">
        <v>850</v>
      </c>
      <c r="B54" t="s">
        <v>8</v>
      </c>
      <c r="C54">
        <v>-1.50664</v>
      </c>
      <c r="D54">
        <v>27.795642000000001</v>
      </c>
      <c r="E54" t="s">
        <v>792</v>
      </c>
      <c r="F54" t="s">
        <v>799</v>
      </c>
    </row>
    <row r="55" spans="1:6" x14ac:dyDescent="0.25">
      <c r="A55" t="s">
        <v>851</v>
      </c>
      <c r="B55" t="s">
        <v>46</v>
      </c>
      <c r="C55">
        <v>-9.4229749999999992</v>
      </c>
      <c r="D55">
        <v>29.375005999999999</v>
      </c>
      <c r="E55" t="s">
        <v>798</v>
      </c>
      <c r="F55" t="s">
        <v>793</v>
      </c>
    </row>
    <row r="56" spans="1:6" x14ac:dyDescent="0.25">
      <c r="A56" t="s">
        <v>852</v>
      </c>
      <c r="B56" t="s">
        <v>17</v>
      </c>
      <c r="C56">
        <v>2.975352</v>
      </c>
      <c r="D56">
        <v>22.535886000000001</v>
      </c>
      <c r="E56" t="s">
        <v>795</v>
      </c>
      <c r="F56" t="s">
        <v>796</v>
      </c>
    </row>
    <row r="57" spans="1:6" x14ac:dyDescent="0.25">
      <c r="A57" t="s">
        <v>853</v>
      </c>
      <c r="B57" t="s">
        <v>30</v>
      </c>
      <c r="C57">
        <v>2.5458379999999998</v>
      </c>
      <c r="D57">
        <v>13.308655</v>
      </c>
      <c r="E57" t="s">
        <v>792</v>
      </c>
      <c r="F57" t="s">
        <v>799</v>
      </c>
    </row>
    <row r="58" spans="1:6" x14ac:dyDescent="0.25">
      <c r="A58" t="s">
        <v>854</v>
      </c>
      <c r="B58" t="s">
        <v>64</v>
      </c>
      <c r="C58">
        <v>-9.0798120000000004</v>
      </c>
      <c r="D58">
        <v>14.945484</v>
      </c>
      <c r="E58" t="s">
        <v>792</v>
      </c>
      <c r="F58" t="s">
        <v>793</v>
      </c>
    </row>
    <row r="59" spans="1:6" x14ac:dyDescent="0.25">
      <c r="A59" t="s">
        <v>855</v>
      </c>
      <c r="B59" t="s">
        <v>158</v>
      </c>
      <c r="C59">
        <v>-10.967288</v>
      </c>
      <c r="D59">
        <v>17.617781000000001</v>
      </c>
      <c r="E59" t="s">
        <v>795</v>
      </c>
      <c r="F59" t="s">
        <v>793</v>
      </c>
    </row>
    <row r="60" spans="1:6" x14ac:dyDescent="0.25">
      <c r="A60" t="s">
        <v>856</v>
      </c>
      <c r="B60" t="s">
        <v>59</v>
      </c>
      <c r="C60">
        <v>-1.607639</v>
      </c>
      <c r="D60">
        <v>17.003636</v>
      </c>
      <c r="E60" t="s">
        <v>795</v>
      </c>
      <c r="F60" t="s">
        <v>793</v>
      </c>
    </row>
    <row r="61" spans="1:6" x14ac:dyDescent="0.25">
      <c r="A61" t="s">
        <v>857</v>
      </c>
      <c r="B61" t="s">
        <v>17</v>
      </c>
      <c r="C61">
        <v>-7.1587569999999996</v>
      </c>
      <c r="D61">
        <v>18.975141000000001</v>
      </c>
      <c r="E61" t="s">
        <v>792</v>
      </c>
      <c r="F61" t="s">
        <v>793</v>
      </c>
    </row>
    <row r="62" spans="1:6" x14ac:dyDescent="0.25">
      <c r="A62" t="s">
        <v>858</v>
      </c>
      <c r="B62" t="s">
        <v>36</v>
      </c>
      <c r="C62">
        <v>-9.9875139999999991</v>
      </c>
      <c r="D62">
        <v>12.013676999999999</v>
      </c>
      <c r="E62" t="s">
        <v>798</v>
      </c>
      <c r="F62" t="s">
        <v>799</v>
      </c>
    </row>
    <row r="63" spans="1:6" x14ac:dyDescent="0.25">
      <c r="A63" t="s">
        <v>859</v>
      </c>
      <c r="B63" t="s">
        <v>158</v>
      </c>
      <c r="C63">
        <v>-8.0301989999999996</v>
      </c>
      <c r="D63">
        <v>24.122495000000001</v>
      </c>
      <c r="E63" t="s">
        <v>792</v>
      </c>
      <c r="F63" t="s">
        <v>799</v>
      </c>
    </row>
    <row r="64" spans="1:6" x14ac:dyDescent="0.25">
      <c r="A64" t="s">
        <v>860</v>
      </c>
      <c r="B64" t="s">
        <v>34</v>
      </c>
      <c r="C64">
        <v>-10.846306999999999</v>
      </c>
      <c r="D64">
        <v>19.201827999999999</v>
      </c>
      <c r="E64" t="s">
        <v>795</v>
      </c>
      <c r="F64" t="s">
        <v>793</v>
      </c>
    </row>
    <row r="65" spans="1:6" x14ac:dyDescent="0.25">
      <c r="A65" t="s">
        <v>861</v>
      </c>
      <c r="B65" t="s">
        <v>64</v>
      </c>
      <c r="C65">
        <v>1.204588</v>
      </c>
      <c r="D65">
        <v>15.525152</v>
      </c>
      <c r="E65" t="s">
        <v>792</v>
      </c>
      <c r="F65" t="s">
        <v>796</v>
      </c>
    </row>
    <row r="66" spans="1:6" x14ac:dyDescent="0.25">
      <c r="A66" t="s">
        <v>862</v>
      </c>
      <c r="B66" t="s">
        <v>61</v>
      </c>
      <c r="C66">
        <v>-12.839263000000001</v>
      </c>
      <c r="D66">
        <v>12.355677</v>
      </c>
      <c r="E66" t="s">
        <v>798</v>
      </c>
      <c r="F66" t="s">
        <v>796</v>
      </c>
    </row>
    <row r="67" spans="1:6" x14ac:dyDescent="0.25">
      <c r="A67" t="s">
        <v>863</v>
      </c>
      <c r="B67" t="s">
        <v>24</v>
      </c>
      <c r="C67">
        <v>-12.244119</v>
      </c>
      <c r="D67">
        <v>28.279755999999999</v>
      </c>
      <c r="E67" t="s">
        <v>792</v>
      </c>
      <c r="F67" t="s">
        <v>799</v>
      </c>
    </row>
    <row r="68" spans="1:6" x14ac:dyDescent="0.25">
      <c r="A68" t="s">
        <v>864</v>
      </c>
      <c r="B68" t="s">
        <v>44</v>
      </c>
      <c r="C68">
        <v>1.102554</v>
      </c>
      <c r="D68">
        <v>26.744315</v>
      </c>
      <c r="E68" t="s">
        <v>798</v>
      </c>
      <c r="F68" t="s">
        <v>793</v>
      </c>
    </row>
    <row r="69" spans="1:6" x14ac:dyDescent="0.25">
      <c r="A69" t="s">
        <v>865</v>
      </c>
      <c r="B69" t="s">
        <v>48</v>
      </c>
      <c r="C69">
        <v>-4.4451280000000004</v>
      </c>
      <c r="D69">
        <v>16.536944999999999</v>
      </c>
      <c r="E69" t="s">
        <v>795</v>
      </c>
      <c r="F69" t="s">
        <v>793</v>
      </c>
    </row>
    <row r="70" spans="1:6" x14ac:dyDescent="0.25">
      <c r="A70" t="s">
        <v>866</v>
      </c>
      <c r="B70" t="s">
        <v>36</v>
      </c>
      <c r="C70">
        <v>-2.2681789999999999</v>
      </c>
      <c r="D70">
        <v>25.699068</v>
      </c>
      <c r="E70" t="s">
        <v>798</v>
      </c>
      <c r="F70" t="s">
        <v>799</v>
      </c>
    </row>
    <row r="71" spans="1:6" x14ac:dyDescent="0.25">
      <c r="A71" t="s">
        <v>867</v>
      </c>
      <c r="B71" t="s">
        <v>34</v>
      </c>
      <c r="C71">
        <v>-6.3148239999999998</v>
      </c>
      <c r="D71">
        <v>24.507498999999999</v>
      </c>
      <c r="E71" t="s">
        <v>798</v>
      </c>
      <c r="F71" t="s">
        <v>799</v>
      </c>
    </row>
    <row r="72" spans="1:6" x14ac:dyDescent="0.25">
      <c r="A72" t="s">
        <v>868</v>
      </c>
      <c r="B72" t="s">
        <v>99</v>
      </c>
      <c r="C72">
        <v>-11.389362</v>
      </c>
      <c r="D72">
        <v>22.240174</v>
      </c>
      <c r="E72" t="s">
        <v>792</v>
      </c>
      <c r="F72" t="s">
        <v>799</v>
      </c>
    </row>
    <row r="73" spans="1:6" x14ac:dyDescent="0.25">
      <c r="A73" t="s">
        <v>869</v>
      </c>
      <c r="B73" t="s">
        <v>11</v>
      </c>
      <c r="C73">
        <v>-10.161428000000001</v>
      </c>
      <c r="D73">
        <v>19.362325999999999</v>
      </c>
      <c r="E73" t="s">
        <v>798</v>
      </c>
      <c r="F73" t="s">
        <v>809</v>
      </c>
    </row>
    <row r="74" spans="1:6" x14ac:dyDescent="0.25">
      <c r="A74" t="s">
        <v>870</v>
      </c>
      <c r="B74" t="s">
        <v>158</v>
      </c>
      <c r="C74">
        <v>-11.354772000000001</v>
      </c>
      <c r="D74">
        <v>21.957325999999998</v>
      </c>
      <c r="E74" t="s">
        <v>798</v>
      </c>
      <c r="F74" t="s">
        <v>809</v>
      </c>
    </row>
    <row r="75" spans="1:6" x14ac:dyDescent="0.25">
      <c r="A75" t="s">
        <v>871</v>
      </c>
      <c r="B75" t="s">
        <v>8</v>
      </c>
      <c r="C75">
        <v>-1.864393</v>
      </c>
      <c r="D75">
        <v>21.453434000000001</v>
      </c>
      <c r="E75" t="s">
        <v>792</v>
      </c>
      <c r="F75" t="s">
        <v>793</v>
      </c>
    </row>
    <row r="76" spans="1:6" x14ac:dyDescent="0.25">
      <c r="A76" t="s">
        <v>872</v>
      </c>
      <c r="B76" t="s">
        <v>71</v>
      </c>
      <c r="C76">
        <v>3.7552780000000001</v>
      </c>
      <c r="D76">
        <v>22.477888</v>
      </c>
      <c r="E76" t="s">
        <v>798</v>
      </c>
      <c r="F76" t="s">
        <v>809</v>
      </c>
    </row>
    <row r="77" spans="1:6" x14ac:dyDescent="0.25">
      <c r="A77" t="s">
        <v>873</v>
      </c>
      <c r="B77" t="s">
        <v>34</v>
      </c>
      <c r="C77">
        <v>4.9455159999999996</v>
      </c>
      <c r="D77">
        <v>23.647746000000001</v>
      </c>
      <c r="E77" t="s">
        <v>792</v>
      </c>
      <c r="F77" t="s">
        <v>796</v>
      </c>
    </row>
    <row r="78" spans="1:6" x14ac:dyDescent="0.25">
      <c r="A78" t="s">
        <v>874</v>
      </c>
      <c r="B78" t="s">
        <v>158</v>
      </c>
      <c r="C78">
        <v>-1.7476179999999999</v>
      </c>
      <c r="D78">
        <v>18.129401000000001</v>
      </c>
      <c r="E78" t="s">
        <v>795</v>
      </c>
      <c r="F78" t="s">
        <v>793</v>
      </c>
    </row>
    <row r="79" spans="1:6" x14ac:dyDescent="0.25">
      <c r="A79" t="s">
        <v>875</v>
      </c>
      <c r="B79" t="s">
        <v>42</v>
      </c>
      <c r="C79">
        <v>-11.924048000000001</v>
      </c>
      <c r="D79">
        <v>24.177174999999998</v>
      </c>
      <c r="E79" t="s">
        <v>798</v>
      </c>
      <c r="F79" t="s">
        <v>809</v>
      </c>
    </row>
    <row r="80" spans="1:6" x14ac:dyDescent="0.25">
      <c r="A80" t="s">
        <v>876</v>
      </c>
      <c r="B80" t="s">
        <v>71</v>
      </c>
      <c r="C80">
        <v>-1.3976519999999999</v>
      </c>
      <c r="D80">
        <v>14.098819000000001</v>
      </c>
      <c r="E80" t="s">
        <v>798</v>
      </c>
      <c r="F80" t="s">
        <v>793</v>
      </c>
    </row>
    <row r="81" spans="1:6" x14ac:dyDescent="0.25">
      <c r="A81" t="s">
        <v>877</v>
      </c>
      <c r="B81" t="s">
        <v>20</v>
      </c>
      <c r="C81">
        <v>-0.37609300000000001</v>
      </c>
      <c r="D81">
        <v>21.940809999999999</v>
      </c>
      <c r="E81" t="s">
        <v>792</v>
      </c>
      <c r="F81" t="s">
        <v>796</v>
      </c>
    </row>
    <row r="82" spans="1:6" x14ac:dyDescent="0.25">
      <c r="A82" t="s">
        <v>878</v>
      </c>
      <c r="B82" t="s">
        <v>17</v>
      </c>
      <c r="C82">
        <v>1.2463919999999999</v>
      </c>
      <c r="D82">
        <v>13.266916999999999</v>
      </c>
      <c r="E82" t="s">
        <v>792</v>
      </c>
      <c r="F82" t="s">
        <v>796</v>
      </c>
    </row>
    <row r="83" spans="1:6" x14ac:dyDescent="0.25">
      <c r="A83" t="s">
        <v>879</v>
      </c>
      <c r="B83" t="s">
        <v>48</v>
      </c>
      <c r="C83">
        <v>-10.735106</v>
      </c>
      <c r="D83">
        <v>27.868673999999999</v>
      </c>
      <c r="E83" t="s">
        <v>798</v>
      </c>
      <c r="F83" t="s">
        <v>793</v>
      </c>
    </row>
    <row r="84" spans="1:6" x14ac:dyDescent="0.25">
      <c r="A84" t="s">
        <v>880</v>
      </c>
      <c r="B84" t="s">
        <v>42</v>
      </c>
      <c r="C84">
        <v>-8.8118569999999998</v>
      </c>
      <c r="D84">
        <v>14.465711000000001</v>
      </c>
      <c r="E84" t="s">
        <v>792</v>
      </c>
      <c r="F84" t="s">
        <v>809</v>
      </c>
    </row>
    <row r="85" spans="1:6" x14ac:dyDescent="0.25">
      <c r="A85" t="s">
        <v>881</v>
      </c>
      <c r="B85" t="s">
        <v>20</v>
      </c>
      <c r="C85">
        <v>4.6701629999999996</v>
      </c>
      <c r="D85">
        <v>28.596363</v>
      </c>
      <c r="E85" t="s">
        <v>792</v>
      </c>
      <c r="F85" t="s">
        <v>793</v>
      </c>
    </row>
    <row r="86" spans="1:6" x14ac:dyDescent="0.25">
      <c r="A86" t="s">
        <v>882</v>
      </c>
      <c r="B86" t="s">
        <v>158</v>
      </c>
      <c r="C86">
        <v>1.194113</v>
      </c>
      <c r="D86">
        <v>15.839502</v>
      </c>
      <c r="E86" t="s">
        <v>798</v>
      </c>
      <c r="F86" t="s">
        <v>796</v>
      </c>
    </row>
    <row r="87" spans="1:6" x14ac:dyDescent="0.25">
      <c r="A87" t="s">
        <v>883</v>
      </c>
      <c r="B87" t="s">
        <v>11</v>
      </c>
      <c r="C87">
        <v>0.62055499999999997</v>
      </c>
      <c r="D87">
        <v>21.222035000000002</v>
      </c>
      <c r="E87" t="s">
        <v>792</v>
      </c>
      <c r="F87" t="s">
        <v>809</v>
      </c>
    </row>
    <row r="88" spans="1:6" x14ac:dyDescent="0.25">
      <c r="A88" t="s">
        <v>884</v>
      </c>
      <c r="B88" t="s">
        <v>67</v>
      </c>
      <c r="C88">
        <v>1.499457</v>
      </c>
      <c r="D88">
        <v>13.876317999999999</v>
      </c>
      <c r="E88" t="s">
        <v>792</v>
      </c>
      <c r="F88" t="s">
        <v>809</v>
      </c>
    </row>
    <row r="89" spans="1:6" x14ac:dyDescent="0.25">
      <c r="A89" t="s">
        <v>885</v>
      </c>
      <c r="B89" t="s">
        <v>26</v>
      </c>
      <c r="C89">
        <v>-5.1030600000000002</v>
      </c>
      <c r="D89">
        <v>22.849231</v>
      </c>
      <c r="E89" t="s">
        <v>792</v>
      </c>
      <c r="F89" t="s">
        <v>799</v>
      </c>
    </row>
    <row r="90" spans="1:6" x14ac:dyDescent="0.25">
      <c r="A90" t="s">
        <v>886</v>
      </c>
      <c r="B90" t="s">
        <v>48</v>
      </c>
      <c r="C90">
        <v>-9.5266249999999992</v>
      </c>
      <c r="D90">
        <v>27.889690999999999</v>
      </c>
      <c r="E90" t="s">
        <v>795</v>
      </c>
      <c r="F90" t="s">
        <v>793</v>
      </c>
    </row>
    <row r="91" spans="1:6" x14ac:dyDescent="0.25">
      <c r="A91" t="s">
        <v>887</v>
      </c>
      <c r="B91" t="s">
        <v>24</v>
      </c>
      <c r="C91">
        <v>-0.59350000000000003</v>
      </c>
      <c r="D91">
        <v>24.500503999999999</v>
      </c>
      <c r="E91" t="s">
        <v>792</v>
      </c>
      <c r="F91" t="s">
        <v>796</v>
      </c>
    </row>
    <row r="92" spans="1:6" x14ac:dyDescent="0.25">
      <c r="A92" t="s">
        <v>888</v>
      </c>
      <c r="B92" t="s">
        <v>34</v>
      </c>
      <c r="C92">
        <v>-6.5529849999999996</v>
      </c>
      <c r="D92">
        <v>21.990606</v>
      </c>
      <c r="E92" t="s">
        <v>798</v>
      </c>
      <c r="F92" t="s">
        <v>796</v>
      </c>
    </row>
    <row r="93" spans="1:6" x14ac:dyDescent="0.25">
      <c r="A93" t="s">
        <v>889</v>
      </c>
      <c r="B93" t="s">
        <v>26</v>
      </c>
      <c r="C93">
        <v>-10.574821</v>
      </c>
      <c r="D93">
        <v>25.324966</v>
      </c>
      <c r="E93" t="s">
        <v>792</v>
      </c>
      <c r="F93" t="s">
        <v>793</v>
      </c>
    </row>
    <row r="94" spans="1:6" x14ac:dyDescent="0.25">
      <c r="A94" t="s">
        <v>890</v>
      </c>
      <c r="B94" t="s">
        <v>107</v>
      </c>
      <c r="C94">
        <v>3.175935</v>
      </c>
      <c r="D94">
        <v>16.862832000000001</v>
      </c>
      <c r="E94" t="s">
        <v>792</v>
      </c>
      <c r="F94" t="s">
        <v>793</v>
      </c>
    </row>
    <row r="95" spans="1:6" x14ac:dyDescent="0.25">
      <c r="A95" t="s">
        <v>891</v>
      </c>
      <c r="B95" t="s">
        <v>30</v>
      </c>
      <c r="C95">
        <v>-4.2645619999999997</v>
      </c>
      <c r="D95">
        <v>18.960726000000001</v>
      </c>
      <c r="E95" t="s">
        <v>795</v>
      </c>
      <c r="F95" t="s">
        <v>796</v>
      </c>
    </row>
    <row r="96" spans="1:6" x14ac:dyDescent="0.25">
      <c r="A96" t="s">
        <v>892</v>
      </c>
      <c r="B96" t="s">
        <v>44</v>
      </c>
      <c r="C96">
        <v>-5.125</v>
      </c>
      <c r="D96">
        <v>23.513119</v>
      </c>
      <c r="E96" t="s">
        <v>792</v>
      </c>
      <c r="F96" t="s">
        <v>796</v>
      </c>
    </row>
    <row r="97" spans="1:6" x14ac:dyDescent="0.25">
      <c r="A97" t="s">
        <v>893</v>
      </c>
      <c r="B97" t="s">
        <v>14</v>
      </c>
      <c r="C97">
        <v>-7.6951369999999999</v>
      </c>
      <c r="D97">
        <v>13.346605</v>
      </c>
      <c r="E97" t="s">
        <v>795</v>
      </c>
      <c r="F97" t="s">
        <v>793</v>
      </c>
    </row>
    <row r="98" spans="1:6" x14ac:dyDescent="0.25">
      <c r="A98" t="s">
        <v>894</v>
      </c>
      <c r="B98" t="s">
        <v>20</v>
      </c>
      <c r="C98">
        <v>-0.45332</v>
      </c>
      <c r="D98">
        <v>29.674009999999999</v>
      </c>
      <c r="E98" t="s">
        <v>792</v>
      </c>
      <c r="F98" t="s">
        <v>793</v>
      </c>
    </row>
    <row r="99" spans="1:6" x14ac:dyDescent="0.25">
      <c r="A99" t="s">
        <v>895</v>
      </c>
      <c r="B99" t="s">
        <v>17</v>
      </c>
      <c r="C99">
        <v>-9.5840350000000001</v>
      </c>
      <c r="D99">
        <v>15.966024000000001</v>
      </c>
      <c r="E99" t="s">
        <v>792</v>
      </c>
      <c r="F99" t="s">
        <v>809</v>
      </c>
    </row>
    <row r="100" spans="1:6" x14ac:dyDescent="0.25">
      <c r="A100" t="s">
        <v>896</v>
      </c>
      <c r="B100" t="s">
        <v>20</v>
      </c>
      <c r="C100">
        <v>-9.6407190000000007</v>
      </c>
      <c r="D100">
        <v>21.336704999999998</v>
      </c>
      <c r="E100" t="s">
        <v>795</v>
      </c>
      <c r="F100" t="s">
        <v>799</v>
      </c>
    </row>
    <row r="101" spans="1:6" x14ac:dyDescent="0.25">
      <c r="A101" t="s">
        <v>897</v>
      </c>
      <c r="B101" t="s">
        <v>61</v>
      </c>
      <c r="C101">
        <v>-6.7420359999999997</v>
      </c>
      <c r="D101">
        <v>28.905578999999999</v>
      </c>
      <c r="E101" t="s">
        <v>798</v>
      </c>
      <c r="F101" t="s">
        <v>796</v>
      </c>
    </row>
    <row r="102" spans="1:6" x14ac:dyDescent="0.25">
      <c r="A102" t="s">
        <v>898</v>
      </c>
      <c r="B102" t="s">
        <v>46</v>
      </c>
      <c r="C102">
        <v>0.16841400000000001</v>
      </c>
      <c r="D102">
        <v>30.029876999999999</v>
      </c>
      <c r="E102" t="s">
        <v>792</v>
      </c>
      <c r="F102" t="s">
        <v>796</v>
      </c>
    </row>
    <row r="103" spans="1:6" x14ac:dyDescent="0.25">
      <c r="A103" t="s">
        <v>899</v>
      </c>
      <c r="B103" t="s">
        <v>24</v>
      </c>
      <c r="C103">
        <v>-5.9281110000000004</v>
      </c>
      <c r="D103">
        <v>29.607863999999999</v>
      </c>
      <c r="E103" t="s">
        <v>795</v>
      </c>
      <c r="F103" t="s">
        <v>796</v>
      </c>
    </row>
    <row r="104" spans="1:6" x14ac:dyDescent="0.25">
      <c r="A104" t="s">
        <v>900</v>
      </c>
      <c r="B104" t="s">
        <v>44</v>
      </c>
      <c r="C104">
        <v>-4.9789079999999997</v>
      </c>
      <c r="D104">
        <v>28.506295000000001</v>
      </c>
      <c r="E104" t="s">
        <v>795</v>
      </c>
      <c r="F104" t="s">
        <v>796</v>
      </c>
    </row>
    <row r="105" spans="1:6" x14ac:dyDescent="0.25">
      <c r="A105" t="s">
        <v>901</v>
      </c>
      <c r="B105" t="s">
        <v>24</v>
      </c>
      <c r="C105">
        <v>-2.2876210000000001</v>
      </c>
      <c r="D105">
        <v>27.582545</v>
      </c>
      <c r="E105" t="s">
        <v>795</v>
      </c>
      <c r="F105" t="s">
        <v>796</v>
      </c>
    </row>
    <row r="106" spans="1:6" x14ac:dyDescent="0.25">
      <c r="A106" t="s">
        <v>902</v>
      </c>
      <c r="B106" t="s">
        <v>8</v>
      </c>
      <c r="C106">
        <v>-3.9148719999999999</v>
      </c>
      <c r="D106">
        <v>12.260933</v>
      </c>
      <c r="E106" t="s">
        <v>795</v>
      </c>
      <c r="F106" t="s">
        <v>793</v>
      </c>
    </row>
    <row r="107" spans="1:6" x14ac:dyDescent="0.25">
      <c r="A107" t="s">
        <v>903</v>
      </c>
      <c r="B107" t="s">
        <v>8</v>
      </c>
      <c r="C107">
        <v>-9.002459</v>
      </c>
      <c r="D107">
        <v>25.182109000000001</v>
      </c>
      <c r="E107" t="s">
        <v>792</v>
      </c>
      <c r="F107" t="s">
        <v>796</v>
      </c>
    </row>
    <row r="108" spans="1:6" x14ac:dyDescent="0.25">
      <c r="A108" t="s">
        <v>904</v>
      </c>
      <c r="B108" t="s">
        <v>74</v>
      </c>
      <c r="C108">
        <v>-7.7839049999999999</v>
      </c>
      <c r="D108">
        <v>14.114281999999999</v>
      </c>
      <c r="E108" t="s">
        <v>798</v>
      </c>
      <c r="F108" t="s">
        <v>799</v>
      </c>
    </row>
    <row r="109" spans="1:6" x14ac:dyDescent="0.25">
      <c r="A109" t="s">
        <v>905</v>
      </c>
      <c r="B109" t="s">
        <v>11</v>
      </c>
      <c r="C109">
        <v>-5.9021970000000001</v>
      </c>
      <c r="D109">
        <v>20.551169999999999</v>
      </c>
      <c r="E109" t="s">
        <v>798</v>
      </c>
      <c r="F109" t="s">
        <v>796</v>
      </c>
    </row>
    <row r="110" spans="1:6" x14ac:dyDescent="0.25">
      <c r="A110" t="s">
        <v>906</v>
      </c>
      <c r="B110" t="s">
        <v>50</v>
      </c>
      <c r="C110">
        <v>-10.620597</v>
      </c>
      <c r="D110">
        <v>12.432214</v>
      </c>
      <c r="E110" t="s">
        <v>795</v>
      </c>
      <c r="F110" t="s">
        <v>796</v>
      </c>
    </row>
    <row r="111" spans="1:6" x14ac:dyDescent="0.25">
      <c r="A111" t="s">
        <v>907</v>
      </c>
      <c r="B111" t="s">
        <v>14</v>
      </c>
      <c r="C111">
        <v>-11.514188000000001</v>
      </c>
      <c r="D111">
        <v>15.971181</v>
      </c>
      <c r="E111" t="s">
        <v>792</v>
      </c>
      <c r="F111" t="s">
        <v>793</v>
      </c>
    </row>
    <row r="112" spans="1:6" x14ac:dyDescent="0.25">
      <c r="A112" t="s">
        <v>908</v>
      </c>
      <c r="B112" t="s">
        <v>107</v>
      </c>
      <c r="C112">
        <v>-2.7140689999999998</v>
      </c>
      <c r="D112">
        <v>22.222104000000002</v>
      </c>
      <c r="E112" t="s">
        <v>795</v>
      </c>
      <c r="F112" t="s">
        <v>809</v>
      </c>
    </row>
    <row r="113" spans="1:6" x14ac:dyDescent="0.25">
      <c r="A113" t="s">
        <v>909</v>
      </c>
      <c r="B113" t="s">
        <v>17</v>
      </c>
      <c r="C113">
        <v>-12.112399999999999</v>
      </c>
      <c r="D113">
        <v>15.872226</v>
      </c>
      <c r="E113" t="s">
        <v>795</v>
      </c>
      <c r="F113" t="s">
        <v>809</v>
      </c>
    </row>
    <row r="114" spans="1:6" x14ac:dyDescent="0.25">
      <c r="A114" t="s">
        <v>910</v>
      </c>
      <c r="B114" t="s">
        <v>20</v>
      </c>
      <c r="C114">
        <v>-5.8145569999999998</v>
      </c>
      <c r="D114">
        <v>21.942052</v>
      </c>
      <c r="E114" t="s">
        <v>792</v>
      </c>
      <c r="F114" t="s">
        <v>796</v>
      </c>
    </row>
    <row r="115" spans="1:6" x14ac:dyDescent="0.25">
      <c r="A115" t="s">
        <v>911</v>
      </c>
      <c r="B115" t="s">
        <v>46</v>
      </c>
      <c r="C115">
        <v>-11.468578000000001</v>
      </c>
      <c r="D115">
        <v>16.914501999999999</v>
      </c>
      <c r="E115" t="s">
        <v>795</v>
      </c>
      <c r="F115" t="s">
        <v>793</v>
      </c>
    </row>
    <row r="116" spans="1:6" x14ac:dyDescent="0.25">
      <c r="A116" t="s">
        <v>912</v>
      </c>
      <c r="B116" t="s">
        <v>74</v>
      </c>
      <c r="C116">
        <v>-3.967184</v>
      </c>
      <c r="D116">
        <v>21.177499999999998</v>
      </c>
      <c r="E116" t="s">
        <v>798</v>
      </c>
      <c r="F116" t="s">
        <v>796</v>
      </c>
    </row>
    <row r="117" spans="1:6" x14ac:dyDescent="0.25">
      <c r="A117" t="s">
        <v>913</v>
      </c>
      <c r="B117" t="s">
        <v>34</v>
      </c>
      <c r="C117">
        <v>0.92885200000000001</v>
      </c>
      <c r="D117">
        <v>25.868548000000001</v>
      </c>
      <c r="E117" t="s">
        <v>792</v>
      </c>
      <c r="F117" t="s">
        <v>809</v>
      </c>
    </row>
    <row r="118" spans="1:6" x14ac:dyDescent="0.25">
      <c r="A118" t="s">
        <v>914</v>
      </c>
      <c r="B118" t="s">
        <v>64</v>
      </c>
      <c r="C118">
        <v>-10.653247</v>
      </c>
      <c r="D118">
        <v>14.685601</v>
      </c>
      <c r="E118" t="s">
        <v>795</v>
      </c>
      <c r="F118" t="s">
        <v>793</v>
      </c>
    </row>
    <row r="119" spans="1:6" x14ac:dyDescent="0.25">
      <c r="A119" t="s">
        <v>915</v>
      </c>
      <c r="B119" t="s">
        <v>158</v>
      </c>
      <c r="C119">
        <v>-10.572326</v>
      </c>
      <c r="D119">
        <v>25.276349</v>
      </c>
      <c r="E119" t="s">
        <v>798</v>
      </c>
      <c r="F119" t="s">
        <v>799</v>
      </c>
    </row>
    <row r="120" spans="1:6" x14ac:dyDescent="0.25">
      <c r="A120" t="s">
        <v>916</v>
      </c>
      <c r="B120" t="s">
        <v>17</v>
      </c>
      <c r="C120">
        <v>-2.9326690000000002</v>
      </c>
      <c r="D120">
        <v>12.349382</v>
      </c>
      <c r="E120" t="s">
        <v>792</v>
      </c>
      <c r="F120" t="s">
        <v>799</v>
      </c>
    </row>
    <row r="121" spans="1:6" x14ac:dyDescent="0.25">
      <c r="A121" t="s">
        <v>917</v>
      </c>
      <c r="B121" t="s">
        <v>158</v>
      </c>
      <c r="C121">
        <v>-4.2184999999999997</v>
      </c>
      <c r="D121">
        <v>23.077093999999999</v>
      </c>
      <c r="E121" t="s">
        <v>795</v>
      </c>
      <c r="F121" t="s">
        <v>793</v>
      </c>
    </row>
    <row r="122" spans="1:6" x14ac:dyDescent="0.25">
      <c r="A122" t="s">
        <v>918</v>
      </c>
      <c r="B122" t="s">
        <v>30</v>
      </c>
      <c r="C122">
        <v>-1.259528</v>
      </c>
      <c r="D122">
        <v>24.607037999999999</v>
      </c>
      <c r="E122" t="s">
        <v>795</v>
      </c>
      <c r="F122" t="s">
        <v>799</v>
      </c>
    </row>
    <row r="123" spans="1:6" x14ac:dyDescent="0.25">
      <c r="A123" t="s">
        <v>919</v>
      </c>
      <c r="B123" t="s">
        <v>40</v>
      </c>
      <c r="C123">
        <v>-9.4702129999999993</v>
      </c>
      <c r="D123">
        <v>12.826158</v>
      </c>
      <c r="E123" t="s">
        <v>798</v>
      </c>
      <c r="F123" t="s">
        <v>793</v>
      </c>
    </row>
    <row r="124" spans="1:6" x14ac:dyDescent="0.25">
      <c r="A124" t="s">
        <v>920</v>
      </c>
      <c r="B124" t="s">
        <v>32</v>
      </c>
      <c r="C124">
        <v>-1.9120569999999999</v>
      </c>
      <c r="D124">
        <v>15.236072999999999</v>
      </c>
      <c r="E124" t="s">
        <v>792</v>
      </c>
      <c r="F124" t="s">
        <v>796</v>
      </c>
    </row>
    <row r="125" spans="1:6" x14ac:dyDescent="0.25">
      <c r="A125" t="s">
        <v>921</v>
      </c>
      <c r="B125" t="s">
        <v>32</v>
      </c>
      <c r="C125">
        <v>0.24202000000000001</v>
      </c>
      <c r="D125">
        <v>17.396256999999999</v>
      </c>
      <c r="E125" t="s">
        <v>795</v>
      </c>
      <c r="F125" t="s">
        <v>796</v>
      </c>
    </row>
    <row r="126" spans="1:6" x14ac:dyDescent="0.25">
      <c r="A126" t="s">
        <v>922</v>
      </c>
      <c r="B126" t="s">
        <v>11</v>
      </c>
      <c r="C126">
        <v>-8.5675749999999997</v>
      </c>
      <c r="D126">
        <v>26.994581</v>
      </c>
      <c r="E126" t="s">
        <v>798</v>
      </c>
      <c r="F126" t="s">
        <v>809</v>
      </c>
    </row>
    <row r="127" spans="1:6" x14ac:dyDescent="0.25">
      <c r="A127" t="s">
        <v>923</v>
      </c>
      <c r="B127" t="s">
        <v>158</v>
      </c>
      <c r="C127">
        <v>-11.710407999999999</v>
      </c>
      <c r="D127">
        <v>23.741330999999999</v>
      </c>
      <c r="E127" t="s">
        <v>798</v>
      </c>
      <c r="F127" t="s">
        <v>796</v>
      </c>
    </row>
    <row r="128" spans="1:6" x14ac:dyDescent="0.25">
      <c r="A128" t="s">
        <v>924</v>
      </c>
      <c r="B128" t="s">
        <v>71</v>
      </c>
      <c r="C128">
        <v>0.98189400000000004</v>
      </c>
      <c r="D128">
        <v>13.008620000000001</v>
      </c>
      <c r="E128" t="s">
        <v>795</v>
      </c>
      <c r="F128" t="s">
        <v>796</v>
      </c>
    </row>
    <row r="129" spans="1:6" x14ac:dyDescent="0.25">
      <c r="A129" t="s">
        <v>925</v>
      </c>
      <c r="B129" t="s">
        <v>20</v>
      </c>
      <c r="C129">
        <v>-7.1785899999999998</v>
      </c>
      <c r="D129">
        <v>24.4404</v>
      </c>
      <c r="E129" t="s">
        <v>795</v>
      </c>
      <c r="F129" t="s">
        <v>809</v>
      </c>
    </row>
    <row r="130" spans="1:6" x14ac:dyDescent="0.25">
      <c r="A130" t="s">
        <v>926</v>
      </c>
      <c r="B130" t="s">
        <v>14</v>
      </c>
      <c r="C130">
        <v>3.6344850000000002</v>
      </c>
      <c r="D130">
        <v>12.158348999999999</v>
      </c>
      <c r="E130" t="s">
        <v>792</v>
      </c>
      <c r="F130" t="s">
        <v>793</v>
      </c>
    </row>
    <row r="131" spans="1:6" x14ac:dyDescent="0.25">
      <c r="A131" t="s">
        <v>927</v>
      </c>
      <c r="B131" t="s">
        <v>50</v>
      </c>
      <c r="C131">
        <v>-11.387295999999999</v>
      </c>
      <c r="D131">
        <v>19.384257999999999</v>
      </c>
      <c r="E131" t="s">
        <v>798</v>
      </c>
      <c r="F131" t="s">
        <v>796</v>
      </c>
    </row>
    <row r="132" spans="1:6" x14ac:dyDescent="0.25">
      <c r="A132" t="s">
        <v>928</v>
      </c>
      <c r="B132" t="s">
        <v>99</v>
      </c>
      <c r="C132">
        <v>-0.90854400000000002</v>
      </c>
      <c r="D132">
        <v>17.154896999999998</v>
      </c>
      <c r="E132" t="s">
        <v>798</v>
      </c>
      <c r="F132" t="s">
        <v>796</v>
      </c>
    </row>
    <row r="133" spans="1:6" x14ac:dyDescent="0.25">
      <c r="A133" t="s">
        <v>929</v>
      </c>
      <c r="B133" t="s">
        <v>14</v>
      </c>
      <c r="C133">
        <v>-5.3762689999999997</v>
      </c>
      <c r="D133">
        <v>28.189575999999999</v>
      </c>
      <c r="E133" t="s">
        <v>792</v>
      </c>
      <c r="F133" t="s">
        <v>796</v>
      </c>
    </row>
    <row r="134" spans="1:6" x14ac:dyDescent="0.25">
      <c r="A134" t="s">
        <v>930</v>
      </c>
      <c r="B134" t="s">
        <v>158</v>
      </c>
      <c r="C134">
        <v>-6.7304589999999997</v>
      </c>
      <c r="D134">
        <v>24.541906999999998</v>
      </c>
      <c r="E134" t="s">
        <v>795</v>
      </c>
      <c r="F134" t="s">
        <v>809</v>
      </c>
    </row>
    <row r="135" spans="1:6" x14ac:dyDescent="0.25">
      <c r="A135" t="s">
        <v>931</v>
      </c>
      <c r="B135" t="s">
        <v>14</v>
      </c>
      <c r="C135">
        <v>-7.2267089999999996</v>
      </c>
      <c r="D135">
        <v>28.421362999999999</v>
      </c>
      <c r="E135" t="s">
        <v>792</v>
      </c>
      <c r="F135" t="s">
        <v>793</v>
      </c>
    </row>
    <row r="136" spans="1:6" x14ac:dyDescent="0.25">
      <c r="A136" t="s">
        <v>932</v>
      </c>
      <c r="B136" t="s">
        <v>34</v>
      </c>
      <c r="C136">
        <v>-2.3102109999999998</v>
      </c>
      <c r="D136">
        <v>12.362488000000001</v>
      </c>
      <c r="E136" t="s">
        <v>792</v>
      </c>
      <c r="F136" t="s">
        <v>809</v>
      </c>
    </row>
    <row r="137" spans="1:6" x14ac:dyDescent="0.25">
      <c r="A137" t="s">
        <v>933</v>
      </c>
      <c r="B137" t="s">
        <v>17</v>
      </c>
      <c r="C137">
        <v>-12.564277000000001</v>
      </c>
      <c r="D137">
        <v>28.480798</v>
      </c>
      <c r="E137" t="s">
        <v>792</v>
      </c>
      <c r="F137" t="s">
        <v>799</v>
      </c>
    </row>
    <row r="138" spans="1:6" x14ac:dyDescent="0.25">
      <c r="A138" t="s">
        <v>934</v>
      </c>
      <c r="B138" t="s">
        <v>107</v>
      </c>
      <c r="C138">
        <v>-7.513261</v>
      </c>
      <c r="D138">
        <v>24.338812000000001</v>
      </c>
      <c r="E138" t="s">
        <v>792</v>
      </c>
      <c r="F138" t="s">
        <v>796</v>
      </c>
    </row>
    <row r="139" spans="1:6" x14ac:dyDescent="0.25">
      <c r="A139" t="s">
        <v>935</v>
      </c>
      <c r="B139" t="s">
        <v>67</v>
      </c>
      <c r="C139">
        <v>4.7777349999999998</v>
      </c>
      <c r="D139">
        <v>16.392204</v>
      </c>
      <c r="E139" t="s">
        <v>792</v>
      </c>
      <c r="F139" t="s">
        <v>799</v>
      </c>
    </row>
    <row r="140" spans="1:6" x14ac:dyDescent="0.25">
      <c r="A140" t="s">
        <v>936</v>
      </c>
      <c r="B140" t="s">
        <v>17</v>
      </c>
      <c r="C140">
        <v>-1.9080220000000001</v>
      </c>
      <c r="D140">
        <v>19.233322999999999</v>
      </c>
      <c r="E140" t="s">
        <v>798</v>
      </c>
      <c r="F140" t="s">
        <v>793</v>
      </c>
    </row>
    <row r="141" spans="1:6" x14ac:dyDescent="0.25">
      <c r="A141" t="s">
        <v>937</v>
      </c>
      <c r="B141" t="s">
        <v>30</v>
      </c>
      <c r="C141">
        <v>4.8228650000000002</v>
      </c>
      <c r="D141">
        <v>30.555627000000001</v>
      </c>
      <c r="E141" t="s">
        <v>795</v>
      </c>
      <c r="F141" t="s">
        <v>796</v>
      </c>
    </row>
    <row r="142" spans="1:6" x14ac:dyDescent="0.25">
      <c r="A142" t="s">
        <v>938</v>
      </c>
      <c r="B142" t="s">
        <v>61</v>
      </c>
      <c r="C142">
        <v>-5.0402180000000003</v>
      </c>
      <c r="D142">
        <v>13.892471</v>
      </c>
      <c r="E142" t="s">
        <v>798</v>
      </c>
      <c r="F142" t="s">
        <v>799</v>
      </c>
    </row>
    <row r="143" spans="1:6" x14ac:dyDescent="0.25">
      <c r="A143" t="s">
        <v>939</v>
      </c>
      <c r="B143" t="s">
        <v>74</v>
      </c>
      <c r="C143">
        <v>-10.375266999999999</v>
      </c>
      <c r="D143">
        <v>17.993663000000002</v>
      </c>
      <c r="E143" t="s">
        <v>792</v>
      </c>
      <c r="F143" t="s">
        <v>799</v>
      </c>
    </row>
    <row r="144" spans="1:6" x14ac:dyDescent="0.25">
      <c r="A144" t="s">
        <v>940</v>
      </c>
      <c r="B144" t="s">
        <v>59</v>
      </c>
      <c r="C144">
        <v>-12.192204</v>
      </c>
      <c r="D144">
        <v>28.468682000000001</v>
      </c>
      <c r="E144" t="s">
        <v>798</v>
      </c>
      <c r="F144" t="s">
        <v>799</v>
      </c>
    </row>
    <row r="145" spans="1:6" x14ac:dyDescent="0.25">
      <c r="A145" t="s">
        <v>941</v>
      </c>
      <c r="B145" t="s">
        <v>30</v>
      </c>
      <c r="C145">
        <v>1.727095</v>
      </c>
      <c r="D145">
        <v>22.099651999999999</v>
      </c>
      <c r="E145" t="s">
        <v>795</v>
      </c>
      <c r="F145" t="s">
        <v>796</v>
      </c>
    </row>
    <row r="146" spans="1:6" x14ac:dyDescent="0.25">
      <c r="A146" t="s">
        <v>942</v>
      </c>
      <c r="B146" t="s">
        <v>67</v>
      </c>
      <c r="C146">
        <v>-9.4056660000000001</v>
      </c>
      <c r="D146">
        <v>15.541930000000001</v>
      </c>
      <c r="E146" t="s">
        <v>795</v>
      </c>
      <c r="F146" t="s">
        <v>796</v>
      </c>
    </row>
    <row r="147" spans="1:6" x14ac:dyDescent="0.25">
      <c r="A147" t="s">
        <v>943</v>
      </c>
      <c r="B147" t="s">
        <v>8</v>
      </c>
      <c r="C147">
        <v>-6.2712260000000004</v>
      </c>
      <c r="D147">
        <v>21.512366</v>
      </c>
      <c r="E147" t="s">
        <v>792</v>
      </c>
      <c r="F147" t="s">
        <v>796</v>
      </c>
    </row>
    <row r="148" spans="1:6" x14ac:dyDescent="0.25">
      <c r="A148" t="s">
        <v>944</v>
      </c>
      <c r="B148" t="s">
        <v>71</v>
      </c>
      <c r="C148">
        <v>0.639208</v>
      </c>
      <c r="D148">
        <v>20.701739</v>
      </c>
      <c r="E148" t="s">
        <v>795</v>
      </c>
      <c r="F148" t="s">
        <v>796</v>
      </c>
    </row>
    <row r="149" spans="1:6" x14ac:dyDescent="0.25">
      <c r="A149" t="s">
        <v>945</v>
      </c>
      <c r="B149" t="s">
        <v>59</v>
      </c>
      <c r="C149">
        <v>2.349755</v>
      </c>
      <c r="D149">
        <v>29.600649000000001</v>
      </c>
      <c r="E149" t="s">
        <v>795</v>
      </c>
      <c r="F149" t="s">
        <v>809</v>
      </c>
    </row>
    <row r="150" spans="1:6" x14ac:dyDescent="0.25">
      <c r="A150" t="s">
        <v>946</v>
      </c>
      <c r="B150" t="s">
        <v>17</v>
      </c>
      <c r="C150">
        <v>-10.977309</v>
      </c>
      <c r="D150">
        <v>12.408281000000001</v>
      </c>
      <c r="E150" t="s">
        <v>792</v>
      </c>
      <c r="F150" t="s">
        <v>799</v>
      </c>
    </row>
    <row r="151" spans="1:6" x14ac:dyDescent="0.25">
      <c r="A151" t="s">
        <v>947</v>
      </c>
      <c r="B151" t="s">
        <v>26</v>
      </c>
      <c r="C151">
        <v>-12.018316</v>
      </c>
      <c r="D151">
        <v>16.700451000000001</v>
      </c>
      <c r="E151" t="s">
        <v>798</v>
      </c>
      <c r="F151" t="s">
        <v>809</v>
      </c>
    </row>
    <row r="152" spans="1:6" x14ac:dyDescent="0.25">
      <c r="A152" t="s">
        <v>948</v>
      </c>
      <c r="B152" t="s">
        <v>71</v>
      </c>
      <c r="C152">
        <v>-1.648326</v>
      </c>
      <c r="D152">
        <v>25.528901999999999</v>
      </c>
      <c r="E152" t="s">
        <v>795</v>
      </c>
      <c r="F152" t="s">
        <v>796</v>
      </c>
    </row>
    <row r="153" spans="1:6" x14ac:dyDescent="0.25">
      <c r="A153" t="s">
        <v>949</v>
      </c>
      <c r="B153" t="s">
        <v>20</v>
      </c>
      <c r="C153">
        <v>-12.112682</v>
      </c>
      <c r="D153">
        <v>19.972052000000001</v>
      </c>
      <c r="E153" t="s">
        <v>795</v>
      </c>
      <c r="F153" t="s">
        <v>796</v>
      </c>
    </row>
    <row r="154" spans="1:6" x14ac:dyDescent="0.25">
      <c r="A154" t="s">
        <v>950</v>
      </c>
      <c r="B154" t="s">
        <v>26</v>
      </c>
      <c r="C154">
        <v>-7.7587710000000003</v>
      </c>
      <c r="D154">
        <v>17.880848</v>
      </c>
      <c r="E154" t="s">
        <v>798</v>
      </c>
      <c r="F154" t="s">
        <v>793</v>
      </c>
    </row>
    <row r="155" spans="1:6" x14ac:dyDescent="0.25">
      <c r="A155" t="s">
        <v>951</v>
      </c>
      <c r="B155" t="s">
        <v>48</v>
      </c>
      <c r="C155">
        <v>-5.8352820000000003</v>
      </c>
      <c r="D155">
        <v>26.603978000000001</v>
      </c>
      <c r="E155" t="s">
        <v>795</v>
      </c>
      <c r="F155" t="s">
        <v>796</v>
      </c>
    </row>
    <row r="156" spans="1:6" x14ac:dyDescent="0.25">
      <c r="A156" t="s">
        <v>952</v>
      </c>
      <c r="B156" t="s">
        <v>158</v>
      </c>
      <c r="C156">
        <v>-7.5180249999999997</v>
      </c>
      <c r="D156">
        <v>20.478905999999998</v>
      </c>
      <c r="E156" t="s">
        <v>792</v>
      </c>
      <c r="F156" t="s">
        <v>809</v>
      </c>
    </row>
    <row r="157" spans="1:6" x14ac:dyDescent="0.25">
      <c r="A157" t="s">
        <v>953</v>
      </c>
      <c r="B157" t="s">
        <v>48</v>
      </c>
      <c r="C157">
        <v>1.897178</v>
      </c>
      <c r="D157">
        <v>23.902604</v>
      </c>
      <c r="E157" t="s">
        <v>798</v>
      </c>
      <c r="F157" t="s">
        <v>809</v>
      </c>
    </row>
    <row r="158" spans="1:6" x14ac:dyDescent="0.25">
      <c r="A158" t="s">
        <v>954</v>
      </c>
      <c r="B158" t="s">
        <v>64</v>
      </c>
      <c r="C158">
        <v>-4.6957509999999996</v>
      </c>
      <c r="D158">
        <v>14.233525999999999</v>
      </c>
      <c r="E158" t="s">
        <v>795</v>
      </c>
      <c r="F158" t="s">
        <v>809</v>
      </c>
    </row>
    <row r="159" spans="1:6" x14ac:dyDescent="0.25">
      <c r="A159" t="s">
        <v>955</v>
      </c>
      <c r="B159" t="s">
        <v>44</v>
      </c>
      <c r="C159">
        <v>-5.3956809999999997</v>
      </c>
      <c r="D159">
        <v>14.49985</v>
      </c>
      <c r="E159" t="s">
        <v>795</v>
      </c>
      <c r="F159" t="s">
        <v>799</v>
      </c>
    </row>
    <row r="160" spans="1:6" x14ac:dyDescent="0.25">
      <c r="A160" t="s">
        <v>956</v>
      </c>
      <c r="B160" t="s">
        <v>42</v>
      </c>
      <c r="C160">
        <v>-1.9635830000000001</v>
      </c>
      <c r="D160">
        <v>15.854182</v>
      </c>
      <c r="E160" t="s">
        <v>798</v>
      </c>
      <c r="F160" t="s">
        <v>809</v>
      </c>
    </row>
    <row r="161" spans="1:6" x14ac:dyDescent="0.25">
      <c r="A161" t="s">
        <v>957</v>
      </c>
      <c r="B161" t="s">
        <v>50</v>
      </c>
      <c r="C161">
        <v>-12.01816</v>
      </c>
      <c r="D161">
        <v>23.828645999999999</v>
      </c>
      <c r="E161" t="s">
        <v>798</v>
      </c>
      <c r="F161" t="s">
        <v>796</v>
      </c>
    </row>
    <row r="162" spans="1:6" x14ac:dyDescent="0.25">
      <c r="A162" t="s">
        <v>958</v>
      </c>
      <c r="B162" t="s">
        <v>24</v>
      </c>
      <c r="C162">
        <v>-3.6945459999999999</v>
      </c>
      <c r="D162">
        <v>16.809108999999999</v>
      </c>
      <c r="E162" t="s">
        <v>792</v>
      </c>
      <c r="F162" t="s">
        <v>799</v>
      </c>
    </row>
    <row r="163" spans="1:6" x14ac:dyDescent="0.25">
      <c r="A163" t="s">
        <v>959</v>
      </c>
      <c r="B163" t="s">
        <v>8</v>
      </c>
      <c r="C163">
        <v>-10.439686999999999</v>
      </c>
      <c r="D163">
        <v>20.714210000000001</v>
      </c>
      <c r="E163" t="s">
        <v>795</v>
      </c>
      <c r="F163" t="s">
        <v>799</v>
      </c>
    </row>
    <row r="164" spans="1:6" x14ac:dyDescent="0.25">
      <c r="A164" t="s">
        <v>960</v>
      </c>
      <c r="B164" t="s">
        <v>30</v>
      </c>
      <c r="C164">
        <v>1.938083</v>
      </c>
      <c r="D164">
        <v>28.25281</v>
      </c>
      <c r="E164" t="s">
        <v>795</v>
      </c>
      <c r="F164" t="s">
        <v>809</v>
      </c>
    </row>
    <row r="165" spans="1:6" x14ac:dyDescent="0.25">
      <c r="A165" t="s">
        <v>961</v>
      </c>
      <c r="B165" t="s">
        <v>42</v>
      </c>
      <c r="C165">
        <v>-4.869434</v>
      </c>
      <c r="D165">
        <v>22.326522000000001</v>
      </c>
      <c r="E165" t="s">
        <v>792</v>
      </c>
      <c r="F165" t="s">
        <v>793</v>
      </c>
    </row>
    <row r="166" spans="1:6" x14ac:dyDescent="0.25">
      <c r="A166" t="s">
        <v>962</v>
      </c>
      <c r="B166" t="s">
        <v>71</v>
      </c>
      <c r="C166">
        <v>7.6420000000000004E-3</v>
      </c>
      <c r="D166">
        <v>12.109260000000001</v>
      </c>
      <c r="E166" t="s">
        <v>795</v>
      </c>
      <c r="F166" t="s">
        <v>793</v>
      </c>
    </row>
    <row r="167" spans="1:6" x14ac:dyDescent="0.25">
      <c r="A167" t="s">
        <v>963</v>
      </c>
      <c r="B167" t="s">
        <v>32</v>
      </c>
      <c r="C167">
        <v>-10.962911</v>
      </c>
      <c r="D167">
        <v>28.771355</v>
      </c>
      <c r="E167" t="s">
        <v>792</v>
      </c>
      <c r="F167" t="s">
        <v>796</v>
      </c>
    </row>
    <row r="168" spans="1:6" x14ac:dyDescent="0.25">
      <c r="A168" t="s">
        <v>964</v>
      </c>
      <c r="B168" t="s">
        <v>34</v>
      </c>
      <c r="C168">
        <v>1.017161</v>
      </c>
      <c r="D168">
        <v>16.519689</v>
      </c>
      <c r="E168" t="s">
        <v>798</v>
      </c>
      <c r="F168" t="s">
        <v>809</v>
      </c>
    </row>
    <row r="169" spans="1:6" x14ac:dyDescent="0.25">
      <c r="A169" t="s">
        <v>965</v>
      </c>
      <c r="B169" t="s">
        <v>158</v>
      </c>
      <c r="C169">
        <v>3.8811640000000001</v>
      </c>
      <c r="D169">
        <v>23.188383999999999</v>
      </c>
      <c r="E169" t="s">
        <v>792</v>
      </c>
      <c r="F169" t="s">
        <v>796</v>
      </c>
    </row>
    <row r="170" spans="1:6" x14ac:dyDescent="0.25">
      <c r="A170" t="s">
        <v>966</v>
      </c>
      <c r="B170" t="s">
        <v>17</v>
      </c>
      <c r="C170">
        <v>-0.469945</v>
      </c>
      <c r="D170">
        <v>21.038527999999999</v>
      </c>
      <c r="E170" t="s">
        <v>798</v>
      </c>
      <c r="F170" t="s">
        <v>793</v>
      </c>
    </row>
    <row r="171" spans="1:6" x14ac:dyDescent="0.25">
      <c r="A171" t="s">
        <v>967</v>
      </c>
      <c r="B171" t="s">
        <v>50</v>
      </c>
      <c r="C171">
        <v>-10.56448</v>
      </c>
      <c r="D171">
        <v>19.792876</v>
      </c>
      <c r="E171" t="s">
        <v>792</v>
      </c>
      <c r="F171" t="s">
        <v>793</v>
      </c>
    </row>
    <row r="172" spans="1:6" x14ac:dyDescent="0.25">
      <c r="A172" t="s">
        <v>968</v>
      </c>
      <c r="B172" t="s">
        <v>20</v>
      </c>
      <c r="C172">
        <v>-5.5559329999999996</v>
      </c>
      <c r="D172">
        <v>13.508692999999999</v>
      </c>
      <c r="E172" t="s">
        <v>798</v>
      </c>
      <c r="F172" t="s">
        <v>809</v>
      </c>
    </row>
    <row r="173" spans="1:6" x14ac:dyDescent="0.25">
      <c r="A173" t="s">
        <v>969</v>
      </c>
      <c r="B173" t="s">
        <v>34</v>
      </c>
      <c r="C173">
        <v>-4.884055</v>
      </c>
      <c r="D173">
        <v>23.40194</v>
      </c>
      <c r="E173" t="s">
        <v>798</v>
      </c>
      <c r="F173" t="s">
        <v>793</v>
      </c>
    </row>
    <row r="174" spans="1:6" x14ac:dyDescent="0.25">
      <c r="A174" t="s">
        <v>970</v>
      </c>
      <c r="B174" t="s">
        <v>20</v>
      </c>
      <c r="C174">
        <v>-9.7801860000000005</v>
      </c>
      <c r="D174">
        <v>16.649550000000001</v>
      </c>
      <c r="E174" t="s">
        <v>792</v>
      </c>
      <c r="F174" t="s">
        <v>793</v>
      </c>
    </row>
    <row r="175" spans="1:6" x14ac:dyDescent="0.25">
      <c r="A175" t="s">
        <v>971</v>
      </c>
      <c r="B175" t="s">
        <v>30</v>
      </c>
      <c r="C175">
        <v>-2.3743210000000001</v>
      </c>
      <c r="D175">
        <v>22.399491000000001</v>
      </c>
      <c r="E175" t="s">
        <v>792</v>
      </c>
      <c r="F175" t="s">
        <v>793</v>
      </c>
    </row>
    <row r="176" spans="1:6" x14ac:dyDescent="0.25">
      <c r="A176" t="s">
        <v>972</v>
      </c>
      <c r="B176" t="s">
        <v>34</v>
      </c>
      <c r="C176">
        <v>-0.17258100000000001</v>
      </c>
      <c r="D176">
        <v>23.775555000000001</v>
      </c>
      <c r="E176" t="s">
        <v>792</v>
      </c>
      <c r="F176" t="s">
        <v>809</v>
      </c>
    </row>
    <row r="177" spans="1:6" x14ac:dyDescent="0.25">
      <c r="A177" t="s">
        <v>973</v>
      </c>
      <c r="B177" t="s">
        <v>50</v>
      </c>
      <c r="C177">
        <v>-9.3652239999999995</v>
      </c>
      <c r="D177">
        <v>22.593423999999999</v>
      </c>
      <c r="E177" t="s">
        <v>792</v>
      </c>
      <c r="F177" t="s">
        <v>809</v>
      </c>
    </row>
    <row r="178" spans="1:6" x14ac:dyDescent="0.25">
      <c r="A178" t="s">
        <v>974</v>
      </c>
      <c r="B178" t="s">
        <v>20</v>
      </c>
      <c r="C178">
        <v>-4.8157019999999999</v>
      </c>
      <c r="D178">
        <v>27.679798000000002</v>
      </c>
      <c r="E178" t="s">
        <v>798</v>
      </c>
      <c r="F178" t="s">
        <v>793</v>
      </c>
    </row>
    <row r="179" spans="1:6" x14ac:dyDescent="0.25">
      <c r="A179" t="s">
        <v>975</v>
      </c>
      <c r="B179" t="s">
        <v>74</v>
      </c>
      <c r="C179">
        <v>-8.4985189999999999</v>
      </c>
      <c r="D179">
        <v>12.929456999999999</v>
      </c>
      <c r="E179" t="s">
        <v>795</v>
      </c>
      <c r="F179" t="s">
        <v>793</v>
      </c>
    </row>
    <row r="180" spans="1:6" x14ac:dyDescent="0.25">
      <c r="A180" t="s">
        <v>976</v>
      </c>
      <c r="B180" t="s">
        <v>50</v>
      </c>
      <c r="C180">
        <v>-0.54908599999999996</v>
      </c>
      <c r="D180">
        <v>14.816867</v>
      </c>
      <c r="E180" t="s">
        <v>792</v>
      </c>
      <c r="F180" t="s">
        <v>799</v>
      </c>
    </row>
    <row r="181" spans="1:6" x14ac:dyDescent="0.25">
      <c r="A181" t="s">
        <v>977</v>
      </c>
      <c r="B181" t="s">
        <v>61</v>
      </c>
      <c r="C181">
        <v>3.3289240000000002</v>
      </c>
      <c r="D181">
        <v>24.412261000000001</v>
      </c>
      <c r="E181" t="s">
        <v>792</v>
      </c>
      <c r="F181" t="s">
        <v>809</v>
      </c>
    </row>
    <row r="182" spans="1:6" x14ac:dyDescent="0.25">
      <c r="A182" t="s">
        <v>978</v>
      </c>
      <c r="B182" t="s">
        <v>67</v>
      </c>
      <c r="C182">
        <v>1.3367519999999999</v>
      </c>
      <c r="D182">
        <v>12.697699999999999</v>
      </c>
      <c r="E182" t="s">
        <v>792</v>
      </c>
      <c r="F182" t="s">
        <v>796</v>
      </c>
    </row>
    <row r="183" spans="1:6" x14ac:dyDescent="0.25">
      <c r="A183" t="s">
        <v>979</v>
      </c>
      <c r="B183" t="s">
        <v>14</v>
      </c>
      <c r="C183">
        <v>-6.9254999999999997E-2</v>
      </c>
      <c r="D183">
        <v>28.222756</v>
      </c>
      <c r="E183" t="s">
        <v>792</v>
      </c>
      <c r="F183" t="s">
        <v>796</v>
      </c>
    </row>
    <row r="184" spans="1:6" x14ac:dyDescent="0.25">
      <c r="A184" t="s">
        <v>980</v>
      </c>
      <c r="B184" t="s">
        <v>8</v>
      </c>
      <c r="C184">
        <v>-10.776204</v>
      </c>
      <c r="D184">
        <v>24.672934000000001</v>
      </c>
      <c r="E184" t="s">
        <v>795</v>
      </c>
      <c r="F184" t="s">
        <v>793</v>
      </c>
    </row>
    <row r="185" spans="1:6" x14ac:dyDescent="0.25">
      <c r="A185" t="s">
        <v>981</v>
      </c>
      <c r="B185" t="s">
        <v>46</v>
      </c>
      <c r="C185">
        <v>-10.945031</v>
      </c>
      <c r="D185">
        <v>27.922274000000002</v>
      </c>
      <c r="E185" t="s">
        <v>795</v>
      </c>
      <c r="F185" t="s">
        <v>793</v>
      </c>
    </row>
    <row r="186" spans="1:6" x14ac:dyDescent="0.25">
      <c r="A186" t="s">
        <v>982</v>
      </c>
      <c r="B186" t="s">
        <v>17</v>
      </c>
      <c r="C186">
        <v>-4.9108280000000004</v>
      </c>
      <c r="D186">
        <v>17.670389</v>
      </c>
      <c r="E186" t="s">
        <v>792</v>
      </c>
      <c r="F186" t="s">
        <v>799</v>
      </c>
    </row>
    <row r="187" spans="1:6" x14ac:dyDescent="0.25">
      <c r="A187" t="s">
        <v>983</v>
      </c>
      <c r="B187" t="s">
        <v>67</v>
      </c>
      <c r="C187">
        <v>-6.4670189999999996</v>
      </c>
      <c r="D187">
        <v>29.487309</v>
      </c>
      <c r="E187" t="s">
        <v>795</v>
      </c>
      <c r="F187" t="s">
        <v>799</v>
      </c>
    </row>
    <row r="188" spans="1:6" x14ac:dyDescent="0.25">
      <c r="A188" t="s">
        <v>984</v>
      </c>
      <c r="B188" t="s">
        <v>11</v>
      </c>
      <c r="C188">
        <v>-3.571288</v>
      </c>
      <c r="D188">
        <v>12.931596000000001</v>
      </c>
      <c r="E188" t="s">
        <v>795</v>
      </c>
      <c r="F188" t="s">
        <v>809</v>
      </c>
    </row>
    <row r="189" spans="1:6" x14ac:dyDescent="0.25">
      <c r="A189" t="s">
        <v>985</v>
      </c>
      <c r="B189" t="s">
        <v>42</v>
      </c>
      <c r="C189">
        <v>-6.0864269999999996</v>
      </c>
      <c r="D189">
        <v>19.922181999999999</v>
      </c>
      <c r="E189" t="s">
        <v>792</v>
      </c>
      <c r="F189" t="s">
        <v>796</v>
      </c>
    </row>
    <row r="190" spans="1:6" x14ac:dyDescent="0.25">
      <c r="A190" t="s">
        <v>986</v>
      </c>
      <c r="B190" t="s">
        <v>42</v>
      </c>
      <c r="C190">
        <v>1.2391989999999999</v>
      </c>
      <c r="D190">
        <v>15.386718999999999</v>
      </c>
      <c r="E190" t="s">
        <v>792</v>
      </c>
      <c r="F190" t="s">
        <v>799</v>
      </c>
    </row>
    <row r="191" spans="1:6" x14ac:dyDescent="0.25">
      <c r="A191" t="s">
        <v>987</v>
      </c>
      <c r="B191" t="s">
        <v>17</v>
      </c>
      <c r="C191">
        <v>-3.7900040000000002</v>
      </c>
      <c r="D191">
        <v>24.769718999999998</v>
      </c>
      <c r="E191" t="s">
        <v>792</v>
      </c>
      <c r="F191" t="s">
        <v>796</v>
      </c>
    </row>
    <row r="192" spans="1:6" x14ac:dyDescent="0.25">
      <c r="A192" t="s">
        <v>988</v>
      </c>
      <c r="B192" t="s">
        <v>71</v>
      </c>
      <c r="C192">
        <v>4.0955700000000004</v>
      </c>
      <c r="D192">
        <v>23.610704999999999</v>
      </c>
      <c r="E192" t="s">
        <v>795</v>
      </c>
      <c r="F192" t="s">
        <v>799</v>
      </c>
    </row>
    <row r="193" spans="1:6" x14ac:dyDescent="0.25">
      <c r="A193" t="s">
        <v>989</v>
      </c>
      <c r="B193" t="s">
        <v>67</v>
      </c>
      <c r="C193">
        <v>-6.1837850000000003</v>
      </c>
      <c r="D193">
        <v>25.138759</v>
      </c>
      <c r="E193" t="s">
        <v>798</v>
      </c>
      <c r="F193" t="s">
        <v>793</v>
      </c>
    </row>
    <row r="194" spans="1:6" x14ac:dyDescent="0.25">
      <c r="A194" t="s">
        <v>990</v>
      </c>
      <c r="B194" t="s">
        <v>61</v>
      </c>
      <c r="C194">
        <v>-6.1490739999999997</v>
      </c>
      <c r="D194">
        <v>23.304411000000002</v>
      </c>
      <c r="E194" t="s">
        <v>792</v>
      </c>
      <c r="F194" t="s">
        <v>799</v>
      </c>
    </row>
    <row r="195" spans="1:6" x14ac:dyDescent="0.25">
      <c r="A195" t="s">
        <v>991</v>
      </c>
      <c r="B195" t="s">
        <v>34</v>
      </c>
      <c r="C195">
        <v>0.82868600000000003</v>
      </c>
      <c r="D195">
        <v>26.958843999999999</v>
      </c>
      <c r="E195" t="s">
        <v>792</v>
      </c>
      <c r="F195" t="s">
        <v>799</v>
      </c>
    </row>
    <row r="196" spans="1:6" x14ac:dyDescent="0.25">
      <c r="A196" t="s">
        <v>992</v>
      </c>
      <c r="B196" t="s">
        <v>20</v>
      </c>
      <c r="C196">
        <v>3.42055</v>
      </c>
      <c r="D196">
        <v>15.370965999999999</v>
      </c>
      <c r="E196" t="s">
        <v>795</v>
      </c>
      <c r="F196" t="s">
        <v>809</v>
      </c>
    </row>
    <row r="197" spans="1:6" x14ac:dyDescent="0.25">
      <c r="A197" t="s">
        <v>993</v>
      </c>
      <c r="B197" t="s">
        <v>17</v>
      </c>
      <c r="C197">
        <v>-2.8211520000000001</v>
      </c>
      <c r="D197">
        <v>20.651419000000001</v>
      </c>
      <c r="E197" t="s">
        <v>792</v>
      </c>
      <c r="F197" t="s">
        <v>793</v>
      </c>
    </row>
    <row r="198" spans="1:6" x14ac:dyDescent="0.25">
      <c r="A198" t="s">
        <v>994</v>
      </c>
      <c r="B198" t="s">
        <v>61</v>
      </c>
      <c r="C198">
        <v>-1.1284540000000001</v>
      </c>
      <c r="D198">
        <v>23.000360000000001</v>
      </c>
      <c r="E198" t="s">
        <v>792</v>
      </c>
      <c r="F198" t="s">
        <v>793</v>
      </c>
    </row>
    <row r="199" spans="1:6" x14ac:dyDescent="0.25">
      <c r="A199" t="s">
        <v>995</v>
      </c>
      <c r="B199" t="s">
        <v>34</v>
      </c>
      <c r="C199">
        <v>-10.298385</v>
      </c>
      <c r="D199">
        <v>29.698117</v>
      </c>
      <c r="E199" t="s">
        <v>792</v>
      </c>
      <c r="F199" t="s">
        <v>809</v>
      </c>
    </row>
    <row r="200" spans="1:6" x14ac:dyDescent="0.25">
      <c r="A200" t="s">
        <v>996</v>
      </c>
      <c r="B200" t="s">
        <v>67</v>
      </c>
      <c r="C200">
        <v>2.6387339999999999</v>
      </c>
      <c r="D200">
        <v>13.769399</v>
      </c>
      <c r="E200" t="s">
        <v>795</v>
      </c>
      <c r="F200" t="s">
        <v>796</v>
      </c>
    </row>
    <row r="201" spans="1:6" x14ac:dyDescent="0.25">
      <c r="A201" t="s">
        <v>997</v>
      </c>
      <c r="B201" t="s">
        <v>158</v>
      </c>
      <c r="C201">
        <v>-9.7803979999999999</v>
      </c>
      <c r="D201">
        <v>17.686595000000001</v>
      </c>
      <c r="E201" t="s">
        <v>795</v>
      </c>
      <c r="F201" t="s">
        <v>793</v>
      </c>
    </row>
    <row r="202" spans="1:6" x14ac:dyDescent="0.25">
      <c r="A202" t="s">
        <v>998</v>
      </c>
      <c r="B202" t="s">
        <v>40</v>
      </c>
      <c r="C202">
        <v>-6.8779139999999996</v>
      </c>
      <c r="D202">
        <v>12.550860999999999</v>
      </c>
      <c r="E202" t="s">
        <v>792</v>
      </c>
      <c r="F202" t="s">
        <v>799</v>
      </c>
    </row>
    <row r="203" spans="1:6" x14ac:dyDescent="0.25">
      <c r="A203" t="s">
        <v>999</v>
      </c>
      <c r="B203" t="s">
        <v>64</v>
      </c>
      <c r="C203">
        <v>-4.2975050000000001</v>
      </c>
      <c r="D203">
        <v>29.162555999999999</v>
      </c>
      <c r="E203" t="s">
        <v>792</v>
      </c>
      <c r="F203" t="s">
        <v>793</v>
      </c>
    </row>
    <row r="204" spans="1:6" x14ac:dyDescent="0.25">
      <c r="A204" t="s">
        <v>1000</v>
      </c>
      <c r="B204" t="s">
        <v>59</v>
      </c>
      <c r="C204">
        <v>2.7298239999999998</v>
      </c>
      <c r="D204">
        <v>12.958664000000001</v>
      </c>
      <c r="E204" t="s">
        <v>798</v>
      </c>
      <c r="F204" t="s">
        <v>799</v>
      </c>
    </row>
    <row r="205" spans="1:6" x14ac:dyDescent="0.25">
      <c r="A205" t="s">
        <v>1001</v>
      </c>
      <c r="B205" t="s">
        <v>36</v>
      </c>
      <c r="C205">
        <v>-7.4135429999999998</v>
      </c>
      <c r="D205">
        <v>19.288392999999999</v>
      </c>
      <c r="E205" t="s">
        <v>795</v>
      </c>
      <c r="F205" t="s">
        <v>809</v>
      </c>
    </row>
    <row r="206" spans="1:6" x14ac:dyDescent="0.25">
      <c r="A206" t="s">
        <v>1002</v>
      </c>
      <c r="B206" t="s">
        <v>99</v>
      </c>
      <c r="C206">
        <v>-7.1079169999999996</v>
      </c>
      <c r="D206">
        <v>13.636272</v>
      </c>
      <c r="E206" t="s">
        <v>792</v>
      </c>
      <c r="F206" t="s">
        <v>809</v>
      </c>
    </row>
    <row r="207" spans="1:6" x14ac:dyDescent="0.25">
      <c r="A207" t="s">
        <v>1003</v>
      </c>
      <c r="B207" t="s">
        <v>30</v>
      </c>
      <c r="C207">
        <v>0.850665</v>
      </c>
      <c r="D207">
        <v>19.446418000000001</v>
      </c>
      <c r="E207" t="s">
        <v>795</v>
      </c>
      <c r="F207" t="s">
        <v>796</v>
      </c>
    </row>
    <row r="208" spans="1:6" x14ac:dyDescent="0.25">
      <c r="A208" t="s">
        <v>1004</v>
      </c>
      <c r="B208" t="s">
        <v>34</v>
      </c>
      <c r="C208">
        <v>-11.231472</v>
      </c>
      <c r="D208">
        <v>25.388874000000001</v>
      </c>
      <c r="E208" t="s">
        <v>795</v>
      </c>
      <c r="F208" t="s">
        <v>796</v>
      </c>
    </row>
    <row r="209" spans="1:6" x14ac:dyDescent="0.25">
      <c r="A209" t="s">
        <v>1005</v>
      </c>
      <c r="B209" t="s">
        <v>14</v>
      </c>
      <c r="C209">
        <v>4.6809229999999999</v>
      </c>
      <c r="D209">
        <v>28.934242000000001</v>
      </c>
      <c r="E209" t="s">
        <v>792</v>
      </c>
      <c r="F209" t="s">
        <v>809</v>
      </c>
    </row>
    <row r="210" spans="1:6" x14ac:dyDescent="0.25">
      <c r="A210" t="s">
        <v>1006</v>
      </c>
      <c r="B210" t="s">
        <v>61</v>
      </c>
      <c r="C210">
        <v>-3.7093609999999999</v>
      </c>
      <c r="D210">
        <v>23.959942999999999</v>
      </c>
      <c r="E210" t="s">
        <v>795</v>
      </c>
      <c r="F210" t="s">
        <v>796</v>
      </c>
    </row>
    <row r="211" spans="1:6" x14ac:dyDescent="0.25">
      <c r="A211" t="s">
        <v>1007</v>
      </c>
      <c r="B211" t="s">
        <v>44</v>
      </c>
      <c r="C211">
        <v>4.8689660000000003</v>
      </c>
      <c r="D211">
        <v>25.112373000000002</v>
      </c>
      <c r="E211" t="s">
        <v>798</v>
      </c>
      <c r="F211" t="s">
        <v>796</v>
      </c>
    </row>
    <row r="212" spans="1:6" x14ac:dyDescent="0.25">
      <c r="A212" t="s">
        <v>1008</v>
      </c>
      <c r="B212" t="s">
        <v>74</v>
      </c>
      <c r="C212">
        <v>-9.3066320000000005</v>
      </c>
      <c r="D212">
        <v>20.470889</v>
      </c>
      <c r="E212" t="s">
        <v>792</v>
      </c>
      <c r="F212" t="s">
        <v>799</v>
      </c>
    </row>
    <row r="213" spans="1:6" x14ac:dyDescent="0.25">
      <c r="A213" t="s">
        <v>1009</v>
      </c>
      <c r="B213" t="s">
        <v>50</v>
      </c>
      <c r="C213">
        <v>-12.342053999999999</v>
      </c>
      <c r="D213">
        <v>18.756862000000002</v>
      </c>
      <c r="E213" t="s">
        <v>798</v>
      </c>
      <c r="F213" t="s">
        <v>793</v>
      </c>
    </row>
    <row r="214" spans="1:6" x14ac:dyDescent="0.25">
      <c r="A214" t="s">
        <v>1010</v>
      </c>
      <c r="B214" t="s">
        <v>34</v>
      </c>
      <c r="C214">
        <v>-6.0234120000000004</v>
      </c>
      <c r="D214">
        <v>18.314309999999999</v>
      </c>
      <c r="E214" t="s">
        <v>792</v>
      </c>
      <c r="F214" t="s">
        <v>799</v>
      </c>
    </row>
    <row r="215" spans="1:6" x14ac:dyDescent="0.25">
      <c r="A215" t="s">
        <v>1011</v>
      </c>
      <c r="B215" t="s">
        <v>44</v>
      </c>
      <c r="C215">
        <v>2.5665840000000002</v>
      </c>
      <c r="D215">
        <v>15.764796</v>
      </c>
      <c r="E215" t="s">
        <v>798</v>
      </c>
      <c r="F215" t="s">
        <v>799</v>
      </c>
    </row>
    <row r="216" spans="1:6" x14ac:dyDescent="0.25">
      <c r="A216" t="s">
        <v>1012</v>
      </c>
      <c r="B216" t="s">
        <v>50</v>
      </c>
      <c r="C216">
        <v>-10.914952</v>
      </c>
      <c r="D216">
        <v>26.409648000000001</v>
      </c>
      <c r="E216" t="s">
        <v>795</v>
      </c>
      <c r="F216" t="s">
        <v>796</v>
      </c>
    </row>
    <row r="217" spans="1:6" x14ac:dyDescent="0.25">
      <c r="A217" t="s">
        <v>1013</v>
      </c>
      <c r="B217" t="s">
        <v>11</v>
      </c>
      <c r="C217">
        <v>-7.402336</v>
      </c>
      <c r="D217">
        <v>27.376697</v>
      </c>
      <c r="E217" t="s">
        <v>795</v>
      </c>
      <c r="F217" t="s">
        <v>796</v>
      </c>
    </row>
    <row r="218" spans="1:6" x14ac:dyDescent="0.25">
      <c r="A218" t="s">
        <v>1014</v>
      </c>
      <c r="B218" t="s">
        <v>46</v>
      </c>
      <c r="C218">
        <v>-12.207461</v>
      </c>
      <c r="D218">
        <v>13.492367</v>
      </c>
      <c r="E218" t="s">
        <v>798</v>
      </c>
      <c r="F218" t="s">
        <v>793</v>
      </c>
    </row>
    <row r="219" spans="1:6" x14ac:dyDescent="0.25">
      <c r="A219" t="s">
        <v>1015</v>
      </c>
      <c r="B219" t="s">
        <v>158</v>
      </c>
      <c r="C219">
        <v>2.266232</v>
      </c>
      <c r="D219">
        <v>29.532896000000001</v>
      </c>
      <c r="E219" t="s">
        <v>795</v>
      </c>
      <c r="F219" t="s">
        <v>793</v>
      </c>
    </row>
    <row r="220" spans="1:6" x14ac:dyDescent="0.25">
      <c r="A220" t="s">
        <v>1016</v>
      </c>
      <c r="B220" t="s">
        <v>107</v>
      </c>
      <c r="C220">
        <v>2.6937519999999999</v>
      </c>
      <c r="D220">
        <v>26.524137</v>
      </c>
      <c r="E220" t="s">
        <v>798</v>
      </c>
      <c r="F220" t="s">
        <v>793</v>
      </c>
    </row>
    <row r="221" spans="1:6" x14ac:dyDescent="0.25">
      <c r="A221" t="s">
        <v>1017</v>
      </c>
      <c r="B221" t="s">
        <v>8</v>
      </c>
      <c r="C221">
        <v>-7.0007840000000003</v>
      </c>
      <c r="D221">
        <v>22.787997000000001</v>
      </c>
      <c r="E221" t="s">
        <v>792</v>
      </c>
      <c r="F221" t="s">
        <v>799</v>
      </c>
    </row>
    <row r="222" spans="1:6" x14ac:dyDescent="0.25">
      <c r="A222" t="s">
        <v>1018</v>
      </c>
      <c r="B222" t="s">
        <v>30</v>
      </c>
      <c r="C222">
        <v>3.0053459999999999</v>
      </c>
      <c r="D222">
        <v>13.765407</v>
      </c>
      <c r="E222" t="s">
        <v>792</v>
      </c>
      <c r="F222" t="s">
        <v>793</v>
      </c>
    </row>
    <row r="223" spans="1:6" x14ac:dyDescent="0.25">
      <c r="A223" t="s">
        <v>1019</v>
      </c>
      <c r="B223" t="s">
        <v>8</v>
      </c>
      <c r="C223">
        <v>-11.144149000000001</v>
      </c>
      <c r="D223">
        <v>27.244658999999999</v>
      </c>
      <c r="E223" t="s">
        <v>795</v>
      </c>
      <c r="F223" t="s">
        <v>809</v>
      </c>
    </row>
    <row r="224" spans="1:6" x14ac:dyDescent="0.25">
      <c r="A224" t="s">
        <v>1020</v>
      </c>
      <c r="B224" t="s">
        <v>17</v>
      </c>
      <c r="C224">
        <v>0.79124300000000003</v>
      </c>
      <c r="D224">
        <v>25.273389000000002</v>
      </c>
      <c r="E224" t="s">
        <v>795</v>
      </c>
      <c r="F224" t="s">
        <v>809</v>
      </c>
    </row>
    <row r="225" spans="1:6" x14ac:dyDescent="0.25">
      <c r="A225" t="s">
        <v>1021</v>
      </c>
      <c r="B225" t="s">
        <v>36</v>
      </c>
      <c r="C225">
        <v>0.419985</v>
      </c>
      <c r="D225">
        <v>13.847996999999999</v>
      </c>
      <c r="E225" t="s">
        <v>792</v>
      </c>
      <c r="F225" t="s">
        <v>799</v>
      </c>
    </row>
    <row r="226" spans="1:6" x14ac:dyDescent="0.25">
      <c r="A226" t="s">
        <v>1022</v>
      </c>
      <c r="B226" t="s">
        <v>32</v>
      </c>
      <c r="C226">
        <v>-12.595355</v>
      </c>
      <c r="D226">
        <v>17.897442000000002</v>
      </c>
      <c r="E226" t="s">
        <v>795</v>
      </c>
      <c r="F226" t="s">
        <v>796</v>
      </c>
    </row>
    <row r="227" spans="1:6" x14ac:dyDescent="0.25">
      <c r="A227" t="s">
        <v>1023</v>
      </c>
      <c r="B227" t="s">
        <v>64</v>
      </c>
      <c r="C227">
        <v>0.65288900000000005</v>
      </c>
      <c r="D227">
        <v>24.243953999999999</v>
      </c>
      <c r="E227" t="s">
        <v>792</v>
      </c>
      <c r="F227" t="s">
        <v>793</v>
      </c>
    </row>
    <row r="228" spans="1:6" x14ac:dyDescent="0.25">
      <c r="A228" t="s">
        <v>1024</v>
      </c>
      <c r="B228" t="s">
        <v>24</v>
      </c>
      <c r="C228">
        <v>-1.500685</v>
      </c>
      <c r="D228">
        <v>26.563376000000002</v>
      </c>
      <c r="E228" t="s">
        <v>792</v>
      </c>
      <c r="F228" t="s">
        <v>809</v>
      </c>
    </row>
    <row r="229" spans="1:6" x14ac:dyDescent="0.25">
      <c r="A229" t="s">
        <v>1025</v>
      </c>
      <c r="B229" t="s">
        <v>71</v>
      </c>
      <c r="C229">
        <v>-9.2227779999999999</v>
      </c>
      <c r="D229">
        <v>20.940372</v>
      </c>
      <c r="E229" t="s">
        <v>798</v>
      </c>
      <c r="F229" t="s">
        <v>793</v>
      </c>
    </row>
    <row r="230" spans="1:6" x14ac:dyDescent="0.25">
      <c r="A230" t="s">
        <v>1026</v>
      </c>
      <c r="B230" t="s">
        <v>40</v>
      </c>
      <c r="C230">
        <v>-9.3900009999999998</v>
      </c>
      <c r="D230">
        <v>30.001517</v>
      </c>
      <c r="E230" t="s">
        <v>798</v>
      </c>
      <c r="F230" t="s">
        <v>809</v>
      </c>
    </row>
    <row r="231" spans="1:6" x14ac:dyDescent="0.25">
      <c r="A231" t="s">
        <v>1027</v>
      </c>
      <c r="B231" t="s">
        <v>42</v>
      </c>
      <c r="C231">
        <v>-7.8417870000000001</v>
      </c>
      <c r="D231">
        <v>14.730712</v>
      </c>
      <c r="E231" t="s">
        <v>792</v>
      </c>
      <c r="F231" t="s">
        <v>809</v>
      </c>
    </row>
    <row r="232" spans="1:6" x14ac:dyDescent="0.25">
      <c r="A232" t="s">
        <v>1028</v>
      </c>
      <c r="B232" t="s">
        <v>107</v>
      </c>
      <c r="C232">
        <v>-3.419035</v>
      </c>
      <c r="D232">
        <v>29.018315999999999</v>
      </c>
      <c r="E232" t="s">
        <v>792</v>
      </c>
      <c r="F232" t="s">
        <v>793</v>
      </c>
    </row>
    <row r="233" spans="1:6" x14ac:dyDescent="0.25">
      <c r="A233" t="s">
        <v>1029</v>
      </c>
      <c r="B233" t="s">
        <v>48</v>
      </c>
      <c r="C233">
        <v>0.91016799999999998</v>
      </c>
      <c r="D233">
        <v>16.903002999999998</v>
      </c>
      <c r="E233" t="s">
        <v>798</v>
      </c>
      <c r="F233" t="s">
        <v>809</v>
      </c>
    </row>
    <row r="234" spans="1:6" x14ac:dyDescent="0.25">
      <c r="A234" t="s">
        <v>1030</v>
      </c>
      <c r="B234" t="s">
        <v>67</v>
      </c>
      <c r="C234">
        <v>-0.919767</v>
      </c>
      <c r="D234">
        <v>18.905538</v>
      </c>
      <c r="E234" t="s">
        <v>792</v>
      </c>
      <c r="F234" t="s">
        <v>793</v>
      </c>
    </row>
    <row r="235" spans="1:6" x14ac:dyDescent="0.25">
      <c r="A235" t="s">
        <v>1031</v>
      </c>
      <c r="B235" t="s">
        <v>107</v>
      </c>
      <c r="C235">
        <v>-8.0922239999999999</v>
      </c>
      <c r="D235">
        <v>15.483708</v>
      </c>
      <c r="E235" t="s">
        <v>792</v>
      </c>
      <c r="F235" t="s">
        <v>809</v>
      </c>
    </row>
    <row r="236" spans="1:6" x14ac:dyDescent="0.25">
      <c r="A236" t="s">
        <v>1032</v>
      </c>
      <c r="B236" t="s">
        <v>44</v>
      </c>
      <c r="C236">
        <v>-10.165072</v>
      </c>
      <c r="D236">
        <v>29.428024000000001</v>
      </c>
      <c r="E236" t="s">
        <v>792</v>
      </c>
      <c r="F236" t="s">
        <v>796</v>
      </c>
    </row>
    <row r="237" spans="1:6" x14ac:dyDescent="0.25">
      <c r="A237" t="s">
        <v>1033</v>
      </c>
      <c r="B237" t="s">
        <v>11</v>
      </c>
      <c r="C237">
        <v>-10.939712999999999</v>
      </c>
      <c r="D237">
        <v>18.276230999999999</v>
      </c>
      <c r="E237" t="s">
        <v>795</v>
      </c>
      <c r="F237" t="s">
        <v>799</v>
      </c>
    </row>
    <row r="238" spans="1:6" x14ac:dyDescent="0.25">
      <c r="A238" t="s">
        <v>1034</v>
      </c>
      <c r="B238" t="s">
        <v>40</v>
      </c>
      <c r="C238">
        <v>4.2493650000000001</v>
      </c>
      <c r="D238">
        <v>28.355039999999999</v>
      </c>
      <c r="E238" t="s">
        <v>798</v>
      </c>
      <c r="F238" t="s">
        <v>799</v>
      </c>
    </row>
    <row r="239" spans="1:6" x14ac:dyDescent="0.25">
      <c r="A239" t="s">
        <v>1035</v>
      </c>
      <c r="B239" t="s">
        <v>46</v>
      </c>
      <c r="C239">
        <v>-2.926736</v>
      </c>
      <c r="D239">
        <v>18.170461</v>
      </c>
      <c r="E239" t="s">
        <v>792</v>
      </c>
      <c r="F239" t="s">
        <v>793</v>
      </c>
    </row>
    <row r="240" spans="1:6" x14ac:dyDescent="0.25">
      <c r="A240" t="s">
        <v>1036</v>
      </c>
      <c r="B240" t="s">
        <v>17</v>
      </c>
      <c r="C240">
        <v>-11.157245</v>
      </c>
      <c r="D240">
        <v>21.262627999999999</v>
      </c>
      <c r="E240" t="s">
        <v>792</v>
      </c>
      <c r="F240" t="s">
        <v>799</v>
      </c>
    </row>
    <row r="241" spans="1:6" x14ac:dyDescent="0.25">
      <c r="A241" t="s">
        <v>1037</v>
      </c>
      <c r="B241" t="s">
        <v>158</v>
      </c>
      <c r="C241">
        <v>-3.234483</v>
      </c>
      <c r="D241">
        <v>13.241939</v>
      </c>
      <c r="E241" t="s">
        <v>795</v>
      </c>
      <c r="F241" t="s">
        <v>799</v>
      </c>
    </row>
    <row r="242" spans="1:6" x14ac:dyDescent="0.25">
      <c r="A242" t="s">
        <v>1038</v>
      </c>
      <c r="B242" t="s">
        <v>48</v>
      </c>
      <c r="C242">
        <v>-3.111418</v>
      </c>
      <c r="D242">
        <v>14.144854</v>
      </c>
      <c r="E242" t="s">
        <v>795</v>
      </c>
      <c r="F242" t="s">
        <v>799</v>
      </c>
    </row>
    <row r="243" spans="1:6" x14ac:dyDescent="0.25">
      <c r="A243" t="s">
        <v>1039</v>
      </c>
      <c r="B243" t="s">
        <v>64</v>
      </c>
      <c r="C243">
        <v>-8.1210620000000002</v>
      </c>
      <c r="D243">
        <v>21.094390000000001</v>
      </c>
      <c r="E243" t="s">
        <v>792</v>
      </c>
      <c r="F243" t="s">
        <v>799</v>
      </c>
    </row>
    <row r="244" spans="1:6" x14ac:dyDescent="0.25">
      <c r="A244" t="s">
        <v>1041</v>
      </c>
      <c r="B244" t="s">
        <v>67</v>
      </c>
      <c r="C244">
        <v>1.472051</v>
      </c>
      <c r="D244">
        <v>17.36289</v>
      </c>
      <c r="E244" t="s">
        <v>795</v>
      </c>
      <c r="F244" t="s">
        <v>796</v>
      </c>
    </row>
    <row r="245" spans="1:6" x14ac:dyDescent="0.25">
      <c r="A245" t="s">
        <v>1042</v>
      </c>
      <c r="B245" t="s">
        <v>99</v>
      </c>
      <c r="C245">
        <v>-2.6665070000000002</v>
      </c>
      <c r="D245">
        <v>18.623692999999999</v>
      </c>
      <c r="E245" t="s">
        <v>798</v>
      </c>
      <c r="F245" t="s">
        <v>799</v>
      </c>
    </row>
    <row r="246" spans="1:6" x14ac:dyDescent="0.25">
      <c r="A246" t="s">
        <v>1043</v>
      </c>
      <c r="B246" t="s">
        <v>46</v>
      </c>
      <c r="C246">
        <v>-9.9170499999999997</v>
      </c>
      <c r="D246">
        <v>22.918887000000002</v>
      </c>
      <c r="E246" t="s">
        <v>795</v>
      </c>
      <c r="F246" t="s">
        <v>796</v>
      </c>
    </row>
    <row r="247" spans="1:6" x14ac:dyDescent="0.25">
      <c r="A247" t="s">
        <v>1044</v>
      </c>
      <c r="B247" t="s">
        <v>24</v>
      </c>
      <c r="C247">
        <v>-7.3952039999999997</v>
      </c>
      <c r="D247">
        <v>21.651043999999999</v>
      </c>
      <c r="E247" t="s">
        <v>795</v>
      </c>
      <c r="F247" t="s">
        <v>796</v>
      </c>
    </row>
    <row r="248" spans="1:6" x14ac:dyDescent="0.25">
      <c r="A248" t="s">
        <v>1045</v>
      </c>
      <c r="B248" t="s">
        <v>67</v>
      </c>
      <c r="C248">
        <v>3.0603760000000002</v>
      </c>
      <c r="D248">
        <v>19.708034000000001</v>
      </c>
      <c r="E248" t="s">
        <v>798</v>
      </c>
      <c r="F248" t="s">
        <v>799</v>
      </c>
    </row>
    <row r="249" spans="1:6" x14ac:dyDescent="0.25">
      <c r="A249" t="s">
        <v>1046</v>
      </c>
      <c r="B249" t="s">
        <v>59</v>
      </c>
      <c r="C249">
        <v>-3.269612</v>
      </c>
      <c r="D249">
        <v>25.571189</v>
      </c>
      <c r="E249" t="s">
        <v>792</v>
      </c>
      <c r="F249" t="s">
        <v>793</v>
      </c>
    </row>
    <row r="250" spans="1:6" x14ac:dyDescent="0.25">
      <c r="A250" t="s">
        <v>1047</v>
      </c>
      <c r="B250" t="s">
        <v>48</v>
      </c>
      <c r="C250">
        <v>-12.086929</v>
      </c>
      <c r="D250">
        <v>14.032645</v>
      </c>
      <c r="E250" t="s">
        <v>798</v>
      </c>
      <c r="F250" t="s">
        <v>799</v>
      </c>
    </row>
    <row r="251" spans="1:6" x14ac:dyDescent="0.25">
      <c r="A251" t="s">
        <v>1048</v>
      </c>
      <c r="B251" t="s">
        <v>64</v>
      </c>
      <c r="C251">
        <v>-10.963041</v>
      </c>
      <c r="D251">
        <v>12.269857</v>
      </c>
      <c r="E251" t="s">
        <v>795</v>
      </c>
      <c r="F251" t="s">
        <v>796</v>
      </c>
    </row>
    <row r="252" spans="1:6" x14ac:dyDescent="0.25">
      <c r="A252" t="s">
        <v>1049</v>
      </c>
      <c r="B252" t="s">
        <v>14</v>
      </c>
      <c r="C252">
        <v>-4.332408</v>
      </c>
      <c r="D252">
        <v>14.119439</v>
      </c>
      <c r="E252" t="s">
        <v>792</v>
      </c>
      <c r="F252" t="s">
        <v>809</v>
      </c>
    </row>
    <row r="253" spans="1:6" x14ac:dyDescent="0.25">
      <c r="A253" t="s">
        <v>1050</v>
      </c>
      <c r="B253" t="s">
        <v>99</v>
      </c>
      <c r="C253">
        <v>-0.57104900000000003</v>
      </c>
      <c r="D253">
        <v>15.317663</v>
      </c>
      <c r="E253" t="s">
        <v>792</v>
      </c>
      <c r="F253" t="s">
        <v>809</v>
      </c>
    </row>
    <row r="254" spans="1:6" x14ac:dyDescent="0.25">
      <c r="A254" t="s">
        <v>1051</v>
      </c>
      <c r="B254" t="s">
        <v>59</v>
      </c>
      <c r="C254">
        <v>-10.442425</v>
      </c>
      <c r="D254">
        <v>23.243632000000002</v>
      </c>
      <c r="E254" t="s">
        <v>795</v>
      </c>
      <c r="F254" t="s">
        <v>809</v>
      </c>
    </row>
    <row r="255" spans="1:6" x14ac:dyDescent="0.25">
      <c r="A255" t="s">
        <v>1052</v>
      </c>
      <c r="B255" t="s">
        <v>20</v>
      </c>
      <c r="C255">
        <v>0.16327700000000001</v>
      </c>
      <c r="D255">
        <v>14.871577</v>
      </c>
      <c r="E255" t="s">
        <v>795</v>
      </c>
      <c r="F255" t="s">
        <v>796</v>
      </c>
    </row>
    <row r="256" spans="1:6" x14ac:dyDescent="0.25">
      <c r="A256" t="s">
        <v>1053</v>
      </c>
      <c r="B256" t="s">
        <v>24</v>
      </c>
      <c r="C256">
        <v>4.7044240000000004</v>
      </c>
      <c r="D256">
        <v>20.486409999999999</v>
      </c>
      <c r="E256" t="s">
        <v>795</v>
      </c>
      <c r="F256" t="s">
        <v>799</v>
      </c>
    </row>
    <row r="257" spans="1:6" x14ac:dyDescent="0.25">
      <c r="A257" t="s">
        <v>1054</v>
      </c>
      <c r="B257" t="s">
        <v>26</v>
      </c>
      <c r="C257">
        <v>4.7060310000000003</v>
      </c>
      <c r="D257">
        <v>27.348973000000001</v>
      </c>
      <c r="E257" t="s">
        <v>795</v>
      </c>
      <c r="F257" t="s">
        <v>796</v>
      </c>
    </row>
    <row r="258" spans="1:6" x14ac:dyDescent="0.25">
      <c r="A258" t="s">
        <v>1055</v>
      </c>
      <c r="B258" t="s">
        <v>32</v>
      </c>
      <c r="C258">
        <v>1.019657</v>
      </c>
      <c r="D258">
        <v>16.963799000000002</v>
      </c>
      <c r="E258" t="s">
        <v>798</v>
      </c>
      <c r="F258" t="s">
        <v>809</v>
      </c>
    </row>
    <row r="259" spans="1:6" x14ac:dyDescent="0.25">
      <c r="A259" t="s">
        <v>1056</v>
      </c>
      <c r="B259" t="s">
        <v>59</v>
      </c>
      <c r="C259">
        <v>-4.6311460000000002</v>
      </c>
      <c r="D259">
        <v>25.314723000000001</v>
      </c>
      <c r="E259" t="s">
        <v>795</v>
      </c>
      <c r="F259" t="s">
        <v>796</v>
      </c>
    </row>
    <row r="260" spans="1:6" x14ac:dyDescent="0.25">
      <c r="A260" t="s">
        <v>1057</v>
      </c>
      <c r="B260" t="s">
        <v>64</v>
      </c>
      <c r="C260">
        <v>-11.591777</v>
      </c>
      <c r="D260">
        <v>21.213452</v>
      </c>
      <c r="E260" t="s">
        <v>792</v>
      </c>
      <c r="F260" t="s">
        <v>793</v>
      </c>
    </row>
    <row r="261" spans="1:6" x14ac:dyDescent="0.25">
      <c r="A261" t="s">
        <v>1058</v>
      </c>
      <c r="B261" t="s">
        <v>59</v>
      </c>
      <c r="C261">
        <v>3.0184790000000001</v>
      </c>
      <c r="D261">
        <v>27.188068000000001</v>
      </c>
      <c r="E261" t="s">
        <v>792</v>
      </c>
      <c r="F261" t="s">
        <v>793</v>
      </c>
    </row>
    <row r="262" spans="1:6" x14ac:dyDescent="0.25">
      <c r="A262" t="s">
        <v>1059</v>
      </c>
      <c r="B262" t="s">
        <v>14</v>
      </c>
      <c r="C262">
        <v>-11.407966</v>
      </c>
      <c r="D262">
        <v>28.378274000000001</v>
      </c>
      <c r="E262" t="s">
        <v>795</v>
      </c>
      <c r="F262" t="s">
        <v>799</v>
      </c>
    </row>
    <row r="263" spans="1:6" x14ac:dyDescent="0.25">
      <c r="A263" t="s">
        <v>1060</v>
      </c>
      <c r="B263" t="s">
        <v>46</v>
      </c>
      <c r="C263">
        <v>-4.4958720000000003</v>
      </c>
      <c r="D263">
        <v>18.514112000000001</v>
      </c>
      <c r="E263" t="s">
        <v>795</v>
      </c>
      <c r="F263" t="s">
        <v>809</v>
      </c>
    </row>
    <row r="264" spans="1:6" x14ac:dyDescent="0.25">
      <c r="A264" t="s">
        <v>1061</v>
      </c>
      <c r="B264" t="s">
        <v>32</v>
      </c>
      <c r="C264">
        <v>0.35034999999999999</v>
      </c>
      <c r="D264">
        <v>13.603628</v>
      </c>
      <c r="E264" t="s">
        <v>792</v>
      </c>
      <c r="F264" t="s">
        <v>799</v>
      </c>
    </row>
    <row r="265" spans="1:6" x14ac:dyDescent="0.25">
      <c r="A265" t="s">
        <v>1062</v>
      </c>
      <c r="B265" t="s">
        <v>42</v>
      </c>
      <c r="C265">
        <v>4.2873989999999997</v>
      </c>
      <c r="D265">
        <v>14.756335</v>
      </c>
      <c r="E265" t="s">
        <v>792</v>
      </c>
      <c r="F265" t="s">
        <v>793</v>
      </c>
    </row>
    <row r="266" spans="1:6" x14ac:dyDescent="0.25">
      <c r="A266" t="s">
        <v>1063</v>
      </c>
      <c r="B266" t="s">
        <v>46</v>
      </c>
      <c r="C266">
        <v>-11.594525000000001</v>
      </c>
      <c r="D266">
        <v>29.744895</v>
      </c>
      <c r="E266" t="s">
        <v>798</v>
      </c>
      <c r="F266" t="s">
        <v>799</v>
      </c>
    </row>
    <row r="267" spans="1:6" x14ac:dyDescent="0.25">
      <c r="A267" t="s">
        <v>1064</v>
      </c>
      <c r="B267" t="s">
        <v>8</v>
      </c>
      <c r="C267">
        <v>-1.5936220000000001</v>
      </c>
      <c r="D267">
        <v>14.928856</v>
      </c>
      <c r="E267" t="s">
        <v>792</v>
      </c>
      <c r="F267" t="s">
        <v>793</v>
      </c>
    </row>
    <row r="268" spans="1:6" x14ac:dyDescent="0.25">
      <c r="A268" t="s">
        <v>1065</v>
      </c>
      <c r="B268" t="s">
        <v>50</v>
      </c>
      <c r="C268">
        <v>1.3657680000000001</v>
      </c>
      <c r="D268">
        <v>21.423017000000002</v>
      </c>
      <c r="E268" t="s">
        <v>792</v>
      </c>
      <c r="F268" t="s">
        <v>793</v>
      </c>
    </row>
    <row r="269" spans="1:6" x14ac:dyDescent="0.25">
      <c r="A269" t="s">
        <v>1066</v>
      </c>
      <c r="B269" t="s">
        <v>32</v>
      </c>
      <c r="C269">
        <v>-7.3750049999999998</v>
      </c>
      <c r="D269">
        <v>30.878126000000002</v>
      </c>
      <c r="E269" t="s">
        <v>792</v>
      </c>
      <c r="F269" t="s">
        <v>796</v>
      </c>
    </row>
    <row r="270" spans="1:6" x14ac:dyDescent="0.25">
      <c r="A270" t="s">
        <v>1067</v>
      </c>
      <c r="B270" t="s">
        <v>50</v>
      </c>
      <c r="C270">
        <v>-12.050063</v>
      </c>
      <c r="D270">
        <v>26.636987999999999</v>
      </c>
      <c r="E270" t="s">
        <v>798</v>
      </c>
      <c r="F270" t="s">
        <v>809</v>
      </c>
    </row>
    <row r="271" spans="1:6" x14ac:dyDescent="0.25">
      <c r="A271" t="s">
        <v>1068</v>
      </c>
      <c r="B271" t="s">
        <v>44</v>
      </c>
      <c r="C271">
        <v>-6.8161690000000004</v>
      </c>
      <c r="D271">
        <v>16.521000999999998</v>
      </c>
      <c r="E271" t="s">
        <v>792</v>
      </c>
      <c r="F271" t="s">
        <v>793</v>
      </c>
    </row>
    <row r="272" spans="1:6" x14ac:dyDescent="0.25">
      <c r="A272" t="s">
        <v>1069</v>
      </c>
      <c r="B272" t="s">
        <v>42</v>
      </c>
      <c r="C272">
        <v>1.0134879999999999</v>
      </c>
      <c r="D272">
        <v>20.363515</v>
      </c>
      <c r="E272" t="s">
        <v>795</v>
      </c>
      <c r="F272" t="s">
        <v>809</v>
      </c>
    </row>
    <row r="273" spans="1:6" x14ac:dyDescent="0.25">
      <c r="A273" t="s">
        <v>1070</v>
      </c>
      <c r="B273" t="s">
        <v>67</v>
      </c>
      <c r="C273">
        <v>-4.5603610000000003</v>
      </c>
      <c r="D273">
        <v>24.113918999999999</v>
      </c>
      <c r="E273" t="s">
        <v>792</v>
      </c>
      <c r="F273" t="s">
        <v>799</v>
      </c>
    </row>
    <row r="274" spans="1:6" x14ac:dyDescent="0.25">
      <c r="A274" t="s">
        <v>1071</v>
      </c>
      <c r="B274" t="s">
        <v>32</v>
      </c>
      <c r="C274">
        <v>-3.7720639999999999</v>
      </c>
      <c r="D274">
        <v>16.006277999999998</v>
      </c>
      <c r="E274" t="s">
        <v>792</v>
      </c>
      <c r="F274" t="s">
        <v>799</v>
      </c>
    </row>
    <row r="275" spans="1:6" x14ac:dyDescent="0.25">
      <c r="A275" t="s">
        <v>1072</v>
      </c>
      <c r="B275" t="s">
        <v>61</v>
      </c>
      <c r="C275">
        <v>-4.5538169999999996</v>
      </c>
      <c r="D275">
        <v>25.952860999999999</v>
      </c>
      <c r="E275" t="s">
        <v>798</v>
      </c>
      <c r="F275" t="s">
        <v>793</v>
      </c>
    </row>
    <row r="276" spans="1:6" x14ac:dyDescent="0.25">
      <c r="A276" t="s">
        <v>1073</v>
      </c>
      <c r="B276" t="s">
        <v>42</v>
      </c>
      <c r="C276">
        <v>0.20866199999999999</v>
      </c>
      <c r="D276">
        <v>18.556439000000001</v>
      </c>
      <c r="E276" t="s">
        <v>795</v>
      </c>
      <c r="F276" t="s">
        <v>809</v>
      </c>
    </row>
    <row r="277" spans="1:6" x14ac:dyDescent="0.25">
      <c r="A277" t="s">
        <v>1074</v>
      </c>
      <c r="B277" t="s">
        <v>34</v>
      </c>
      <c r="C277">
        <v>-5.42171</v>
      </c>
      <c r="D277">
        <v>24.202960999999998</v>
      </c>
      <c r="E277" t="s">
        <v>792</v>
      </c>
      <c r="F277" t="s">
        <v>793</v>
      </c>
    </row>
    <row r="278" spans="1:6" x14ac:dyDescent="0.25">
      <c r="A278" t="s">
        <v>1075</v>
      </c>
      <c r="B278" t="s">
        <v>40</v>
      </c>
      <c r="C278">
        <v>4.2904629999999999</v>
      </c>
      <c r="D278">
        <v>26.354195000000001</v>
      </c>
      <c r="E278" t="s">
        <v>798</v>
      </c>
      <c r="F278" t="s">
        <v>793</v>
      </c>
    </row>
    <row r="279" spans="1:6" x14ac:dyDescent="0.25">
      <c r="A279" t="s">
        <v>1076</v>
      </c>
      <c r="B279" t="s">
        <v>71</v>
      </c>
      <c r="C279">
        <v>1.368018</v>
      </c>
      <c r="D279">
        <v>14.203893000000001</v>
      </c>
      <c r="E279" t="s">
        <v>792</v>
      </c>
      <c r="F279" t="s">
        <v>796</v>
      </c>
    </row>
    <row r="280" spans="1:6" x14ac:dyDescent="0.25">
      <c r="A280" t="s">
        <v>1077</v>
      </c>
      <c r="B280" t="s">
        <v>44</v>
      </c>
      <c r="C280">
        <v>-7.7942479999999996</v>
      </c>
      <c r="D280">
        <v>15.184407999999999</v>
      </c>
      <c r="E280" t="s">
        <v>798</v>
      </c>
      <c r="F280" t="s">
        <v>799</v>
      </c>
    </row>
    <row r="281" spans="1:6" x14ac:dyDescent="0.25">
      <c r="A281" t="s">
        <v>1078</v>
      </c>
      <c r="B281" t="s">
        <v>32</v>
      </c>
      <c r="C281">
        <v>-12.364127999999999</v>
      </c>
      <c r="D281">
        <v>19.576150999999999</v>
      </c>
      <c r="E281" t="s">
        <v>798</v>
      </c>
      <c r="F281" t="s">
        <v>809</v>
      </c>
    </row>
    <row r="282" spans="1:6" x14ac:dyDescent="0.25">
      <c r="A282" t="s">
        <v>1079</v>
      </c>
      <c r="B282" t="s">
        <v>50</v>
      </c>
      <c r="C282">
        <v>3.611561</v>
      </c>
      <c r="D282">
        <v>17.725974999999998</v>
      </c>
      <c r="E282" t="s">
        <v>798</v>
      </c>
      <c r="F282" t="s">
        <v>799</v>
      </c>
    </row>
    <row r="283" spans="1:6" x14ac:dyDescent="0.25">
      <c r="A283" t="s">
        <v>1080</v>
      </c>
      <c r="B283" t="s">
        <v>99</v>
      </c>
      <c r="C283">
        <v>0.48965500000000001</v>
      </c>
      <c r="D283">
        <v>26.176860000000001</v>
      </c>
      <c r="E283" t="s">
        <v>795</v>
      </c>
      <c r="F283" t="s">
        <v>796</v>
      </c>
    </row>
    <row r="284" spans="1:6" x14ac:dyDescent="0.25">
      <c r="A284" t="s">
        <v>1081</v>
      </c>
      <c r="B284" t="s">
        <v>74</v>
      </c>
      <c r="C284">
        <v>8.5490999999999998E-2</v>
      </c>
      <c r="D284">
        <v>26.296129000000001</v>
      </c>
      <c r="E284" t="s">
        <v>798</v>
      </c>
      <c r="F284" t="s">
        <v>799</v>
      </c>
    </row>
    <row r="285" spans="1:6" x14ac:dyDescent="0.25">
      <c r="A285" t="s">
        <v>1082</v>
      </c>
      <c r="B285" t="s">
        <v>24</v>
      </c>
      <c r="C285">
        <v>-2.8532869999999999</v>
      </c>
      <c r="D285">
        <v>22.117896000000002</v>
      </c>
      <c r="E285" t="s">
        <v>792</v>
      </c>
      <c r="F285" t="s">
        <v>796</v>
      </c>
    </row>
    <row r="286" spans="1:6" x14ac:dyDescent="0.25">
      <c r="A286" t="s">
        <v>1083</v>
      </c>
      <c r="B286" t="s">
        <v>20</v>
      </c>
      <c r="C286">
        <v>-11.89448</v>
      </c>
      <c r="D286">
        <v>19.216214999999998</v>
      </c>
      <c r="E286" t="s">
        <v>798</v>
      </c>
      <c r="F286" t="s">
        <v>799</v>
      </c>
    </row>
    <row r="287" spans="1:6" x14ac:dyDescent="0.25">
      <c r="A287" t="s">
        <v>1084</v>
      </c>
      <c r="B287" t="s">
        <v>71</v>
      </c>
      <c r="C287">
        <v>-4.4831099999999999</v>
      </c>
      <c r="D287">
        <v>25.406548000000001</v>
      </c>
      <c r="E287" t="s">
        <v>792</v>
      </c>
      <c r="F287" t="s">
        <v>809</v>
      </c>
    </row>
    <row r="288" spans="1:6" x14ac:dyDescent="0.25">
      <c r="A288" t="s">
        <v>1085</v>
      </c>
      <c r="B288" t="s">
        <v>8</v>
      </c>
      <c r="C288">
        <v>-9.9565739999999998</v>
      </c>
      <c r="D288">
        <v>21.017202000000001</v>
      </c>
      <c r="E288" t="s">
        <v>795</v>
      </c>
      <c r="F288" t="s">
        <v>796</v>
      </c>
    </row>
    <row r="289" spans="1:6" x14ac:dyDescent="0.25">
      <c r="A289" t="s">
        <v>1086</v>
      </c>
      <c r="B289" t="s">
        <v>67</v>
      </c>
      <c r="C289">
        <v>-12.070842000000001</v>
      </c>
      <c r="D289">
        <v>14.757847</v>
      </c>
      <c r="E289" t="s">
        <v>795</v>
      </c>
      <c r="F289" t="s">
        <v>799</v>
      </c>
    </row>
    <row r="290" spans="1:6" x14ac:dyDescent="0.25">
      <c r="A290" t="s">
        <v>1087</v>
      </c>
      <c r="B290" t="s">
        <v>36</v>
      </c>
      <c r="C290">
        <v>4.8265669999999998</v>
      </c>
      <c r="D290">
        <v>28.535277000000001</v>
      </c>
      <c r="E290" t="s">
        <v>798</v>
      </c>
      <c r="F290" t="s">
        <v>796</v>
      </c>
    </row>
    <row r="291" spans="1:6" x14ac:dyDescent="0.25">
      <c r="A291" t="s">
        <v>1088</v>
      </c>
      <c r="B291" t="s">
        <v>32</v>
      </c>
      <c r="C291">
        <v>1.5601240000000001</v>
      </c>
      <c r="D291">
        <v>12.225398</v>
      </c>
      <c r="E291" t="s">
        <v>792</v>
      </c>
      <c r="F291" t="s">
        <v>809</v>
      </c>
    </row>
    <row r="292" spans="1:6" x14ac:dyDescent="0.25">
      <c r="A292" t="s">
        <v>1089</v>
      </c>
      <c r="B292" t="s">
        <v>61</v>
      </c>
      <c r="C292">
        <v>-1.762294</v>
      </c>
      <c r="D292">
        <v>29.617228000000001</v>
      </c>
      <c r="E292" t="s">
        <v>795</v>
      </c>
      <c r="F292" t="s">
        <v>799</v>
      </c>
    </row>
    <row r="293" spans="1:6" x14ac:dyDescent="0.25">
      <c r="A293" t="s">
        <v>1090</v>
      </c>
      <c r="B293" t="s">
        <v>74</v>
      </c>
      <c r="C293">
        <v>-7.8373179999999998</v>
      </c>
      <c r="D293">
        <v>20.527591999999999</v>
      </c>
      <c r="E293" t="s">
        <v>795</v>
      </c>
      <c r="F293" t="s">
        <v>793</v>
      </c>
    </row>
    <row r="294" spans="1:6" x14ac:dyDescent="0.25">
      <c r="A294" t="s">
        <v>1091</v>
      </c>
      <c r="B294" t="s">
        <v>40</v>
      </c>
      <c r="C294">
        <v>-11.514817000000001</v>
      </c>
      <c r="D294">
        <v>24.891375</v>
      </c>
      <c r="E294" t="s">
        <v>798</v>
      </c>
      <c r="F294" t="s">
        <v>809</v>
      </c>
    </row>
    <row r="295" spans="1:6" x14ac:dyDescent="0.25">
      <c r="A295" t="s">
        <v>1092</v>
      </c>
      <c r="B295" t="s">
        <v>17</v>
      </c>
      <c r="C295">
        <v>-3.89927</v>
      </c>
      <c r="D295">
        <v>30.273492000000001</v>
      </c>
      <c r="E295" t="s">
        <v>798</v>
      </c>
      <c r="F295" t="s">
        <v>809</v>
      </c>
    </row>
    <row r="296" spans="1:6" x14ac:dyDescent="0.25">
      <c r="A296" t="s">
        <v>1093</v>
      </c>
      <c r="B296" t="s">
        <v>17</v>
      </c>
      <c r="C296">
        <v>2.3260149999999999</v>
      </c>
      <c r="D296">
        <v>24.97465</v>
      </c>
      <c r="E296" t="s">
        <v>798</v>
      </c>
      <c r="F296" t="s">
        <v>809</v>
      </c>
    </row>
    <row r="297" spans="1:6" x14ac:dyDescent="0.25">
      <c r="A297" t="s">
        <v>1094</v>
      </c>
      <c r="B297" t="s">
        <v>74</v>
      </c>
      <c r="C297">
        <v>-7.9987219999999999</v>
      </c>
      <c r="D297">
        <v>12.779335</v>
      </c>
      <c r="E297" t="s">
        <v>792</v>
      </c>
      <c r="F297" t="s">
        <v>809</v>
      </c>
    </row>
    <row r="298" spans="1:6" x14ac:dyDescent="0.25">
      <c r="A298" t="s">
        <v>1095</v>
      </c>
      <c r="B298" t="s">
        <v>24</v>
      </c>
      <c r="C298">
        <v>-10.614302</v>
      </c>
      <c r="D298">
        <v>29.436530999999999</v>
      </c>
      <c r="E298" t="s">
        <v>798</v>
      </c>
      <c r="F298" t="s">
        <v>793</v>
      </c>
    </row>
    <row r="299" spans="1:6" x14ac:dyDescent="0.25">
      <c r="A299" t="s">
        <v>1096</v>
      </c>
      <c r="B299" t="s">
        <v>8</v>
      </c>
      <c r="C299">
        <v>-7.9425049999999997</v>
      </c>
      <c r="D299">
        <v>24.111059000000001</v>
      </c>
      <c r="E299" t="s">
        <v>798</v>
      </c>
      <c r="F299" t="s">
        <v>799</v>
      </c>
    </row>
    <row r="300" spans="1:6" x14ac:dyDescent="0.25">
      <c r="A300" t="s">
        <v>1097</v>
      </c>
      <c r="B300" t="s">
        <v>40</v>
      </c>
      <c r="C300">
        <v>2.4414509999999998</v>
      </c>
      <c r="D300">
        <v>30.167489</v>
      </c>
      <c r="E300" t="s">
        <v>792</v>
      </c>
      <c r="F300" t="s">
        <v>809</v>
      </c>
    </row>
    <row r="301" spans="1:6" x14ac:dyDescent="0.25">
      <c r="A301" t="s">
        <v>1098</v>
      </c>
      <c r="B301" t="s">
        <v>99</v>
      </c>
      <c r="C301">
        <v>-1.339734</v>
      </c>
      <c r="D301">
        <v>15.243098</v>
      </c>
      <c r="E301" t="s">
        <v>798</v>
      </c>
      <c r="F301" t="s">
        <v>809</v>
      </c>
    </row>
    <row r="302" spans="1:6" x14ac:dyDescent="0.25">
      <c r="A302" t="s">
        <v>1099</v>
      </c>
      <c r="B302" t="s">
        <v>17</v>
      </c>
      <c r="C302">
        <v>-9.8208710000000004</v>
      </c>
      <c r="D302">
        <v>23.229807000000001</v>
      </c>
      <c r="E302" t="s">
        <v>792</v>
      </c>
      <c r="F302" t="s">
        <v>809</v>
      </c>
    </row>
    <row r="303" spans="1:6" x14ac:dyDescent="0.25">
      <c r="A303" t="s">
        <v>1100</v>
      </c>
      <c r="B303" t="s">
        <v>26</v>
      </c>
      <c r="C303">
        <v>-12.292039000000001</v>
      </c>
      <c r="D303">
        <v>27.538202999999999</v>
      </c>
      <c r="E303" t="s">
        <v>798</v>
      </c>
      <c r="F303" t="s">
        <v>796</v>
      </c>
    </row>
    <row r="304" spans="1:6" x14ac:dyDescent="0.25">
      <c r="A304" t="s">
        <v>1101</v>
      </c>
      <c r="B304" t="s">
        <v>34</v>
      </c>
      <c r="C304">
        <v>-6.0850540000000004</v>
      </c>
      <c r="D304">
        <v>14.020293000000001</v>
      </c>
      <c r="E304" t="s">
        <v>792</v>
      </c>
      <c r="F304" t="s">
        <v>796</v>
      </c>
    </row>
    <row r="305" spans="1:6" x14ac:dyDescent="0.25">
      <c r="A305" t="s">
        <v>1102</v>
      </c>
      <c r="B305" t="s">
        <v>36</v>
      </c>
      <c r="C305">
        <v>-9.5619429999999994</v>
      </c>
      <c r="D305">
        <v>21.445726000000001</v>
      </c>
      <c r="E305" t="s">
        <v>795</v>
      </c>
      <c r="F305" t="s">
        <v>809</v>
      </c>
    </row>
    <row r="306" spans="1:6" x14ac:dyDescent="0.25">
      <c r="A306" t="s">
        <v>1103</v>
      </c>
      <c r="B306" t="s">
        <v>59</v>
      </c>
      <c r="C306">
        <v>-0.47411900000000001</v>
      </c>
      <c r="D306">
        <v>27.184329000000002</v>
      </c>
      <c r="E306" t="s">
        <v>792</v>
      </c>
      <c r="F306" t="s">
        <v>799</v>
      </c>
    </row>
    <row r="307" spans="1:6" x14ac:dyDescent="0.25">
      <c r="A307" t="s">
        <v>1104</v>
      </c>
      <c r="B307" t="s">
        <v>8</v>
      </c>
      <c r="C307">
        <v>3.1362930000000002</v>
      </c>
      <c r="D307">
        <v>16.190878000000001</v>
      </c>
      <c r="E307" t="s">
        <v>798</v>
      </c>
      <c r="F307" t="s">
        <v>809</v>
      </c>
    </row>
    <row r="308" spans="1:6" x14ac:dyDescent="0.25">
      <c r="A308" t="s">
        <v>1105</v>
      </c>
      <c r="B308" t="s">
        <v>30</v>
      </c>
      <c r="C308">
        <v>-1.6488929999999999</v>
      </c>
      <c r="D308">
        <v>27.284617000000001</v>
      </c>
      <c r="E308" t="s">
        <v>792</v>
      </c>
      <c r="F308" t="s">
        <v>809</v>
      </c>
    </row>
    <row r="309" spans="1:6" x14ac:dyDescent="0.25">
      <c r="A309" t="s">
        <v>1106</v>
      </c>
      <c r="B309" t="s">
        <v>34</v>
      </c>
      <c r="C309">
        <v>-6.5332999999999997</v>
      </c>
      <c r="D309">
        <v>20.098018</v>
      </c>
      <c r="E309" t="s">
        <v>795</v>
      </c>
      <c r="F309" t="s">
        <v>796</v>
      </c>
    </row>
    <row r="310" spans="1:6" x14ac:dyDescent="0.25">
      <c r="A310" t="s">
        <v>1107</v>
      </c>
      <c r="B310" t="s">
        <v>74</v>
      </c>
      <c r="C310">
        <v>-11.472474999999999</v>
      </c>
      <c r="D310">
        <v>27.418900000000001</v>
      </c>
      <c r="E310" t="s">
        <v>795</v>
      </c>
      <c r="F310" t="s">
        <v>799</v>
      </c>
    </row>
    <row r="311" spans="1:6" x14ac:dyDescent="0.25">
      <c r="A311" t="s">
        <v>1108</v>
      </c>
      <c r="B311" t="s">
        <v>99</v>
      </c>
      <c r="C311">
        <v>-1.6097570000000001</v>
      </c>
      <c r="D311">
        <v>30.661662</v>
      </c>
      <c r="E311" t="s">
        <v>795</v>
      </c>
      <c r="F311" t="s">
        <v>793</v>
      </c>
    </row>
    <row r="312" spans="1:6" x14ac:dyDescent="0.25">
      <c r="A312" t="s">
        <v>1109</v>
      </c>
      <c r="B312" t="s">
        <v>67</v>
      </c>
      <c r="C312">
        <v>0.23583499999999999</v>
      </c>
      <c r="D312">
        <v>24.889558999999998</v>
      </c>
      <c r="E312" t="s">
        <v>798</v>
      </c>
      <c r="F312" t="s">
        <v>799</v>
      </c>
    </row>
    <row r="313" spans="1:6" x14ac:dyDescent="0.25">
      <c r="A313" t="s">
        <v>1110</v>
      </c>
      <c r="B313" t="s">
        <v>8</v>
      </c>
      <c r="C313">
        <v>-10.481026999999999</v>
      </c>
      <c r="D313">
        <v>18.160464000000001</v>
      </c>
      <c r="E313" t="s">
        <v>792</v>
      </c>
      <c r="F313" t="s">
        <v>796</v>
      </c>
    </row>
    <row r="314" spans="1:6" x14ac:dyDescent="0.25">
      <c r="A314" t="s">
        <v>1111</v>
      </c>
      <c r="B314" t="s">
        <v>158</v>
      </c>
      <c r="C314">
        <v>-9.5243310000000001</v>
      </c>
      <c r="D314">
        <v>30.541212000000002</v>
      </c>
      <c r="E314" t="s">
        <v>798</v>
      </c>
      <c r="F314" t="s">
        <v>793</v>
      </c>
    </row>
    <row r="315" spans="1:6" x14ac:dyDescent="0.25">
      <c r="A315" t="s">
        <v>1112</v>
      </c>
      <c r="B315" t="s">
        <v>24</v>
      </c>
      <c r="C315">
        <v>-4.4697000000000001E-2</v>
      </c>
      <c r="D315">
        <v>22.943373000000001</v>
      </c>
      <c r="E315" t="s">
        <v>798</v>
      </c>
      <c r="F315" t="s">
        <v>796</v>
      </c>
    </row>
    <row r="316" spans="1:6" x14ac:dyDescent="0.25">
      <c r="A316" t="s">
        <v>1113</v>
      </c>
      <c r="B316" t="s">
        <v>24</v>
      </c>
      <c r="C316">
        <v>-2.3269820000000001</v>
      </c>
      <c r="D316">
        <v>14.609259</v>
      </c>
      <c r="E316" t="s">
        <v>798</v>
      </c>
      <c r="F316" t="s">
        <v>809</v>
      </c>
    </row>
    <row r="317" spans="1:6" x14ac:dyDescent="0.25">
      <c r="A317" t="s">
        <v>1114</v>
      </c>
      <c r="B317" t="s">
        <v>32</v>
      </c>
      <c r="C317">
        <v>-4.1938139999999997</v>
      </c>
      <c r="D317">
        <v>27.892115</v>
      </c>
      <c r="E317" t="s">
        <v>792</v>
      </c>
      <c r="F317" t="s">
        <v>793</v>
      </c>
    </row>
    <row r="318" spans="1:6" x14ac:dyDescent="0.25">
      <c r="A318" t="s">
        <v>1115</v>
      </c>
      <c r="B318" t="s">
        <v>34</v>
      </c>
      <c r="C318">
        <v>-11.866133</v>
      </c>
      <c r="D318">
        <v>27.068932</v>
      </c>
      <c r="E318" t="s">
        <v>798</v>
      </c>
      <c r="F318" t="s">
        <v>796</v>
      </c>
    </row>
    <row r="319" spans="1:6" x14ac:dyDescent="0.25">
      <c r="A319" t="s">
        <v>1116</v>
      </c>
      <c r="B319" t="s">
        <v>20</v>
      </c>
      <c r="C319">
        <v>-3.2700629999999999</v>
      </c>
      <c r="D319">
        <v>26.520330000000001</v>
      </c>
      <c r="E319" t="s">
        <v>792</v>
      </c>
      <c r="F319" t="s">
        <v>809</v>
      </c>
    </row>
    <row r="320" spans="1:6" x14ac:dyDescent="0.25">
      <c r="A320" t="s">
        <v>1117</v>
      </c>
      <c r="B320" t="s">
        <v>158</v>
      </c>
      <c r="C320">
        <v>-7.4608439999999998</v>
      </c>
      <c r="D320">
        <v>23.268619999999999</v>
      </c>
      <c r="E320" t="s">
        <v>795</v>
      </c>
      <c r="F320" t="s">
        <v>796</v>
      </c>
    </row>
    <row r="321" spans="1:6" x14ac:dyDescent="0.25">
      <c r="A321" t="s">
        <v>1118</v>
      </c>
      <c r="B321" t="s">
        <v>46</v>
      </c>
      <c r="C321">
        <v>-3.3890790000000002</v>
      </c>
      <c r="D321">
        <v>18.374571</v>
      </c>
      <c r="E321" t="s">
        <v>792</v>
      </c>
      <c r="F321" t="s">
        <v>799</v>
      </c>
    </row>
    <row r="322" spans="1:6" x14ac:dyDescent="0.25">
      <c r="A322" t="s">
        <v>1119</v>
      </c>
      <c r="B322" t="s">
        <v>46</v>
      </c>
      <c r="C322">
        <v>2.016505</v>
      </c>
      <c r="D322">
        <v>14.294164</v>
      </c>
      <c r="E322" t="s">
        <v>792</v>
      </c>
      <c r="F322" t="s">
        <v>796</v>
      </c>
    </row>
    <row r="323" spans="1:6" x14ac:dyDescent="0.25">
      <c r="A323" t="s">
        <v>1120</v>
      </c>
      <c r="B323" t="s">
        <v>64</v>
      </c>
      <c r="C323">
        <v>-4.9124689999999998</v>
      </c>
      <c r="D323">
        <v>14.683498999999999</v>
      </c>
      <c r="E323" t="s">
        <v>798</v>
      </c>
      <c r="F323" t="s">
        <v>799</v>
      </c>
    </row>
    <row r="324" spans="1:6" x14ac:dyDescent="0.25">
      <c r="A324" t="s">
        <v>1121</v>
      </c>
      <c r="B324" t="s">
        <v>61</v>
      </c>
      <c r="C324">
        <v>4.9250049999999996</v>
      </c>
      <c r="D324">
        <v>19.887931999999999</v>
      </c>
      <c r="E324" t="s">
        <v>795</v>
      </c>
      <c r="F324" t="s">
        <v>796</v>
      </c>
    </row>
    <row r="325" spans="1:6" x14ac:dyDescent="0.25">
      <c r="A325" t="s">
        <v>1122</v>
      </c>
      <c r="B325" t="s">
        <v>71</v>
      </c>
      <c r="C325">
        <v>-12.333232000000001</v>
      </c>
      <c r="D325">
        <v>25.229620000000001</v>
      </c>
      <c r="E325" t="s">
        <v>792</v>
      </c>
      <c r="F325" t="s">
        <v>809</v>
      </c>
    </row>
    <row r="326" spans="1:6" x14ac:dyDescent="0.25">
      <c r="A326" t="s">
        <v>1123</v>
      </c>
      <c r="B326" t="s">
        <v>99</v>
      </c>
      <c r="C326">
        <v>-11.991020000000001</v>
      </c>
      <c r="D326">
        <v>22.514747</v>
      </c>
      <c r="E326" t="s">
        <v>792</v>
      </c>
      <c r="F326" t="s">
        <v>799</v>
      </c>
    </row>
    <row r="327" spans="1:6" x14ac:dyDescent="0.25">
      <c r="A327" t="s">
        <v>1124</v>
      </c>
      <c r="B327" t="s">
        <v>34</v>
      </c>
      <c r="C327">
        <v>1.1800139999999999</v>
      </c>
      <c r="D327">
        <v>20.334562999999999</v>
      </c>
      <c r="E327" t="s">
        <v>798</v>
      </c>
      <c r="F327" t="s">
        <v>799</v>
      </c>
    </row>
    <row r="328" spans="1:6" x14ac:dyDescent="0.25">
      <c r="A328" t="s">
        <v>1125</v>
      </c>
      <c r="B328" t="s">
        <v>8</v>
      </c>
      <c r="C328">
        <v>-12.229338</v>
      </c>
      <c r="D328">
        <v>29.587834999999998</v>
      </c>
      <c r="E328" t="s">
        <v>795</v>
      </c>
      <c r="F328" t="s">
        <v>809</v>
      </c>
    </row>
    <row r="329" spans="1:6" x14ac:dyDescent="0.25">
      <c r="A329" t="s">
        <v>1126</v>
      </c>
      <c r="B329" t="s">
        <v>158</v>
      </c>
      <c r="C329">
        <v>-10.872631999999999</v>
      </c>
      <c r="D329">
        <v>12.773279</v>
      </c>
      <c r="E329" t="s">
        <v>798</v>
      </c>
      <c r="F329" t="s">
        <v>799</v>
      </c>
    </row>
    <row r="330" spans="1:6" x14ac:dyDescent="0.25">
      <c r="A330" t="s">
        <v>1127</v>
      </c>
      <c r="B330" t="s">
        <v>24</v>
      </c>
      <c r="C330">
        <v>1.5278670000000001</v>
      </c>
      <c r="D330">
        <v>13.899388999999999</v>
      </c>
      <c r="E330" t="s">
        <v>798</v>
      </c>
      <c r="F330" t="s">
        <v>796</v>
      </c>
    </row>
    <row r="331" spans="1:6" x14ac:dyDescent="0.25">
      <c r="A331" t="s">
        <v>1128</v>
      </c>
      <c r="B331" t="s">
        <v>11</v>
      </c>
      <c r="C331">
        <v>-0.98830399999999996</v>
      </c>
      <c r="D331">
        <v>28.099966999999999</v>
      </c>
      <c r="E331" t="s">
        <v>798</v>
      </c>
      <c r="F331" t="s">
        <v>796</v>
      </c>
    </row>
    <row r="332" spans="1:6" x14ac:dyDescent="0.25">
      <c r="A332" t="s">
        <v>1129</v>
      </c>
      <c r="B332" t="s">
        <v>74</v>
      </c>
      <c r="C332">
        <v>-4.749333</v>
      </c>
      <c r="D332">
        <v>23.636389000000001</v>
      </c>
      <c r="E332" t="s">
        <v>798</v>
      </c>
      <c r="F332" t="s">
        <v>799</v>
      </c>
    </row>
    <row r="333" spans="1:6" x14ac:dyDescent="0.25">
      <c r="A333" t="s">
        <v>1130</v>
      </c>
      <c r="B333" t="s">
        <v>61</v>
      </c>
      <c r="C333">
        <v>-0.79459900000000006</v>
      </c>
      <c r="D333">
        <v>26.775570999999999</v>
      </c>
      <c r="E333" t="s">
        <v>792</v>
      </c>
      <c r="F333" t="s">
        <v>796</v>
      </c>
    </row>
    <row r="334" spans="1:6" x14ac:dyDescent="0.25">
      <c r="A334" t="s">
        <v>1131</v>
      </c>
      <c r="B334" t="s">
        <v>40</v>
      </c>
      <c r="C334">
        <v>2.7365970000000002</v>
      </c>
      <c r="D334">
        <v>12.296976000000001</v>
      </c>
      <c r="E334" t="s">
        <v>795</v>
      </c>
      <c r="F334" t="s">
        <v>799</v>
      </c>
    </row>
    <row r="335" spans="1:6" x14ac:dyDescent="0.25">
      <c r="A335" t="s">
        <v>1132</v>
      </c>
      <c r="B335" t="s">
        <v>30</v>
      </c>
      <c r="C335">
        <v>-10.318835</v>
      </c>
      <c r="D335">
        <v>21.252382000000001</v>
      </c>
      <c r="E335" t="s">
        <v>795</v>
      </c>
      <c r="F335" t="s">
        <v>793</v>
      </c>
    </row>
    <row r="336" spans="1:6" x14ac:dyDescent="0.25">
      <c r="A336" t="s">
        <v>1133</v>
      </c>
      <c r="B336" t="s">
        <v>26</v>
      </c>
      <c r="C336">
        <v>-2.571777</v>
      </c>
      <c r="D336">
        <v>12.120642</v>
      </c>
      <c r="E336" t="s">
        <v>798</v>
      </c>
      <c r="F336" t="s">
        <v>796</v>
      </c>
    </row>
    <row r="337" spans="1:6" x14ac:dyDescent="0.25">
      <c r="A337" t="s">
        <v>1134</v>
      </c>
      <c r="B337" t="s">
        <v>107</v>
      </c>
      <c r="C337">
        <v>3.6466850000000002</v>
      </c>
      <c r="D337">
        <v>15.408844</v>
      </c>
      <c r="E337" t="s">
        <v>798</v>
      </c>
      <c r="F337" t="s">
        <v>799</v>
      </c>
    </row>
    <row r="338" spans="1:6" x14ac:dyDescent="0.25">
      <c r="A338" t="s">
        <v>1135</v>
      </c>
      <c r="B338" t="s">
        <v>34</v>
      </c>
      <c r="C338">
        <v>-12.336202</v>
      </c>
      <c r="D338">
        <v>13.693683999999999</v>
      </c>
      <c r="E338" t="s">
        <v>792</v>
      </c>
      <c r="F338" t="s">
        <v>796</v>
      </c>
    </row>
    <row r="339" spans="1:6" x14ac:dyDescent="0.25">
      <c r="A339" t="s">
        <v>1136</v>
      </c>
      <c r="B339" t="s">
        <v>17</v>
      </c>
      <c r="C339">
        <v>-10.451371</v>
      </c>
      <c r="D339">
        <v>24.38336</v>
      </c>
      <c r="E339" t="s">
        <v>798</v>
      </c>
      <c r="F339" t="s">
        <v>793</v>
      </c>
    </row>
    <row r="340" spans="1:6" x14ac:dyDescent="0.25">
      <c r="A340" t="s">
        <v>1137</v>
      </c>
      <c r="B340" t="s">
        <v>14</v>
      </c>
      <c r="C340">
        <v>-1.231033</v>
      </c>
      <c r="D340">
        <v>28.851388</v>
      </c>
      <c r="E340" t="s">
        <v>798</v>
      </c>
      <c r="F340" t="s">
        <v>793</v>
      </c>
    </row>
    <row r="341" spans="1:6" x14ac:dyDescent="0.25">
      <c r="A341" t="s">
        <v>1138</v>
      </c>
      <c r="B341" t="s">
        <v>14</v>
      </c>
      <c r="C341">
        <v>-4.5180470000000001</v>
      </c>
      <c r="D341">
        <v>19.908223</v>
      </c>
      <c r="E341" t="s">
        <v>792</v>
      </c>
      <c r="F341" t="s">
        <v>796</v>
      </c>
    </row>
    <row r="342" spans="1:6" x14ac:dyDescent="0.25">
      <c r="A342" t="s">
        <v>1139</v>
      </c>
      <c r="B342" t="s">
        <v>64</v>
      </c>
      <c r="C342">
        <v>3.524343</v>
      </c>
      <c r="D342">
        <v>27.340824000000001</v>
      </c>
      <c r="E342" t="s">
        <v>795</v>
      </c>
      <c r="F342" t="s">
        <v>793</v>
      </c>
    </row>
    <row r="343" spans="1:6" x14ac:dyDescent="0.25">
      <c r="A343" t="s">
        <v>1140</v>
      </c>
      <c r="B343" t="s">
        <v>40</v>
      </c>
      <c r="C343">
        <v>-12.17557</v>
      </c>
      <c r="D343">
        <v>26.678691000000001</v>
      </c>
      <c r="E343" t="s">
        <v>795</v>
      </c>
      <c r="F343" t="s">
        <v>796</v>
      </c>
    </row>
    <row r="344" spans="1:6" x14ac:dyDescent="0.25">
      <c r="A344" t="s">
        <v>1141</v>
      </c>
      <c r="B344" t="s">
        <v>61</v>
      </c>
      <c r="C344">
        <v>-0.37665700000000002</v>
      </c>
      <c r="D344">
        <v>25.154807999999999</v>
      </c>
      <c r="E344" t="s">
        <v>798</v>
      </c>
      <c r="F344" t="s">
        <v>809</v>
      </c>
    </row>
    <row r="345" spans="1:6" x14ac:dyDescent="0.25">
      <c r="A345" t="s">
        <v>1142</v>
      </c>
      <c r="B345" t="s">
        <v>30</v>
      </c>
      <c r="C345">
        <v>-10.650321</v>
      </c>
      <c r="D345">
        <v>15.917044000000001</v>
      </c>
      <c r="E345" t="s">
        <v>795</v>
      </c>
      <c r="F345" t="s">
        <v>809</v>
      </c>
    </row>
    <row r="346" spans="1:6" x14ac:dyDescent="0.25">
      <c r="A346" t="s">
        <v>1143</v>
      </c>
      <c r="B346" t="s">
        <v>64</v>
      </c>
      <c r="C346">
        <v>-9.8995180000000005</v>
      </c>
      <c r="D346">
        <v>24.156687999999999</v>
      </c>
      <c r="E346" t="s">
        <v>795</v>
      </c>
      <c r="F346" t="s">
        <v>793</v>
      </c>
    </row>
    <row r="347" spans="1:6" x14ac:dyDescent="0.25">
      <c r="A347" t="s">
        <v>1144</v>
      </c>
      <c r="B347" t="s">
        <v>42</v>
      </c>
      <c r="C347">
        <v>-12.100756000000001</v>
      </c>
      <c r="D347">
        <v>21.938649999999999</v>
      </c>
      <c r="E347" t="s">
        <v>795</v>
      </c>
      <c r="F347" t="s">
        <v>796</v>
      </c>
    </row>
    <row r="348" spans="1:6" x14ac:dyDescent="0.25">
      <c r="A348" t="s">
        <v>1145</v>
      </c>
      <c r="B348" t="s">
        <v>158</v>
      </c>
      <c r="C348">
        <v>-7.4679279999999997</v>
      </c>
      <c r="D348">
        <v>19.828595</v>
      </c>
      <c r="E348" t="s">
        <v>792</v>
      </c>
      <c r="F348" t="s">
        <v>809</v>
      </c>
    </row>
    <row r="349" spans="1:6" x14ac:dyDescent="0.25">
      <c r="A349" t="s">
        <v>1146</v>
      </c>
      <c r="B349" t="s">
        <v>158</v>
      </c>
      <c r="C349">
        <v>1.286548</v>
      </c>
      <c r="D349">
        <v>29.823702999999998</v>
      </c>
      <c r="E349" t="s">
        <v>795</v>
      </c>
      <c r="F349" t="s">
        <v>799</v>
      </c>
    </row>
    <row r="350" spans="1:6" x14ac:dyDescent="0.25">
      <c r="A350" t="s">
        <v>1147</v>
      </c>
      <c r="B350" t="s">
        <v>107</v>
      </c>
      <c r="C350">
        <v>-4.7886769999999999</v>
      </c>
      <c r="D350">
        <v>23.600221999999999</v>
      </c>
      <c r="E350" t="s">
        <v>798</v>
      </c>
      <c r="F350" t="s">
        <v>799</v>
      </c>
    </row>
    <row r="351" spans="1:6" x14ac:dyDescent="0.25">
      <c r="A351" t="s">
        <v>1148</v>
      </c>
      <c r="B351" t="s">
        <v>71</v>
      </c>
      <c r="C351">
        <v>1.7832440000000001</v>
      </c>
      <c r="D351">
        <v>25.477405999999998</v>
      </c>
      <c r="E351" t="s">
        <v>792</v>
      </c>
      <c r="F351" t="s">
        <v>796</v>
      </c>
    </row>
    <row r="352" spans="1:6" x14ac:dyDescent="0.25">
      <c r="A352" t="s">
        <v>1149</v>
      </c>
      <c r="B352" t="s">
        <v>107</v>
      </c>
      <c r="C352">
        <v>-4.8560549999999996</v>
      </c>
      <c r="D352">
        <v>15.889538999999999</v>
      </c>
      <c r="E352" t="s">
        <v>798</v>
      </c>
      <c r="F352" t="s">
        <v>796</v>
      </c>
    </row>
    <row r="353" spans="1:6" x14ac:dyDescent="0.25">
      <c r="A353" t="s">
        <v>1150</v>
      </c>
      <c r="B353" t="s">
        <v>50</v>
      </c>
      <c r="C353">
        <v>-8.6707929999999998</v>
      </c>
      <c r="D353">
        <v>30.643781000000001</v>
      </c>
      <c r="E353" t="s">
        <v>795</v>
      </c>
      <c r="F353" t="s">
        <v>796</v>
      </c>
    </row>
    <row r="354" spans="1:6" x14ac:dyDescent="0.25">
      <c r="A354" t="s">
        <v>1151</v>
      </c>
      <c r="B354" t="s">
        <v>44</v>
      </c>
      <c r="C354">
        <v>-2.947235</v>
      </c>
      <c r="D354">
        <v>16.534020999999999</v>
      </c>
      <c r="E354" t="s">
        <v>798</v>
      </c>
      <c r="F354" t="s">
        <v>809</v>
      </c>
    </row>
    <row r="355" spans="1:6" x14ac:dyDescent="0.25">
      <c r="A355" t="s">
        <v>1152</v>
      </c>
      <c r="B355" t="s">
        <v>46</v>
      </c>
      <c r="C355">
        <v>-12.776386</v>
      </c>
      <c r="D355">
        <v>14.157596</v>
      </c>
      <c r="E355" t="s">
        <v>798</v>
      </c>
      <c r="F355" t="s">
        <v>809</v>
      </c>
    </row>
    <row r="356" spans="1:6" x14ac:dyDescent="0.25">
      <c r="A356" t="s">
        <v>1153</v>
      </c>
      <c r="B356" t="s">
        <v>46</v>
      </c>
      <c r="C356">
        <v>0.172153</v>
      </c>
      <c r="D356">
        <v>21.091376</v>
      </c>
      <c r="E356" t="s">
        <v>798</v>
      </c>
      <c r="F356" t="s">
        <v>793</v>
      </c>
    </row>
    <row r="357" spans="1:6" x14ac:dyDescent="0.25">
      <c r="A357" t="s">
        <v>1154</v>
      </c>
      <c r="B357" t="s">
        <v>14</v>
      </c>
      <c r="C357">
        <v>4.0988100000000003</v>
      </c>
      <c r="D357">
        <v>29.843810999999999</v>
      </c>
      <c r="E357" t="s">
        <v>798</v>
      </c>
      <c r="F357" t="s">
        <v>796</v>
      </c>
    </row>
    <row r="358" spans="1:6" x14ac:dyDescent="0.25">
      <c r="A358" t="s">
        <v>1155</v>
      </c>
      <c r="B358" t="s">
        <v>50</v>
      </c>
      <c r="C358">
        <v>-10.611184</v>
      </c>
      <c r="D358">
        <v>23.022268</v>
      </c>
      <c r="E358" t="s">
        <v>792</v>
      </c>
      <c r="F358" t="s">
        <v>799</v>
      </c>
    </row>
    <row r="359" spans="1:6" x14ac:dyDescent="0.25">
      <c r="A359" t="s">
        <v>1156</v>
      </c>
      <c r="B359" t="s">
        <v>44</v>
      </c>
      <c r="C359">
        <v>-7.6757720000000003</v>
      </c>
      <c r="D359">
        <v>30.222971000000001</v>
      </c>
      <c r="E359" t="s">
        <v>792</v>
      </c>
      <c r="F359" t="s">
        <v>793</v>
      </c>
    </row>
    <row r="360" spans="1:6" x14ac:dyDescent="0.25">
      <c r="A360" t="s">
        <v>1157</v>
      </c>
      <c r="B360" t="s">
        <v>74</v>
      </c>
      <c r="C360">
        <v>-1.342476</v>
      </c>
      <c r="D360">
        <v>15.986086</v>
      </c>
      <c r="E360" t="s">
        <v>795</v>
      </c>
      <c r="F360" t="s">
        <v>793</v>
      </c>
    </row>
    <row r="361" spans="1:6" x14ac:dyDescent="0.25">
      <c r="A361" t="s">
        <v>1158</v>
      </c>
      <c r="B361" t="s">
        <v>61</v>
      </c>
      <c r="C361">
        <v>-11.366868999999999</v>
      </c>
      <c r="D361">
        <v>26.155318000000001</v>
      </c>
      <c r="E361" t="s">
        <v>795</v>
      </c>
      <c r="F361" t="s">
        <v>796</v>
      </c>
    </row>
    <row r="362" spans="1:6" x14ac:dyDescent="0.25">
      <c r="A362" t="s">
        <v>1159</v>
      </c>
      <c r="B362" t="s">
        <v>71</v>
      </c>
      <c r="C362">
        <v>-4.3639070000000002</v>
      </c>
      <c r="D362">
        <v>16.283307000000001</v>
      </c>
      <c r="E362" t="s">
        <v>792</v>
      </c>
      <c r="F362" t="s">
        <v>796</v>
      </c>
    </row>
    <row r="363" spans="1:6" x14ac:dyDescent="0.25">
      <c r="A363" t="s">
        <v>1160</v>
      </c>
      <c r="B363" t="s">
        <v>64</v>
      </c>
      <c r="C363">
        <v>-7.5129409999999996</v>
      </c>
      <c r="D363">
        <v>18.701522000000001</v>
      </c>
      <c r="E363" t="s">
        <v>795</v>
      </c>
      <c r="F363" t="s">
        <v>809</v>
      </c>
    </row>
    <row r="364" spans="1:6" x14ac:dyDescent="0.25">
      <c r="A364" t="s">
        <v>1161</v>
      </c>
      <c r="B364" t="s">
        <v>32</v>
      </c>
      <c r="C364">
        <v>-0.34051900000000002</v>
      </c>
      <c r="D364">
        <v>17.079799000000001</v>
      </c>
      <c r="E364" t="s">
        <v>792</v>
      </c>
      <c r="F364" t="s">
        <v>793</v>
      </c>
    </row>
    <row r="365" spans="1:6" x14ac:dyDescent="0.25">
      <c r="A365" t="s">
        <v>1162</v>
      </c>
      <c r="B365" t="s">
        <v>67</v>
      </c>
      <c r="C365">
        <v>2.4425979999999998</v>
      </c>
      <c r="D365">
        <v>24.924308</v>
      </c>
      <c r="E365" t="s">
        <v>792</v>
      </c>
      <c r="F365" t="s">
        <v>793</v>
      </c>
    </row>
    <row r="366" spans="1:6" x14ac:dyDescent="0.25">
      <c r="A366" t="s">
        <v>1163</v>
      </c>
      <c r="B366" t="s">
        <v>24</v>
      </c>
      <c r="C366">
        <v>0.45116099999999998</v>
      </c>
      <c r="D366">
        <v>17.265761000000001</v>
      </c>
      <c r="E366" t="s">
        <v>795</v>
      </c>
      <c r="F366" t="s">
        <v>796</v>
      </c>
    </row>
    <row r="367" spans="1:6" x14ac:dyDescent="0.25">
      <c r="A367" t="s">
        <v>1164</v>
      </c>
      <c r="B367" t="s">
        <v>48</v>
      </c>
      <c r="C367">
        <v>-12.560556999999999</v>
      </c>
      <c r="D367">
        <v>13.204014000000001</v>
      </c>
      <c r="E367" t="s">
        <v>795</v>
      </c>
      <c r="F367" t="s">
        <v>793</v>
      </c>
    </row>
    <row r="368" spans="1:6" x14ac:dyDescent="0.25">
      <c r="A368" t="s">
        <v>1165</v>
      </c>
      <c r="B368" t="s">
        <v>74</v>
      </c>
      <c r="C368">
        <v>-4.8128659999999996</v>
      </c>
      <c r="D368">
        <v>18.559304999999998</v>
      </c>
      <c r="E368" t="s">
        <v>792</v>
      </c>
      <c r="F368" t="s">
        <v>799</v>
      </c>
    </row>
    <row r="369" spans="1:6" x14ac:dyDescent="0.25">
      <c r="A369" t="s">
        <v>1166</v>
      </c>
      <c r="B369" t="s">
        <v>24</v>
      </c>
      <c r="C369">
        <v>0.89302999999999999</v>
      </c>
      <c r="D369">
        <v>21.238310999999999</v>
      </c>
      <c r="E369" t="s">
        <v>792</v>
      </c>
      <c r="F369" t="s">
        <v>796</v>
      </c>
    </row>
    <row r="370" spans="1:6" x14ac:dyDescent="0.25">
      <c r="A370" t="s">
        <v>1167</v>
      </c>
      <c r="B370" t="s">
        <v>42</v>
      </c>
      <c r="C370">
        <v>2.7355830000000001</v>
      </c>
      <c r="D370">
        <v>22.006969000000002</v>
      </c>
      <c r="E370" t="s">
        <v>792</v>
      </c>
      <c r="F370" t="s">
        <v>793</v>
      </c>
    </row>
    <row r="371" spans="1:6" x14ac:dyDescent="0.25">
      <c r="A371" t="s">
        <v>1168</v>
      </c>
      <c r="B371" t="s">
        <v>36</v>
      </c>
      <c r="C371">
        <v>-5.7035130000000001</v>
      </c>
      <c r="D371">
        <v>14.331479</v>
      </c>
      <c r="E371" t="s">
        <v>792</v>
      </c>
      <c r="F371" t="s">
        <v>809</v>
      </c>
    </row>
    <row r="372" spans="1:6" x14ac:dyDescent="0.25">
      <c r="A372" t="s">
        <v>1169</v>
      </c>
      <c r="B372" t="s">
        <v>99</v>
      </c>
      <c r="C372">
        <v>1.217457</v>
      </c>
      <c r="D372">
        <v>25.48668</v>
      </c>
      <c r="E372" t="s">
        <v>792</v>
      </c>
      <c r="F372" t="s">
        <v>809</v>
      </c>
    </row>
    <row r="373" spans="1:6" x14ac:dyDescent="0.25">
      <c r="A373" t="s">
        <v>1170</v>
      </c>
      <c r="B373" t="s">
        <v>20</v>
      </c>
      <c r="C373">
        <v>-6.3324319999999998</v>
      </c>
      <c r="D373">
        <v>24.887858000000001</v>
      </c>
      <c r="E373" t="s">
        <v>795</v>
      </c>
      <c r="F373" t="s">
        <v>799</v>
      </c>
    </row>
    <row r="374" spans="1:6" x14ac:dyDescent="0.25">
      <c r="A374" t="s">
        <v>1171</v>
      </c>
      <c r="B374" t="s">
        <v>32</v>
      </c>
      <c r="C374">
        <v>-4.6426759999999998</v>
      </c>
      <c r="D374">
        <v>22.124254000000001</v>
      </c>
      <c r="E374" t="s">
        <v>795</v>
      </c>
      <c r="F374" t="s">
        <v>799</v>
      </c>
    </row>
    <row r="375" spans="1:6" x14ac:dyDescent="0.25">
      <c r="A375" t="s">
        <v>1172</v>
      </c>
      <c r="B375" t="s">
        <v>20</v>
      </c>
      <c r="C375">
        <v>-1.598759</v>
      </c>
      <c r="D375">
        <v>17.553023</v>
      </c>
      <c r="E375" t="s">
        <v>795</v>
      </c>
      <c r="F375" t="s">
        <v>796</v>
      </c>
    </row>
    <row r="376" spans="1:6" x14ac:dyDescent="0.25">
      <c r="A376" t="s">
        <v>1173</v>
      </c>
      <c r="B376" t="s">
        <v>71</v>
      </c>
      <c r="C376">
        <v>2.486888</v>
      </c>
      <c r="D376">
        <v>23.798074</v>
      </c>
      <c r="E376" t="s">
        <v>792</v>
      </c>
      <c r="F376" t="s">
        <v>799</v>
      </c>
    </row>
    <row r="377" spans="1:6" x14ac:dyDescent="0.25">
      <c r="A377" t="s">
        <v>1174</v>
      </c>
      <c r="B377" t="s">
        <v>71</v>
      </c>
      <c r="C377">
        <v>-11.727425</v>
      </c>
      <c r="D377">
        <v>27.198173000000001</v>
      </c>
      <c r="E377" t="s">
        <v>798</v>
      </c>
      <c r="F377" t="s">
        <v>793</v>
      </c>
    </row>
    <row r="378" spans="1:6" x14ac:dyDescent="0.25">
      <c r="A378" t="s">
        <v>1175</v>
      </c>
      <c r="B378" t="s">
        <v>30</v>
      </c>
      <c r="C378">
        <v>3.08182</v>
      </c>
      <c r="D378">
        <v>29.961940999999999</v>
      </c>
      <c r="E378" t="s">
        <v>795</v>
      </c>
      <c r="F378" t="s">
        <v>796</v>
      </c>
    </row>
    <row r="379" spans="1:6" x14ac:dyDescent="0.25">
      <c r="A379" t="s">
        <v>1176</v>
      </c>
      <c r="B379" t="s">
        <v>32</v>
      </c>
      <c r="C379">
        <v>-7.0076900000000002</v>
      </c>
      <c r="D379">
        <v>27.367121999999998</v>
      </c>
      <c r="E379" t="s">
        <v>798</v>
      </c>
      <c r="F379" t="s">
        <v>809</v>
      </c>
    </row>
    <row r="380" spans="1:6" x14ac:dyDescent="0.25">
      <c r="A380" t="s">
        <v>1177</v>
      </c>
      <c r="B380" t="s">
        <v>74</v>
      </c>
      <c r="C380">
        <v>-12.411144999999999</v>
      </c>
      <c r="D380">
        <v>29.876642</v>
      </c>
      <c r="E380" t="s">
        <v>795</v>
      </c>
      <c r="F380" t="s">
        <v>793</v>
      </c>
    </row>
    <row r="381" spans="1:6" x14ac:dyDescent="0.25">
      <c r="A381" t="s">
        <v>1178</v>
      </c>
      <c r="B381" t="s">
        <v>71</v>
      </c>
      <c r="C381">
        <v>-5.3337589999999997</v>
      </c>
      <c r="D381">
        <v>13.246924</v>
      </c>
      <c r="E381" t="s">
        <v>798</v>
      </c>
      <c r="F381" t="s">
        <v>793</v>
      </c>
    </row>
    <row r="382" spans="1:6" x14ac:dyDescent="0.25">
      <c r="A382" t="s">
        <v>1179</v>
      </c>
      <c r="B382" t="s">
        <v>74</v>
      </c>
      <c r="C382">
        <v>-8.1437910000000002</v>
      </c>
      <c r="D382">
        <v>28.946161</v>
      </c>
      <c r="E382" t="s">
        <v>795</v>
      </c>
      <c r="F382" t="s">
        <v>799</v>
      </c>
    </row>
    <row r="383" spans="1:6" x14ac:dyDescent="0.25">
      <c r="A383" t="s">
        <v>1180</v>
      </c>
      <c r="B383" t="s">
        <v>59</v>
      </c>
      <c r="C383">
        <v>4.0297190000000001</v>
      </c>
      <c r="D383">
        <v>20.699608000000001</v>
      </c>
      <c r="E383" t="s">
        <v>795</v>
      </c>
      <c r="F383" t="s">
        <v>793</v>
      </c>
    </row>
    <row r="384" spans="1:6" x14ac:dyDescent="0.25">
      <c r="A384" t="s">
        <v>1181</v>
      </c>
      <c r="B384" t="s">
        <v>74</v>
      </c>
      <c r="C384">
        <v>-3.2361680000000002</v>
      </c>
      <c r="D384">
        <v>13.523237999999999</v>
      </c>
      <c r="E384" t="s">
        <v>795</v>
      </c>
      <c r="F384" t="s">
        <v>796</v>
      </c>
    </row>
    <row r="385" spans="1:6" x14ac:dyDescent="0.25">
      <c r="A385" t="s">
        <v>1182</v>
      </c>
      <c r="B385" t="s">
        <v>99</v>
      </c>
      <c r="C385">
        <v>1.3006180000000001</v>
      </c>
      <c r="D385">
        <v>29.060970999999999</v>
      </c>
      <c r="E385" t="s">
        <v>798</v>
      </c>
      <c r="F385" t="s">
        <v>799</v>
      </c>
    </row>
    <row r="386" spans="1:6" x14ac:dyDescent="0.25">
      <c r="A386" t="s">
        <v>1183</v>
      </c>
      <c r="B386" t="s">
        <v>32</v>
      </c>
      <c r="C386">
        <v>1.178453</v>
      </c>
      <c r="D386">
        <v>17.479081000000001</v>
      </c>
      <c r="E386" t="s">
        <v>798</v>
      </c>
      <c r="F386" t="s">
        <v>793</v>
      </c>
    </row>
    <row r="387" spans="1:6" x14ac:dyDescent="0.25">
      <c r="A387" t="s">
        <v>1184</v>
      </c>
      <c r="B387" t="s">
        <v>17</v>
      </c>
      <c r="C387">
        <v>-11.542737000000001</v>
      </c>
      <c r="D387">
        <v>30.175912</v>
      </c>
      <c r="E387" t="s">
        <v>795</v>
      </c>
      <c r="F387" t="s">
        <v>809</v>
      </c>
    </row>
    <row r="388" spans="1:6" x14ac:dyDescent="0.25">
      <c r="A388" t="s">
        <v>1185</v>
      </c>
      <c r="B388" t="s">
        <v>17</v>
      </c>
      <c r="C388">
        <v>2.8552499999999998</v>
      </c>
      <c r="D388">
        <v>14.077933</v>
      </c>
      <c r="E388" t="s">
        <v>795</v>
      </c>
      <c r="F388" t="s">
        <v>799</v>
      </c>
    </row>
    <row r="389" spans="1:6" x14ac:dyDescent="0.25">
      <c r="A389" t="s">
        <v>1186</v>
      </c>
      <c r="B389" t="s">
        <v>24</v>
      </c>
      <c r="C389">
        <v>0.24369399999999999</v>
      </c>
      <c r="D389">
        <v>17.242912</v>
      </c>
      <c r="E389" t="s">
        <v>795</v>
      </c>
      <c r="F389" t="s">
        <v>809</v>
      </c>
    </row>
    <row r="390" spans="1:6" x14ac:dyDescent="0.25">
      <c r="A390" t="s">
        <v>1187</v>
      </c>
      <c r="B390" t="s">
        <v>20</v>
      </c>
      <c r="C390">
        <v>-12.013389999999999</v>
      </c>
      <c r="D390">
        <v>25.24456</v>
      </c>
      <c r="E390" t="s">
        <v>798</v>
      </c>
      <c r="F390" t="s">
        <v>796</v>
      </c>
    </row>
    <row r="391" spans="1:6" x14ac:dyDescent="0.25">
      <c r="A391" t="s">
        <v>1188</v>
      </c>
      <c r="B391" t="s">
        <v>158</v>
      </c>
      <c r="C391">
        <v>4.0157999999999996</v>
      </c>
      <c r="D391">
        <v>21.430246</v>
      </c>
      <c r="E391" t="s">
        <v>792</v>
      </c>
      <c r="F391" t="s">
        <v>809</v>
      </c>
    </row>
    <row r="392" spans="1:6" x14ac:dyDescent="0.25">
      <c r="A392" t="s">
        <v>1189</v>
      </c>
      <c r="B392" t="s">
        <v>67</v>
      </c>
      <c r="C392">
        <v>-0.85624699999999998</v>
      </c>
      <c r="D392">
        <v>28.624870000000001</v>
      </c>
      <c r="E392" t="s">
        <v>798</v>
      </c>
      <c r="F392" t="s">
        <v>793</v>
      </c>
    </row>
    <row r="393" spans="1:6" x14ac:dyDescent="0.25">
      <c r="A393" t="s">
        <v>1190</v>
      </c>
      <c r="B393" t="s">
        <v>17</v>
      </c>
      <c r="C393">
        <v>2.9836019999999999</v>
      </c>
      <c r="D393">
        <v>21.893065</v>
      </c>
      <c r="E393" t="s">
        <v>792</v>
      </c>
      <c r="F393" t="s">
        <v>809</v>
      </c>
    </row>
    <row r="394" spans="1:6" x14ac:dyDescent="0.25">
      <c r="A394" t="s">
        <v>1191</v>
      </c>
      <c r="B394" t="s">
        <v>32</v>
      </c>
      <c r="C394">
        <v>-11.002602</v>
      </c>
      <c r="D394">
        <v>23.918247999999998</v>
      </c>
      <c r="E394" t="s">
        <v>792</v>
      </c>
      <c r="F394" t="s">
        <v>799</v>
      </c>
    </row>
    <row r="395" spans="1:6" x14ac:dyDescent="0.25">
      <c r="A395" t="s">
        <v>1192</v>
      </c>
      <c r="B395" t="s">
        <v>67</v>
      </c>
      <c r="C395">
        <v>-6.419365</v>
      </c>
      <c r="D395">
        <v>17.570219000000002</v>
      </c>
      <c r="E395" t="s">
        <v>795</v>
      </c>
      <c r="F395" t="s">
        <v>796</v>
      </c>
    </row>
    <row r="396" spans="1:6" x14ac:dyDescent="0.25">
      <c r="A396" t="s">
        <v>1193</v>
      </c>
      <c r="B396" t="s">
        <v>34</v>
      </c>
      <c r="C396">
        <v>-1.8555980000000001</v>
      </c>
      <c r="D396">
        <v>30.421918000000002</v>
      </c>
      <c r="E396" t="s">
        <v>798</v>
      </c>
      <c r="F396" t="s">
        <v>799</v>
      </c>
    </row>
    <row r="397" spans="1:6" x14ac:dyDescent="0.25">
      <c r="A397" t="s">
        <v>1194</v>
      </c>
      <c r="B397" t="s">
        <v>24</v>
      </c>
      <c r="C397">
        <v>-6.4197189999999997</v>
      </c>
      <c r="D397">
        <v>22.287264</v>
      </c>
      <c r="E397" t="s">
        <v>798</v>
      </c>
      <c r="F397" t="s">
        <v>793</v>
      </c>
    </row>
    <row r="398" spans="1:6" x14ac:dyDescent="0.25">
      <c r="A398" t="s">
        <v>1195</v>
      </c>
      <c r="B398" t="s">
        <v>46</v>
      </c>
      <c r="C398">
        <v>-9.8451869999999992</v>
      </c>
      <c r="D398">
        <v>14.508520000000001</v>
      </c>
      <c r="E398" t="s">
        <v>792</v>
      </c>
      <c r="F398" t="s">
        <v>809</v>
      </c>
    </row>
    <row r="399" spans="1:6" x14ac:dyDescent="0.25">
      <c r="A399" t="s">
        <v>1196</v>
      </c>
      <c r="B399" t="s">
        <v>46</v>
      </c>
      <c r="C399">
        <v>-2.9417719999999998</v>
      </c>
      <c r="D399">
        <v>18.587305000000001</v>
      </c>
      <c r="E399" t="s">
        <v>792</v>
      </c>
      <c r="F399" t="s">
        <v>793</v>
      </c>
    </row>
    <row r="400" spans="1:6" x14ac:dyDescent="0.25">
      <c r="A400" t="s">
        <v>1197</v>
      </c>
      <c r="B400" t="s">
        <v>8</v>
      </c>
      <c r="C400">
        <v>-11.793894</v>
      </c>
      <c r="D400">
        <v>20.433340999999999</v>
      </c>
      <c r="E400" t="s">
        <v>792</v>
      </c>
      <c r="F400" t="s">
        <v>809</v>
      </c>
    </row>
    <row r="401" spans="1:6" x14ac:dyDescent="0.25">
      <c r="A401" t="s">
        <v>1198</v>
      </c>
      <c r="B401" t="s">
        <v>71</v>
      </c>
      <c r="C401">
        <v>0.114899</v>
      </c>
      <c r="D401">
        <v>30.510916000000002</v>
      </c>
      <c r="E401" t="s">
        <v>798</v>
      </c>
      <c r="F401" t="s">
        <v>809</v>
      </c>
    </row>
    <row r="402" spans="1:6" x14ac:dyDescent="0.25">
      <c r="A402" t="s">
        <v>1199</v>
      </c>
      <c r="B402" t="s">
        <v>46</v>
      </c>
      <c r="C402">
        <v>-5.5445120000000001</v>
      </c>
      <c r="D402">
        <v>27.547335</v>
      </c>
      <c r="E402" t="s">
        <v>795</v>
      </c>
      <c r="F402" t="s">
        <v>793</v>
      </c>
    </row>
    <row r="403" spans="1:6" x14ac:dyDescent="0.25">
      <c r="A403" t="s">
        <v>1200</v>
      </c>
      <c r="B403" t="s">
        <v>158</v>
      </c>
      <c r="C403">
        <v>2.0392079999999999</v>
      </c>
      <c r="D403">
        <v>19.090841999999999</v>
      </c>
      <c r="E403" t="s">
        <v>795</v>
      </c>
      <c r="F403" t="s">
        <v>809</v>
      </c>
    </row>
    <row r="404" spans="1:6" x14ac:dyDescent="0.25">
      <c r="A404" t="s">
        <v>1201</v>
      </c>
      <c r="B404" t="s">
        <v>36</v>
      </c>
      <c r="C404">
        <v>-2.2371569999999998</v>
      </c>
      <c r="D404">
        <v>25.926188</v>
      </c>
      <c r="E404" t="s">
        <v>798</v>
      </c>
      <c r="F404" t="s">
        <v>809</v>
      </c>
    </row>
    <row r="405" spans="1:6" x14ac:dyDescent="0.25">
      <c r="A405" t="s">
        <v>1202</v>
      </c>
      <c r="B405" t="s">
        <v>48</v>
      </c>
      <c r="C405">
        <v>-10.414493</v>
      </c>
      <c r="D405">
        <v>12.333356999999999</v>
      </c>
      <c r="E405" t="s">
        <v>798</v>
      </c>
      <c r="F405" t="s">
        <v>793</v>
      </c>
    </row>
    <row r="406" spans="1:6" x14ac:dyDescent="0.25">
      <c r="A406" t="s">
        <v>1203</v>
      </c>
      <c r="B406" t="s">
        <v>99</v>
      </c>
      <c r="C406">
        <v>-7.5418399999999997</v>
      </c>
      <c r="D406">
        <v>16.931206</v>
      </c>
      <c r="E406" t="s">
        <v>798</v>
      </c>
      <c r="F406" t="s">
        <v>809</v>
      </c>
    </row>
    <row r="407" spans="1:6" x14ac:dyDescent="0.25">
      <c r="A407" t="s">
        <v>1204</v>
      </c>
      <c r="B407" t="s">
        <v>64</v>
      </c>
      <c r="C407">
        <v>4.7908840000000001</v>
      </c>
      <c r="D407">
        <v>23.051435000000001</v>
      </c>
      <c r="E407" t="s">
        <v>798</v>
      </c>
      <c r="F407" t="s">
        <v>809</v>
      </c>
    </row>
    <row r="408" spans="1:6" x14ac:dyDescent="0.25">
      <c r="A408" t="s">
        <v>1205</v>
      </c>
      <c r="B408" t="s">
        <v>61</v>
      </c>
      <c r="C408">
        <v>-3.544581</v>
      </c>
      <c r="D408">
        <v>14.776605</v>
      </c>
      <c r="E408" t="s">
        <v>795</v>
      </c>
      <c r="F408" t="s">
        <v>809</v>
      </c>
    </row>
    <row r="409" spans="1:6" x14ac:dyDescent="0.25">
      <c r="A409" t="s">
        <v>1206</v>
      </c>
      <c r="B409" t="s">
        <v>42</v>
      </c>
      <c r="C409">
        <v>-6.9624990000000002</v>
      </c>
      <c r="D409">
        <v>20.759834999999999</v>
      </c>
      <c r="E409" t="s">
        <v>795</v>
      </c>
      <c r="F409" t="s">
        <v>796</v>
      </c>
    </row>
    <row r="410" spans="1:6" x14ac:dyDescent="0.25">
      <c r="A410" t="s">
        <v>1207</v>
      </c>
      <c r="B410" t="s">
        <v>26</v>
      </c>
      <c r="C410">
        <v>3.796754</v>
      </c>
      <c r="D410">
        <v>25.172377999999998</v>
      </c>
      <c r="E410" t="s">
        <v>795</v>
      </c>
      <c r="F410" t="s">
        <v>796</v>
      </c>
    </row>
    <row r="411" spans="1:6" x14ac:dyDescent="0.25">
      <c r="A411" t="s">
        <v>1208</v>
      </c>
      <c r="B411" t="s">
        <v>26</v>
      </c>
      <c r="C411">
        <v>-2.3677800000000002</v>
      </c>
      <c r="D411">
        <v>18.790323999999998</v>
      </c>
      <c r="E411" t="s">
        <v>792</v>
      </c>
      <c r="F411" t="s">
        <v>796</v>
      </c>
    </row>
    <row r="412" spans="1:6" x14ac:dyDescent="0.25">
      <c r="A412" t="s">
        <v>1209</v>
      </c>
      <c r="B412" t="s">
        <v>64</v>
      </c>
      <c r="C412">
        <v>-6.236097</v>
      </c>
      <c r="D412">
        <v>13.004878</v>
      </c>
      <c r="E412" t="s">
        <v>795</v>
      </c>
      <c r="F412" t="s">
        <v>793</v>
      </c>
    </row>
    <row r="413" spans="1:6" x14ac:dyDescent="0.25">
      <c r="A413" t="s">
        <v>1210</v>
      </c>
      <c r="B413" t="s">
        <v>67</v>
      </c>
      <c r="C413">
        <v>-12.88086</v>
      </c>
      <c r="D413">
        <v>18.862106000000001</v>
      </c>
      <c r="E413" t="s">
        <v>798</v>
      </c>
      <c r="F413" t="s">
        <v>809</v>
      </c>
    </row>
    <row r="414" spans="1:6" x14ac:dyDescent="0.25">
      <c r="A414" t="s">
        <v>1211</v>
      </c>
      <c r="B414" t="s">
        <v>34</v>
      </c>
      <c r="C414">
        <v>-1.501492</v>
      </c>
      <c r="D414">
        <v>24.088695999999999</v>
      </c>
      <c r="E414" t="s">
        <v>795</v>
      </c>
      <c r="F414" t="s">
        <v>809</v>
      </c>
    </row>
    <row r="415" spans="1:6" x14ac:dyDescent="0.25">
      <c r="A415" t="s">
        <v>1212</v>
      </c>
      <c r="B415" t="s">
        <v>48</v>
      </c>
      <c r="C415">
        <v>-8.0800809999999998</v>
      </c>
      <c r="D415">
        <v>30.147970999999998</v>
      </c>
      <c r="E415" t="s">
        <v>792</v>
      </c>
      <c r="F415" t="s">
        <v>796</v>
      </c>
    </row>
    <row r="416" spans="1:6" x14ac:dyDescent="0.25">
      <c r="A416" t="s">
        <v>1213</v>
      </c>
      <c r="B416" t="s">
        <v>24</v>
      </c>
      <c r="C416">
        <v>-9.8519260000000006</v>
      </c>
      <c r="D416">
        <v>12.925583</v>
      </c>
      <c r="E416" t="s">
        <v>792</v>
      </c>
      <c r="F416" t="s">
        <v>793</v>
      </c>
    </row>
    <row r="417" spans="1:6" x14ac:dyDescent="0.25">
      <c r="A417" t="s">
        <v>1214</v>
      </c>
      <c r="B417" t="s">
        <v>30</v>
      </c>
      <c r="C417">
        <v>-4.6818410000000004</v>
      </c>
      <c r="D417">
        <v>17.541618</v>
      </c>
      <c r="E417" t="s">
        <v>795</v>
      </c>
      <c r="F417" t="s">
        <v>793</v>
      </c>
    </row>
    <row r="418" spans="1:6" x14ac:dyDescent="0.25">
      <c r="A418" t="s">
        <v>1215</v>
      </c>
      <c r="B418" t="s">
        <v>50</v>
      </c>
      <c r="C418">
        <v>-2.7775059999999998</v>
      </c>
      <c r="D418">
        <v>24.139983999999998</v>
      </c>
      <c r="E418" t="s">
        <v>798</v>
      </c>
      <c r="F418" t="s">
        <v>793</v>
      </c>
    </row>
    <row r="419" spans="1:6" x14ac:dyDescent="0.25">
      <c r="A419" t="s">
        <v>1216</v>
      </c>
      <c r="B419" t="s">
        <v>50</v>
      </c>
      <c r="C419">
        <v>3.4676979999999999</v>
      </c>
      <c r="D419">
        <v>13.459707</v>
      </c>
      <c r="E419" t="s">
        <v>792</v>
      </c>
      <c r="F419" t="s">
        <v>796</v>
      </c>
    </row>
    <row r="420" spans="1:6" x14ac:dyDescent="0.25">
      <c r="A420" t="s">
        <v>1217</v>
      </c>
      <c r="B420" t="s">
        <v>67</v>
      </c>
      <c r="C420">
        <v>-9.4133639999999996</v>
      </c>
      <c r="D420">
        <v>15.682482</v>
      </c>
      <c r="E420" t="s">
        <v>795</v>
      </c>
      <c r="F420" t="s">
        <v>796</v>
      </c>
    </row>
    <row r="421" spans="1:6" x14ac:dyDescent="0.25">
      <c r="A421" t="s">
        <v>1218</v>
      </c>
      <c r="B421" t="s">
        <v>17</v>
      </c>
      <c r="C421">
        <v>1.981107</v>
      </c>
      <c r="D421">
        <v>23.932569000000001</v>
      </c>
      <c r="E421" t="s">
        <v>798</v>
      </c>
      <c r="F421" t="s">
        <v>809</v>
      </c>
    </row>
    <row r="422" spans="1:6" x14ac:dyDescent="0.25">
      <c r="A422" t="s">
        <v>1219</v>
      </c>
      <c r="B422" t="s">
        <v>26</v>
      </c>
      <c r="C422">
        <v>-7.789663</v>
      </c>
      <c r="D422">
        <v>26.529098000000001</v>
      </c>
      <c r="E422" t="s">
        <v>792</v>
      </c>
      <c r="F422" t="s">
        <v>809</v>
      </c>
    </row>
    <row r="423" spans="1:6" x14ac:dyDescent="0.25">
      <c r="A423" t="s">
        <v>1220</v>
      </c>
      <c r="B423" t="s">
        <v>40</v>
      </c>
      <c r="C423">
        <v>-4.1694589999999998</v>
      </c>
      <c r="D423">
        <v>23.376487000000001</v>
      </c>
      <c r="E423" t="s">
        <v>798</v>
      </c>
      <c r="F423" t="s">
        <v>809</v>
      </c>
    </row>
    <row r="424" spans="1:6" x14ac:dyDescent="0.25">
      <c r="A424" t="s">
        <v>1221</v>
      </c>
      <c r="B424" t="s">
        <v>34</v>
      </c>
      <c r="C424">
        <v>1.8103860000000001</v>
      </c>
      <c r="D424">
        <v>15.175582</v>
      </c>
      <c r="E424" t="s">
        <v>798</v>
      </c>
      <c r="F424" t="s">
        <v>796</v>
      </c>
    </row>
    <row r="425" spans="1:6" x14ac:dyDescent="0.25">
      <c r="A425" t="s">
        <v>1222</v>
      </c>
      <c r="B425" t="s">
        <v>59</v>
      </c>
      <c r="C425">
        <v>-7.5641280000000002</v>
      </c>
      <c r="D425">
        <v>18.129529999999999</v>
      </c>
      <c r="E425" t="s">
        <v>798</v>
      </c>
      <c r="F425" t="s">
        <v>796</v>
      </c>
    </row>
    <row r="426" spans="1:6" x14ac:dyDescent="0.25">
      <c r="A426" t="s">
        <v>1223</v>
      </c>
      <c r="B426" t="s">
        <v>8</v>
      </c>
      <c r="C426">
        <v>-2.4662510000000002</v>
      </c>
      <c r="D426">
        <v>18.007998000000001</v>
      </c>
      <c r="E426" t="s">
        <v>792</v>
      </c>
      <c r="F426" t="s">
        <v>793</v>
      </c>
    </row>
    <row r="427" spans="1:6" x14ac:dyDescent="0.25">
      <c r="A427" t="s">
        <v>1224</v>
      </c>
      <c r="B427" t="s">
        <v>32</v>
      </c>
      <c r="C427">
        <v>-4.1061909999999999</v>
      </c>
      <c r="D427">
        <v>28.054902999999999</v>
      </c>
      <c r="E427" t="s">
        <v>798</v>
      </c>
      <c r="F427" t="s">
        <v>796</v>
      </c>
    </row>
    <row r="428" spans="1:6" x14ac:dyDescent="0.25">
      <c r="A428" t="s">
        <v>1225</v>
      </c>
      <c r="B428" t="s">
        <v>40</v>
      </c>
      <c r="C428">
        <v>0.31740800000000002</v>
      </c>
      <c r="D428">
        <v>27.197666999999999</v>
      </c>
      <c r="E428" t="s">
        <v>792</v>
      </c>
      <c r="F428" t="s">
        <v>809</v>
      </c>
    </row>
    <row r="429" spans="1:6" x14ac:dyDescent="0.25">
      <c r="A429" t="s">
        <v>1226</v>
      </c>
      <c r="B429" t="s">
        <v>34</v>
      </c>
      <c r="C429">
        <v>-8.9586360000000003</v>
      </c>
      <c r="D429">
        <v>17.157720000000001</v>
      </c>
      <c r="E429" t="s">
        <v>798</v>
      </c>
      <c r="F429" t="s">
        <v>809</v>
      </c>
    </row>
    <row r="430" spans="1:6" x14ac:dyDescent="0.25">
      <c r="A430" t="s">
        <v>1227</v>
      </c>
      <c r="B430" t="s">
        <v>40</v>
      </c>
      <c r="C430">
        <v>1.2419519999999999</v>
      </c>
      <c r="D430">
        <v>25.261382999999999</v>
      </c>
      <c r="E430" t="s">
        <v>795</v>
      </c>
      <c r="F430" t="s">
        <v>796</v>
      </c>
    </row>
    <row r="431" spans="1:6" x14ac:dyDescent="0.25">
      <c r="A431" t="s">
        <v>1228</v>
      </c>
      <c r="B431" t="s">
        <v>99</v>
      </c>
      <c r="C431">
        <v>-10.227569000000001</v>
      </c>
      <c r="D431">
        <v>18.887930999999998</v>
      </c>
      <c r="E431" t="s">
        <v>798</v>
      </c>
      <c r="F431" t="s">
        <v>799</v>
      </c>
    </row>
    <row r="432" spans="1:6" x14ac:dyDescent="0.25">
      <c r="A432" t="s">
        <v>1229</v>
      </c>
      <c r="B432" t="s">
        <v>107</v>
      </c>
      <c r="C432">
        <v>-7.5969509999999998</v>
      </c>
      <c r="D432">
        <v>22.153986</v>
      </c>
      <c r="E432" t="s">
        <v>798</v>
      </c>
      <c r="F432" t="s">
        <v>793</v>
      </c>
    </row>
    <row r="433" spans="1:6" x14ac:dyDescent="0.25">
      <c r="A433" t="s">
        <v>1230</v>
      </c>
      <c r="B433" t="s">
        <v>40</v>
      </c>
      <c r="C433">
        <v>-1.4700059999999999</v>
      </c>
      <c r="D433">
        <v>18.680958</v>
      </c>
      <c r="E433" t="s">
        <v>798</v>
      </c>
      <c r="F433" t="s">
        <v>796</v>
      </c>
    </row>
    <row r="434" spans="1:6" x14ac:dyDescent="0.25">
      <c r="A434" t="s">
        <v>1231</v>
      </c>
      <c r="B434" t="s">
        <v>40</v>
      </c>
      <c r="C434">
        <v>-1.5419050000000001</v>
      </c>
      <c r="D434">
        <v>14.730632999999999</v>
      </c>
      <c r="E434" t="s">
        <v>798</v>
      </c>
      <c r="F434" t="s">
        <v>799</v>
      </c>
    </row>
    <row r="435" spans="1:6" x14ac:dyDescent="0.25">
      <c r="A435" t="s">
        <v>1232</v>
      </c>
      <c r="B435" t="s">
        <v>107</v>
      </c>
      <c r="C435">
        <v>-10.764815</v>
      </c>
      <c r="D435">
        <v>14.602039</v>
      </c>
      <c r="E435" t="s">
        <v>795</v>
      </c>
      <c r="F435" t="s">
        <v>809</v>
      </c>
    </row>
    <row r="436" spans="1:6" x14ac:dyDescent="0.25">
      <c r="A436" t="s">
        <v>1233</v>
      </c>
      <c r="B436" t="s">
        <v>42</v>
      </c>
      <c r="C436">
        <v>-1.013558</v>
      </c>
      <c r="D436">
        <v>17.346937</v>
      </c>
      <c r="E436" t="s">
        <v>792</v>
      </c>
      <c r="F436" t="s">
        <v>796</v>
      </c>
    </row>
    <row r="437" spans="1:6" x14ac:dyDescent="0.25">
      <c r="A437" t="s">
        <v>1234</v>
      </c>
      <c r="B437" t="s">
        <v>61</v>
      </c>
      <c r="C437">
        <v>-7.8215969999999997</v>
      </c>
      <c r="D437">
        <v>26.797349000000001</v>
      </c>
      <c r="E437" t="s">
        <v>798</v>
      </c>
      <c r="F437" t="s">
        <v>793</v>
      </c>
    </row>
    <row r="438" spans="1:6" x14ac:dyDescent="0.25">
      <c r="A438" t="s">
        <v>1235</v>
      </c>
      <c r="B438" t="s">
        <v>64</v>
      </c>
      <c r="C438">
        <v>-9.7712979999999998</v>
      </c>
      <c r="D438">
        <v>19.827895999999999</v>
      </c>
      <c r="E438" t="s">
        <v>798</v>
      </c>
      <c r="F438" t="s">
        <v>799</v>
      </c>
    </row>
    <row r="439" spans="1:6" x14ac:dyDescent="0.25">
      <c r="A439" t="s">
        <v>1236</v>
      </c>
      <c r="B439" t="s">
        <v>48</v>
      </c>
      <c r="C439">
        <v>3.3222779999999998</v>
      </c>
      <c r="D439">
        <v>29.497240000000001</v>
      </c>
      <c r="E439" t="s">
        <v>798</v>
      </c>
      <c r="F439" t="s">
        <v>799</v>
      </c>
    </row>
    <row r="440" spans="1:6" x14ac:dyDescent="0.25">
      <c r="A440" t="s">
        <v>1237</v>
      </c>
      <c r="B440" t="s">
        <v>20</v>
      </c>
      <c r="C440">
        <v>-1.3938550000000001</v>
      </c>
      <c r="D440">
        <v>15.097554000000001</v>
      </c>
      <c r="E440" t="s">
        <v>795</v>
      </c>
      <c r="F440" t="s">
        <v>796</v>
      </c>
    </row>
    <row r="441" spans="1:6" x14ac:dyDescent="0.25">
      <c r="A441" t="s">
        <v>1238</v>
      </c>
      <c r="B441" t="s">
        <v>42</v>
      </c>
      <c r="C441">
        <v>-12.488033</v>
      </c>
      <c r="D441">
        <v>16.139648000000001</v>
      </c>
      <c r="E441" t="s">
        <v>795</v>
      </c>
      <c r="F441" t="s">
        <v>796</v>
      </c>
    </row>
    <row r="442" spans="1:6" x14ac:dyDescent="0.25">
      <c r="A442" t="s">
        <v>1239</v>
      </c>
      <c r="B442" t="s">
        <v>20</v>
      </c>
      <c r="C442">
        <v>0.76493</v>
      </c>
      <c r="D442">
        <v>21.564274999999999</v>
      </c>
      <c r="E442" t="s">
        <v>798</v>
      </c>
      <c r="F442" t="s">
        <v>799</v>
      </c>
    </row>
    <row r="443" spans="1:6" x14ac:dyDescent="0.25">
      <c r="A443" t="s">
        <v>1240</v>
      </c>
      <c r="B443" t="s">
        <v>32</v>
      </c>
      <c r="C443">
        <v>-4.1250960000000001</v>
      </c>
      <c r="D443">
        <v>27.799897999999999</v>
      </c>
      <c r="E443" t="s">
        <v>798</v>
      </c>
      <c r="F443" t="s">
        <v>809</v>
      </c>
    </row>
    <row r="444" spans="1:6" x14ac:dyDescent="0.25">
      <c r="A444" t="s">
        <v>1241</v>
      </c>
      <c r="B444" t="s">
        <v>46</v>
      </c>
      <c r="C444">
        <v>4.4712560000000003</v>
      </c>
      <c r="D444">
        <v>27.107028</v>
      </c>
      <c r="E444" t="s">
        <v>798</v>
      </c>
      <c r="F444" t="s">
        <v>793</v>
      </c>
    </row>
    <row r="445" spans="1:6" x14ac:dyDescent="0.25">
      <c r="A445" t="s">
        <v>1242</v>
      </c>
      <c r="B445" t="s">
        <v>42</v>
      </c>
      <c r="C445">
        <v>-2.2199559999999998</v>
      </c>
      <c r="D445">
        <v>22.614449</v>
      </c>
      <c r="E445" t="s">
        <v>798</v>
      </c>
      <c r="F445" t="s">
        <v>809</v>
      </c>
    </row>
    <row r="446" spans="1:6" x14ac:dyDescent="0.25">
      <c r="A446" t="s">
        <v>1243</v>
      </c>
      <c r="B446" t="s">
        <v>107</v>
      </c>
      <c r="C446">
        <v>-6.4883290000000002</v>
      </c>
      <c r="D446">
        <v>25.103404000000001</v>
      </c>
      <c r="E446" t="s">
        <v>792</v>
      </c>
      <c r="F446" t="s">
        <v>799</v>
      </c>
    </row>
    <row r="447" spans="1:6" x14ac:dyDescent="0.25">
      <c r="A447" t="s">
        <v>1244</v>
      </c>
      <c r="B447" t="s">
        <v>44</v>
      </c>
      <c r="C447">
        <v>-4.351254</v>
      </c>
      <c r="D447">
        <v>30.097408999999999</v>
      </c>
      <c r="E447" t="s">
        <v>792</v>
      </c>
      <c r="F447" t="s">
        <v>809</v>
      </c>
    </row>
    <row r="448" spans="1:6" x14ac:dyDescent="0.25">
      <c r="A448" t="s">
        <v>1245</v>
      </c>
      <c r="B448" t="s">
        <v>46</v>
      </c>
      <c r="C448">
        <v>-5.1507670000000001</v>
      </c>
      <c r="D448">
        <v>28.075324999999999</v>
      </c>
      <c r="E448" t="s">
        <v>792</v>
      </c>
      <c r="F448" t="s">
        <v>796</v>
      </c>
    </row>
    <row r="449" spans="1:6" x14ac:dyDescent="0.25">
      <c r="A449" t="s">
        <v>1246</v>
      </c>
      <c r="B449" t="s">
        <v>20</v>
      </c>
      <c r="C449">
        <v>-8.3575920000000004</v>
      </c>
      <c r="D449">
        <v>25.538395000000001</v>
      </c>
      <c r="E449" t="s">
        <v>798</v>
      </c>
      <c r="F449" t="s">
        <v>799</v>
      </c>
    </row>
    <row r="450" spans="1:6" x14ac:dyDescent="0.25">
      <c r="A450" t="s">
        <v>1247</v>
      </c>
      <c r="B450" t="s">
        <v>32</v>
      </c>
      <c r="C450">
        <v>-0.65356899999999996</v>
      </c>
      <c r="D450">
        <v>25.343032999999998</v>
      </c>
      <c r="E450" t="s">
        <v>795</v>
      </c>
      <c r="F450" t="s">
        <v>793</v>
      </c>
    </row>
    <row r="451" spans="1:6" x14ac:dyDescent="0.25">
      <c r="A451" t="s">
        <v>1248</v>
      </c>
      <c r="B451" t="s">
        <v>17</v>
      </c>
      <c r="C451">
        <v>-2.290705</v>
      </c>
      <c r="D451">
        <v>19.150395</v>
      </c>
      <c r="E451" t="s">
        <v>792</v>
      </c>
      <c r="F451" t="s">
        <v>793</v>
      </c>
    </row>
    <row r="452" spans="1:6" x14ac:dyDescent="0.25">
      <c r="A452" t="s">
        <v>1249</v>
      </c>
      <c r="B452" t="s">
        <v>64</v>
      </c>
      <c r="C452">
        <v>4.8319039999999998</v>
      </c>
      <c r="D452">
        <v>20.733468999999999</v>
      </c>
      <c r="E452" t="s">
        <v>792</v>
      </c>
      <c r="F452" t="s">
        <v>793</v>
      </c>
    </row>
    <row r="453" spans="1:6" x14ac:dyDescent="0.25">
      <c r="A453" t="s">
        <v>1250</v>
      </c>
      <c r="B453" t="s">
        <v>30</v>
      </c>
      <c r="C453">
        <v>-10.790281</v>
      </c>
      <c r="D453">
        <v>12.624336</v>
      </c>
      <c r="E453" t="s">
        <v>795</v>
      </c>
      <c r="F453" t="s">
        <v>809</v>
      </c>
    </row>
    <row r="454" spans="1:6" x14ac:dyDescent="0.25">
      <c r="A454" t="s">
        <v>1251</v>
      </c>
      <c r="B454" t="s">
        <v>24</v>
      </c>
      <c r="C454">
        <v>2.0859640000000002</v>
      </c>
      <c r="D454">
        <v>22.576664000000001</v>
      </c>
      <c r="E454" t="s">
        <v>795</v>
      </c>
      <c r="F454" t="s">
        <v>799</v>
      </c>
    </row>
    <row r="455" spans="1:6" x14ac:dyDescent="0.25">
      <c r="A455" t="s">
        <v>1252</v>
      </c>
      <c r="B455" t="s">
        <v>11</v>
      </c>
      <c r="C455">
        <v>5.3608999999999997E-2</v>
      </c>
      <c r="D455">
        <v>28.346852999999999</v>
      </c>
      <c r="E455" t="s">
        <v>798</v>
      </c>
      <c r="F455" t="s">
        <v>799</v>
      </c>
    </row>
    <row r="456" spans="1:6" x14ac:dyDescent="0.25">
      <c r="A456" t="s">
        <v>1253</v>
      </c>
      <c r="B456" t="s">
        <v>34</v>
      </c>
      <c r="C456">
        <v>-7.9866700000000002</v>
      </c>
      <c r="D456">
        <v>17.757847000000002</v>
      </c>
      <c r="E456" t="s">
        <v>792</v>
      </c>
      <c r="F456" t="s">
        <v>796</v>
      </c>
    </row>
    <row r="457" spans="1:6" x14ac:dyDescent="0.25">
      <c r="A457" t="s">
        <v>1254</v>
      </c>
      <c r="B457" t="s">
        <v>107</v>
      </c>
      <c r="C457">
        <v>-0.157111</v>
      </c>
      <c r="D457">
        <v>25.415125</v>
      </c>
      <c r="E457" t="s">
        <v>795</v>
      </c>
      <c r="F457" t="s">
        <v>793</v>
      </c>
    </row>
    <row r="458" spans="1:6" x14ac:dyDescent="0.25">
      <c r="A458" t="s">
        <v>1255</v>
      </c>
      <c r="B458" t="s">
        <v>42</v>
      </c>
      <c r="C458">
        <v>-2.5254650000000001</v>
      </c>
      <c r="D458">
        <v>21.338113</v>
      </c>
      <c r="E458" t="s">
        <v>792</v>
      </c>
      <c r="F458" t="s">
        <v>809</v>
      </c>
    </row>
    <row r="459" spans="1:6" x14ac:dyDescent="0.25">
      <c r="A459" t="s">
        <v>1256</v>
      </c>
      <c r="B459" t="s">
        <v>50</v>
      </c>
      <c r="C459">
        <v>-8.0864899999999995</v>
      </c>
      <c r="D459">
        <v>14.555277</v>
      </c>
      <c r="E459" t="s">
        <v>798</v>
      </c>
      <c r="F459" t="s">
        <v>793</v>
      </c>
    </row>
    <row r="460" spans="1:6" x14ac:dyDescent="0.25">
      <c r="A460" t="s">
        <v>1257</v>
      </c>
      <c r="B460" t="s">
        <v>20</v>
      </c>
      <c r="C460">
        <v>1.210869</v>
      </c>
      <c r="D460">
        <v>25.598741</v>
      </c>
      <c r="E460" t="s">
        <v>795</v>
      </c>
      <c r="F460" t="s">
        <v>793</v>
      </c>
    </row>
    <row r="461" spans="1:6" x14ac:dyDescent="0.25">
      <c r="A461" t="s">
        <v>1258</v>
      </c>
      <c r="B461" t="s">
        <v>107</v>
      </c>
      <c r="C461">
        <v>-1.4110389999999999</v>
      </c>
      <c r="D461">
        <v>21.261644</v>
      </c>
      <c r="E461" t="s">
        <v>795</v>
      </c>
      <c r="F461" t="s">
        <v>799</v>
      </c>
    </row>
    <row r="462" spans="1:6" x14ac:dyDescent="0.25">
      <c r="A462" t="s">
        <v>1259</v>
      </c>
      <c r="B462" t="s">
        <v>26</v>
      </c>
      <c r="C462">
        <v>-5.7957599999999996</v>
      </c>
      <c r="D462">
        <v>14.078258</v>
      </c>
      <c r="E462" t="s">
        <v>792</v>
      </c>
      <c r="F462" t="s">
        <v>793</v>
      </c>
    </row>
    <row r="463" spans="1:6" x14ac:dyDescent="0.25">
      <c r="A463" t="s">
        <v>1260</v>
      </c>
      <c r="B463" t="s">
        <v>42</v>
      </c>
      <c r="C463">
        <v>-4.4351269999999996</v>
      </c>
      <c r="D463">
        <v>24.825467</v>
      </c>
      <c r="E463" t="s">
        <v>795</v>
      </c>
      <c r="F463" t="s">
        <v>796</v>
      </c>
    </row>
    <row r="464" spans="1:6" x14ac:dyDescent="0.25">
      <c r="A464" t="s">
        <v>1261</v>
      </c>
      <c r="B464" t="s">
        <v>71</v>
      </c>
      <c r="C464">
        <v>-2.1430220000000002</v>
      </c>
      <c r="D464">
        <v>24.541492999999999</v>
      </c>
      <c r="E464" t="s">
        <v>795</v>
      </c>
      <c r="F464" t="s">
        <v>799</v>
      </c>
    </row>
    <row r="465" spans="1:6" x14ac:dyDescent="0.25">
      <c r="A465" t="s">
        <v>1262</v>
      </c>
      <c r="B465" t="s">
        <v>61</v>
      </c>
      <c r="C465">
        <v>-5.7200150000000001</v>
      </c>
      <c r="D465">
        <v>25.022109</v>
      </c>
      <c r="E465" t="s">
        <v>792</v>
      </c>
      <c r="F465" t="s">
        <v>799</v>
      </c>
    </row>
    <row r="466" spans="1:6" x14ac:dyDescent="0.25">
      <c r="A466" t="s">
        <v>1263</v>
      </c>
      <c r="B466" t="s">
        <v>32</v>
      </c>
      <c r="C466">
        <v>-4.2784089999999999</v>
      </c>
      <c r="D466">
        <v>22.871994000000001</v>
      </c>
      <c r="E466" t="s">
        <v>798</v>
      </c>
      <c r="F466" t="s">
        <v>793</v>
      </c>
    </row>
    <row r="467" spans="1:6" x14ac:dyDescent="0.25">
      <c r="A467" t="s">
        <v>1264</v>
      </c>
      <c r="B467" t="s">
        <v>107</v>
      </c>
      <c r="C467">
        <v>-7.9799689999999996</v>
      </c>
      <c r="D467">
        <v>21.042310000000001</v>
      </c>
      <c r="E467" t="s">
        <v>795</v>
      </c>
      <c r="F467" t="s">
        <v>799</v>
      </c>
    </row>
    <row r="468" spans="1:6" x14ac:dyDescent="0.25">
      <c r="A468" t="s">
        <v>1265</v>
      </c>
      <c r="B468" t="s">
        <v>32</v>
      </c>
      <c r="C468">
        <v>0.82399199999999995</v>
      </c>
      <c r="D468">
        <v>28.232678</v>
      </c>
      <c r="E468" t="s">
        <v>798</v>
      </c>
      <c r="F468" t="s">
        <v>796</v>
      </c>
    </row>
    <row r="469" spans="1:6" x14ac:dyDescent="0.25">
      <c r="A469" t="s">
        <v>1266</v>
      </c>
      <c r="B469" t="s">
        <v>48</v>
      </c>
      <c r="C469">
        <v>-11.055339999999999</v>
      </c>
      <c r="D469">
        <v>21.627016000000001</v>
      </c>
      <c r="E469" t="s">
        <v>792</v>
      </c>
      <c r="F469" t="s">
        <v>809</v>
      </c>
    </row>
    <row r="470" spans="1:6" x14ac:dyDescent="0.25">
      <c r="A470" t="s">
        <v>1267</v>
      </c>
      <c r="B470" t="s">
        <v>46</v>
      </c>
      <c r="C470">
        <v>-4.0490719999999998</v>
      </c>
      <c r="D470">
        <v>21.399131000000001</v>
      </c>
      <c r="E470" t="s">
        <v>798</v>
      </c>
      <c r="F470" t="s">
        <v>799</v>
      </c>
    </row>
    <row r="471" spans="1:6" x14ac:dyDescent="0.25">
      <c r="A471" t="s">
        <v>1268</v>
      </c>
      <c r="B471" t="s">
        <v>24</v>
      </c>
      <c r="C471">
        <v>-1.6893210000000001</v>
      </c>
      <c r="D471">
        <v>30.446543999999999</v>
      </c>
      <c r="E471" t="s">
        <v>795</v>
      </c>
      <c r="F471" t="s">
        <v>796</v>
      </c>
    </row>
    <row r="472" spans="1:6" x14ac:dyDescent="0.25">
      <c r="A472" t="s">
        <v>1269</v>
      </c>
      <c r="B472" t="s">
        <v>26</v>
      </c>
      <c r="C472">
        <v>-10.577049000000001</v>
      </c>
      <c r="D472">
        <v>23.721854</v>
      </c>
      <c r="E472" t="s">
        <v>795</v>
      </c>
      <c r="F472" t="s">
        <v>799</v>
      </c>
    </row>
    <row r="473" spans="1:6" x14ac:dyDescent="0.25">
      <c r="A473" t="s">
        <v>1270</v>
      </c>
      <c r="B473" t="s">
        <v>40</v>
      </c>
      <c r="C473">
        <v>-11.207139</v>
      </c>
      <c r="D473">
        <v>18.702511999999999</v>
      </c>
      <c r="E473" t="s">
        <v>792</v>
      </c>
      <c r="F473" t="s">
        <v>793</v>
      </c>
    </row>
    <row r="474" spans="1:6" x14ac:dyDescent="0.25">
      <c r="A474" t="s">
        <v>1271</v>
      </c>
      <c r="B474" t="s">
        <v>44</v>
      </c>
      <c r="C474">
        <v>-12.048655999999999</v>
      </c>
      <c r="D474">
        <v>30.577876</v>
      </c>
      <c r="E474" t="s">
        <v>792</v>
      </c>
      <c r="F474" t="s">
        <v>799</v>
      </c>
    </row>
    <row r="475" spans="1:6" x14ac:dyDescent="0.25">
      <c r="A475" t="s">
        <v>1272</v>
      </c>
      <c r="B475" t="s">
        <v>99</v>
      </c>
      <c r="C475">
        <v>-11.771884</v>
      </c>
      <c r="D475">
        <v>18.089172999999999</v>
      </c>
      <c r="E475" t="s">
        <v>795</v>
      </c>
      <c r="F475" t="s">
        <v>809</v>
      </c>
    </row>
    <row r="476" spans="1:6" x14ac:dyDescent="0.25">
      <c r="A476" t="s">
        <v>1273</v>
      </c>
      <c r="B476" t="s">
        <v>26</v>
      </c>
      <c r="C476">
        <v>-0.79406600000000005</v>
      </c>
      <c r="D476">
        <v>12.534793000000001</v>
      </c>
      <c r="E476" t="s">
        <v>798</v>
      </c>
      <c r="F476" t="s">
        <v>796</v>
      </c>
    </row>
    <row r="477" spans="1:6" x14ac:dyDescent="0.25">
      <c r="A477" t="s">
        <v>1274</v>
      </c>
      <c r="B477" t="s">
        <v>24</v>
      </c>
      <c r="C477">
        <v>4.497306</v>
      </c>
      <c r="D477">
        <v>12.857251</v>
      </c>
      <c r="E477" t="s">
        <v>792</v>
      </c>
      <c r="F477" t="s">
        <v>793</v>
      </c>
    </row>
    <row r="478" spans="1:6" x14ac:dyDescent="0.25">
      <c r="A478" t="s">
        <v>1275</v>
      </c>
      <c r="B478" t="s">
        <v>26</v>
      </c>
      <c r="C478">
        <v>-6.1126060000000004</v>
      </c>
      <c r="D478">
        <v>27.901748999999999</v>
      </c>
      <c r="E478" t="s">
        <v>795</v>
      </c>
      <c r="F478" t="s">
        <v>799</v>
      </c>
    </row>
    <row r="479" spans="1:6" x14ac:dyDescent="0.25">
      <c r="A479" t="s">
        <v>1276</v>
      </c>
      <c r="B479" t="s">
        <v>11</v>
      </c>
      <c r="C479">
        <v>-0.77432100000000004</v>
      </c>
      <c r="D479">
        <v>18.628658999999999</v>
      </c>
      <c r="E479" t="s">
        <v>795</v>
      </c>
      <c r="F479" t="s">
        <v>796</v>
      </c>
    </row>
    <row r="480" spans="1:6" x14ac:dyDescent="0.25">
      <c r="A480" t="s">
        <v>1277</v>
      </c>
      <c r="B480" t="s">
        <v>34</v>
      </c>
      <c r="C480">
        <v>-10.25074</v>
      </c>
      <c r="D480">
        <v>26.099086</v>
      </c>
      <c r="E480" t="s">
        <v>795</v>
      </c>
      <c r="F480" t="s">
        <v>796</v>
      </c>
    </row>
    <row r="481" spans="1:6" x14ac:dyDescent="0.25">
      <c r="A481" t="s">
        <v>1278</v>
      </c>
      <c r="B481" t="s">
        <v>42</v>
      </c>
      <c r="C481">
        <v>-1.8045979999999999</v>
      </c>
      <c r="D481">
        <v>12.511096999999999</v>
      </c>
      <c r="E481" t="s">
        <v>798</v>
      </c>
      <c r="F481" t="s">
        <v>796</v>
      </c>
    </row>
    <row r="482" spans="1:6" x14ac:dyDescent="0.25">
      <c r="A482" t="s">
        <v>1279</v>
      </c>
      <c r="B482" t="s">
        <v>67</v>
      </c>
      <c r="C482">
        <v>-11.265995</v>
      </c>
      <c r="D482">
        <v>28.935514999999999</v>
      </c>
      <c r="E482" t="s">
        <v>795</v>
      </c>
      <c r="F482" t="s">
        <v>793</v>
      </c>
    </row>
    <row r="483" spans="1:6" x14ac:dyDescent="0.25">
      <c r="A483" t="s">
        <v>1280</v>
      </c>
      <c r="B483" t="s">
        <v>26</v>
      </c>
      <c r="C483">
        <v>-11.622688999999999</v>
      </c>
      <c r="D483">
        <v>18.483874</v>
      </c>
      <c r="E483" t="s">
        <v>792</v>
      </c>
      <c r="F483" t="s">
        <v>799</v>
      </c>
    </row>
    <row r="484" spans="1:6" x14ac:dyDescent="0.25">
      <c r="A484" t="s">
        <v>1281</v>
      </c>
      <c r="B484" t="s">
        <v>26</v>
      </c>
      <c r="C484">
        <v>0.52897499999999997</v>
      </c>
      <c r="D484">
        <v>13.849651</v>
      </c>
      <c r="E484" t="s">
        <v>798</v>
      </c>
      <c r="F484" t="s">
        <v>799</v>
      </c>
    </row>
    <row r="485" spans="1:6" x14ac:dyDescent="0.25">
      <c r="A485" t="s">
        <v>1282</v>
      </c>
      <c r="B485" t="s">
        <v>64</v>
      </c>
      <c r="C485">
        <v>0.81629799999999997</v>
      </c>
      <c r="D485">
        <v>18.557718000000001</v>
      </c>
      <c r="E485" t="s">
        <v>792</v>
      </c>
      <c r="F485" t="s">
        <v>793</v>
      </c>
    </row>
    <row r="486" spans="1:6" x14ac:dyDescent="0.25">
      <c r="A486" t="s">
        <v>1283</v>
      </c>
      <c r="B486" t="s">
        <v>11</v>
      </c>
      <c r="C486">
        <v>1.2691650000000001</v>
      </c>
      <c r="D486">
        <v>18.789956</v>
      </c>
      <c r="E486" t="s">
        <v>798</v>
      </c>
      <c r="F486" t="s">
        <v>809</v>
      </c>
    </row>
    <row r="487" spans="1:6" x14ac:dyDescent="0.25">
      <c r="A487" t="s">
        <v>1284</v>
      </c>
      <c r="B487" t="s">
        <v>59</v>
      </c>
      <c r="C487">
        <v>-9.3652280000000001</v>
      </c>
      <c r="D487">
        <v>18.674116000000001</v>
      </c>
      <c r="E487" t="s">
        <v>795</v>
      </c>
      <c r="F487" t="s">
        <v>796</v>
      </c>
    </row>
    <row r="488" spans="1:6" x14ac:dyDescent="0.25">
      <c r="A488" t="s">
        <v>1285</v>
      </c>
      <c r="B488" t="s">
        <v>34</v>
      </c>
      <c r="C488">
        <v>-1.082322</v>
      </c>
      <c r="D488">
        <v>24.563559999999999</v>
      </c>
      <c r="E488" t="s">
        <v>795</v>
      </c>
      <c r="F488" t="s">
        <v>799</v>
      </c>
    </row>
    <row r="489" spans="1:6" x14ac:dyDescent="0.25">
      <c r="A489" t="s">
        <v>1286</v>
      </c>
      <c r="B489" t="s">
        <v>34</v>
      </c>
      <c r="C489">
        <v>-4.1754939999999996</v>
      </c>
      <c r="D489">
        <v>16.704664999999999</v>
      </c>
      <c r="E489" t="s">
        <v>798</v>
      </c>
      <c r="F489" t="s">
        <v>793</v>
      </c>
    </row>
    <row r="490" spans="1:6" x14ac:dyDescent="0.25">
      <c r="A490" t="s">
        <v>1287</v>
      </c>
      <c r="B490" t="s">
        <v>8</v>
      </c>
      <c r="C490">
        <v>-8.290025</v>
      </c>
      <c r="D490">
        <v>24.313573999999999</v>
      </c>
      <c r="E490" t="s">
        <v>795</v>
      </c>
      <c r="F490" t="s">
        <v>793</v>
      </c>
    </row>
    <row r="491" spans="1:6" x14ac:dyDescent="0.25">
      <c r="A491" t="s">
        <v>1288</v>
      </c>
      <c r="B491" t="s">
        <v>74</v>
      </c>
      <c r="C491">
        <v>-6.8149179999999996</v>
      </c>
      <c r="D491">
        <v>23.258102000000001</v>
      </c>
      <c r="E491" t="s">
        <v>792</v>
      </c>
      <c r="F491" t="s">
        <v>796</v>
      </c>
    </row>
    <row r="492" spans="1:6" x14ac:dyDescent="0.25">
      <c r="A492" t="s">
        <v>1289</v>
      </c>
      <c r="B492" t="s">
        <v>11</v>
      </c>
      <c r="C492">
        <v>2.4741019999999998</v>
      </c>
      <c r="D492">
        <v>29.297391000000001</v>
      </c>
      <c r="E492" t="s">
        <v>795</v>
      </c>
      <c r="F492" t="s">
        <v>793</v>
      </c>
    </row>
    <row r="493" spans="1:6" x14ac:dyDescent="0.25">
      <c r="A493" t="s">
        <v>1290</v>
      </c>
      <c r="B493" t="s">
        <v>20</v>
      </c>
      <c r="C493">
        <v>-3.1608390000000002</v>
      </c>
      <c r="D493">
        <v>13.244503999999999</v>
      </c>
      <c r="E493" t="s">
        <v>798</v>
      </c>
      <c r="F493" t="s">
        <v>796</v>
      </c>
    </row>
    <row r="494" spans="1:6" x14ac:dyDescent="0.25">
      <c r="A494" t="s">
        <v>1291</v>
      </c>
      <c r="B494" t="s">
        <v>44</v>
      </c>
      <c r="C494">
        <v>4.1464489999999996</v>
      </c>
      <c r="D494">
        <v>17.793337000000001</v>
      </c>
      <c r="E494" t="s">
        <v>792</v>
      </c>
      <c r="F494" t="s">
        <v>799</v>
      </c>
    </row>
    <row r="495" spans="1:6" x14ac:dyDescent="0.25">
      <c r="A495" t="s">
        <v>1292</v>
      </c>
      <c r="B495" t="s">
        <v>64</v>
      </c>
      <c r="C495">
        <v>-12.431227</v>
      </c>
      <c r="D495">
        <v>18.414290999999999</v>
      </c>
      <c r="E495" t="s">
        <v>792</v>
      </c>
      <c r="F495" t="s">
        <v>796</v>
      </c>
    </row>
    <row r="496" spans="1:6" x14ac:dyDescent="0.25">
      <c r="A496" t="s">
        <v>1293</v>
      </c>
      <c r="B496" t="s">
        <v>40</v>
      </c>
      <c r="C496">
        <v>-5.2526849999999996</v>
      </c>
      <c r="D496">
        <v>12.374528</v>
      </c>
      <c r="E496" t="s">
        <v>798</v>
      </c>
      <c r="F496" t="s">
        <v>809</v>
      </c>
    </row>
    <row r="497" spans="1:6" x14ac:dyDescent="0.25">
      <c r="A497" t="s">
        <v>1294</v>
      </c>
      <c r="B497" t="s">
        <v>48</v>
      </c>
      <c r="C497">
        <v>3.4689049999999999</v>
      </c>
      <c r="D497">
        <v>18.19622</v>
      </c>
      <c r="E497" t="s">
        <v>792</v>
      </c>
      <c r="F497" t="s">
        <v>796</v>
      </c>
    </row>
    <row r="498" spans="1:6" x14ac:dyDescent="0.25">
      <c r="A498" t="s">
        <v>1295</v>
      </c>
      <c r="B498" t="s">
        <v>30</v>
      </c>
      <c r="C498">
        <v>-6.0946619999999996</v>
      </c>
      <c r="D498">
        <v>20.757277999999999</v>
      </c>
      <c r="E498" t="s">
        <v>792</v>
      </c>
      <c r="F498" t="s">
        <v>796</v>
      </c>
    </row>
    <row r="499" spans="1:6" x14ac:dyDescent="0.25">
      <c r="A499" t="s">
        <v>1296</v>
      </c>
      <c r="B499" t="s">
        <v>48</v>
      </c>
      <c r="C499">
        <v>-7.3379339999999997</v>
      </c>
      <c r="D499">
        <v>28.404001999999998</v>
      </c>
      <c r="E499" t="s">
        <v>798</v>
      </c>
      <c r="F499" t="s">
        <v>809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D4A7-2701-41E8-9FDF-3EC514670BD9}">
  <sheetPr>
    <tabColor theme="8" tint="0.39997558519241921"/>
  </sheetPr>
  <dimension ref="A1:T1075"/>
  <sheetViews>
    <sheetView topLeftCell="H22" workbookViewId="0">
      <selection activeCell="P39" sqref="P39"/>
    </sheetView>
  </sheetViews>
  <sheetFormatPr baseColWidth="10" defaultRowHeight="15" x14ac:dyDescent="0.25"/>
  <cols>
    <col min="1" max="2" width="22.140625" bestFit="1" customWidth="1"/>
    <col min="3" max="3" width="9.85546875" bestFit="1" customWidth="1"/>
    <col min="4" max="5" width="19.5703125" customWidth="1"/>
    <col min="6" max="6" width="19.5703125" bestFit="1" customWidth="1"/>
    <col min="7" max="7" width="18.85546875" bestFit="1" customWidth="1"/>
    <col min="8" max="8" width="14.28515625" bestFit="1" customWidth="1"/>
    <col min="9" max="9" width="16.7109375" bestFit="1" customWidth="1"/>
    <col min="10" max="10" width="18.28515625" customWidth="1"/>
    <col min="11" max="11" width="14" bestFit="1" customWidth="1"/>
    <col min="12" max="12" width="17.5703125" bestFit="1" customWidth="1"/>
    <col min="13" max="13" width="14.28515625" bestFit="1" customWidth="1"/>
    <col min="14" max="14" width="21.28515625" bestFit="1" customWidth="1"/>
    <col min="15" max="15" width="11.42578125" style="1"/>
    <col min="16" max="16" width="11.42578125" style="9"/>
  </cols>
  <sheetData>
    <row r="1" spans="1:20" x14ac:dyDescent="0.25">
      <c r="A1" t="s">
        <v>1639</v>
      </c>
      <c r="B1" t="s">
        <v>1640</v>
      </c>
      <c r="C1" t="s">
        <v>1297</v>
      </c>
      <c r="D1" t="s">
        <v>1298</v>
      </c>
      <c r="E1" t="s">
        <v>1299</v>
      </c>
      <c r="F1" t="s">
        <v>1641</v>
      </c>
      <c r="G1" t="s">
        <v>1642</v>
      </c>
      <c r="H1" t="s">
        <v>789</v>
      </c>
      <c r="I1" t="s">
        <v>790</v>
      </c>
      <c r="J1" t="s">
        <v>3</v>
      </c>
      <c r="K1" t="s">
        <v>1643</v>
      </c>
      <c r="L1" t="s">
        <v>1652</v>
      </c>
      <c r="M1" t="s">
        <v>1651</v>
      </c>
      <c r="N1" t="s">
        <v>1658</v>
      </c>
      <c r="O1" s="1" t="s">
        <v>1653</v>
      </c>
      <c r="P1" s="9" t="s">
        <v>1650</v>
      </c>
    </row>
    <row r="2" spans="1:20" x14ac:dyDescent="0.25">
      <c r="A2" s="2">
        <v>45203</v>
      </c>
      <c r="B2" s="1">
        <v>0.51736111111111116</v>
      </c>
      <c r="C2" t="s">
        <v>1179</v>
      </c>
      <c r="D2">
        <v>26</v>
      </c>
      <c r="E2" t="s">
        <v>1300</v>
      </c>
      <c r="F2" t="str">
        <f>_xlfn.XLOOKUP(Logs_Reseau6[[#This Row],[Cell_ID]],Registre[ID_Antenne],Registre[Province_RDC],"Non Trouvée")</f>
        <v>Nord-Ubangi</v>
      </c>
      <c r="G2" t="str">
        <f>_xlfn.XLOOKUP(Logs_Reseau6[[#This Row],[Province]],Clients_Churn[Province_Client],Clients_Churn[ID_Client],"Aucun")</f>
        <v>CLI-00112</v>
      </c>
      <c r="H2" t="str">
        <f>_xlfn.XLOOKUP(Logs_Reseau6[[#This Row],[Cell_ID]],Registre[ID_Antenne],Registre[Technologie],"Rien à signaler")</f>
        <v>4G</v>
      </c>
      <c r="I2" t="str">
        <f>_xlfn.XLOOKUP(Logs_Reseau6[[#This Row],[Cell_ID]],Registre[ID_Antenne],Registre[Equipementier],"Non Trouvée")</f>
        <v>ZTE</v>
      </c>
      <c r="J2" t="str">
        <f>_xlfn.XLOOKUP(Logs_Reseau6[[#This Row],[Id_Client]],Clients_Churn[ID_Client],Clients_Churn[Type_Forfait],"Pas d'information")</f>
        <v>Bloqué 5Go</v>
      </c>
      <c r="K2" s="5" t="str">
        <f>IF(Logs_Reseau6[[#This Row],[Type_Forfait]]="Pro Monde","B2B","B2C")</f>
        <v>B2C</v>
      </c>
      <c r="L2" s="5">
        <f>_xlfn.XLOOKUP(Logs_Reseau6[[#This Row],[Id_Client]],Clients_Churn[ID_Client],Clients_Churn[Duree_Cumulee_Panne_Min],"Non Trouvée")</f>
        <v>52</v>
      </c>
      <c r="M2" s="5">
        <f>_xlfn.XLOOKUP(Logs_Reseau6[[#This Row],[Id_Client]],Clients_Churn[ID_Client],Clients_Churn[Anciennete_Mois],"Rien à signaler")</f>
        <v>98</v>
      </c>
      <c r="N2" s="11">
        <f>Logs_Reseau6[[#This Row],[Anciennette]]/24</f>
        <v>4.083333333333333</v>
      </c>
      <c r="O2" s="1">
        <f>Logs_Reseau6[[#This Row],[Duree_Cumulée_Panne]]/1440</f>
        <v>3.6111111111111108E-2</v>
      </c>
      <c r="P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" spans="1:20" x14ac:dyDescent="0.25">
      <c r="A3" s="2">
        <v>45205</v>
      </c>
      <c r="B3" s="1">
        <v>1.3888888888888888E-2</v>
      </c>
      <c r="C3" t="s">
        <v>1179</v>
      </c>
      <c r="D3">
        <v>35</v>
      </c>
      <c r="E3" t="s">
        <v>1303</v>
      </c>
      <c r="F3" t="str">
        <f>_xlfn.XLOOKUP(Logs_Reseau6[[#This Row],[Cell_ID]],Registre[ID_Antenne],Registre[Province_RDC],"Non Trouvée")</f>
        <v>Nord-Ubangi</v>
      </c>
      <c r="G3" t="str">
        <f>_xlfn.XLOOKUP(Logs_Reseau6[[#This Row],[Province]],Clients_Churn[Province_Client],Clients_Churn[ID_Client],"Aucun")</f>
        <v>CLI-00112</v>
      </c>
      <c r="H3" t="str">
        <f>_xlfn.XLOOKUP(Logs_Reseau6[[#This Row],[Cell_ID]],Registre[ID_Antenne],Registre[Technologie],"Rien à signaler")</f>
        <v>4G</v>
      </c>
      <c r="I3" t="str">
        <f>_xlfn.XLOOKUP(Logs_Reseau6[[#This Row],[Cell_ID]],Registre[ID_Antenne],Registre[Equipementier],"Non Trouvée")</f>
        <v>ZTE</v>
      </c>
      <c r="J3" t="str">
        <f>_xlfn.XLOOKUP(Logs_Reseau6[[#This Row],[Id_Client]],Clients_Churn[ID_Client],Clients_Churn[Type_Forfait],"Pas d'information")</f>
        <v>Bloqué 5Go</v>
      </c>
      <c r="K3" s="5" t="str">
        <f>IF(Logs_Reseau6[[#This Row],[Type_Forfait]]="Pro Monde","B2B","B2C")</f>
        <v>B2C</v>
      </c>
      <c r="L3" s="5">
        <f>_xlfn.XLOOKUP(Logs_Reseau6[[#This Row],[Id_Client]],Clients_Churn[ID_Client],Clients_Churn[Duree_Cumulee_Panne_Min],"Non Trouvée")</f>
        <v>52</v>
      </c>
      <c r="M3" s="5">
        <f>_xlfn.XLOOKUP(Logs_Reseau6[[#This Row],[Id_Client]],Clients_Churn[ID_Client],Clients_Churn[Anciennete_Mois],"Rien à signaler")</f>
        <v>98</v>
      </c>
      <c r="N3" s="11">
        <f>Logs_Reseau6[[#This Row],[Anciennette]]/24</f>
        <v>4.083333333333333</v>
      </c>
      <c r="O3" s="1">
        <f>Logs_Reseau6[[#This Row],[Duree_Cumulée_Panne]]/1440</f>
        <v>3.6111111111111108E-2</v>
      </c>
      <c r="P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" spans="1:20" x14ac:dyDescent="0.25">
      <c r="A4" s="2">
        <v>45211</v>
      </c>
      <c r="B4" s="1">
        <v>0.27916666666666667</v>
      </c>
      <c r="C4" t="s">
        <v>1179</v>
      </c>
      <c r="D4">
        <v>75</v>
      </c>
      <c r="E4" t="s">
        <v>1300</v>
      </c>
      <c r="F4" t="str">
        <f>_xlfn.XLOOKUP(Logs_Reseau6[[#This Row],[Cell_ID]],Registre[ID_Antenne],Registre[Province_RDC],"Non Trouvée")</f>
        <v>Nord-Ubangi</v>
      </c>
      <c r="G4" t="str">
        <f>_xlfn.XLOOKUP(Logs_Reseau6[[#This Row],[Province]],Clients_Churn[Province_Client],Clients_Churn[ID_Client],"Aucun")</f>
        <v>CLI-00112</v>
      </c>
      <c r="H4" t="str">
        <f>_xlfn.XLOOKUP(Logs_Reseau6[[#This Row],[Cell_ID]],Registre[ID_Antenne],Registre[Technologie],"Rien à signaler")</f>
        <v>4G</v>
      </c>
      <c r="I4" t="str">
        <f>_xlfn.XLOOKUP(Logs_Reseau6[[#This Row],[Cell_ID]],Registre[ID_Antenne],Registre[Equipementier],"Non Trouvée")</f>
        <v>ZTE</v>
      </c>
      <c r="J4" t="str">
        <f>_xlfn.XLOOKUP(Logs_Reseau6[[#This Row],[Id_Client]],Clients_Churn[ID_Client],Clients_Churn[Type_Forfait],"Pas d'information")</f>
        <v>Bloqué 5Go</v>
      </c>
      <c r="K4" s="5" t="str">
        <f>IF(Logs_Reseau6[[#This Row],[Type_Forfait]]="Pro Monde","B2B","B2C")</f>
        <v>B2C</v>
      </c>
      <c r="L4" s="5">
        <f>_xlfn.XLOOKUP(Logs_Reseau6[[#This Row],[Id_Client]],Clients_Churn[ID_Client],Clients_Churn[Duree_Cumulee_Panne_Min],"Non Trouvée")</f>
        <v>52</v>
      </c>
      <c r="M4" s="5">
        <f>_xlfn.XLOOKUP(Logs_Reseau6[[#This Row],[Id_Client]],Clients_Churn[ID_Client],Clients_Churn[Anciennete_Mois],"Rien à signaler")</f>
        <v>98</v>
      </c>
      <c r="N4" s="11">
        <f>Logs_Reseau6[[#This Row],[Anciennette]]/24</f>
        <v>4.083333333333333</v>
      </c>
      <c r="O4" s="1">
        <f>Logs_Reseau6[[#This Row],[Duree_Cumulée_Panne]]/1440</f>
        <v>3.6111111111111108E-2</v>
      </c>
      <c r="P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" spans="1:20" x14ac:dyDescent="0.25">
      <c r="A5" s="2">
        <v>45224</v>
      </c>
      <c r="B5" s="1">
        <v>0.56805555555555554</v>
      </c>
      <c r="C5" t="s">
        <v>1051</v>
      </c>
      <c r="D5">
        <v>27</v>
      </c>
      <c r="E5" t="s">
        <v>1300</v>
      </c>
      <c r="F5" t="str">
        <f>_xlfn.XLOOKUP(Logs_Reseau6[[#This Row],[Cell_ID]],Registre[ID_Antenne],Registre[Province_RDC],"Non Trouvée")</f>
        <v>Mai-Ndombe</v>
      </c>
      <c r="G5" t="str">
        <f>_xlfn.XLOOKUP(Logs_Reseau6[[#This Row],[Province]],Clients_Churn[Province_Client],Clients_Churn[ID_Client],"Aucun")</f>
        <v>CLI-00090</v>
      </c>
      <c r="H5" t="str">
        <f>_xlfn.XLOOKUP(Logs_Reseau6[[#This Row],[Cell_ID]],Registre[ID_Antenne],Registre[Technologie],"Rien à signaler")</f>
        <v>4G</v>
      </c>
      <c r="I5" t="str">
        <f>_xlfn.XLOOKUP(Logs_Reseau6[[#This Row],[Cell_ID]],Registre[ID_Antenne],Registre[Equipementier],"Non Trouvée")</f>
        <v>Nokia</v>
      </c>
      <c r="J5" t="str">
        <f>_xlfn.XLOOKUP(Logs_Reseau6[[#This Row],[Id_Client]],Clients_Churn[ID_Client],Clients_Churn[Type_Forfait],"Pas d'information")</f>
        <v>Bloqué 5Go</v>
      </c>
      <c r="K5" s="5" t="str">
        <f>IF(Logs_Reseau6[[#This Row],[Type_Forfait]]="Pro Monde","B2B","B2C")</f>
        <v>B2C</v>
      </c>
      <c r="L5" s="5">
        <f>_xlfn.XLOOKUP(Logs_Reseau6[[#This Row],[Id_Client]],Clients_Churn[ID_Client],Clients_Churn[Duree_Cumulee_Panne_Min],"Non Trouvée")</f>
        <v>400</v>
      </c>
      <c r="M5" s="5">
        <f>_xlfn.XLOOKUP(Logs_Reseau6[[#This Row],[Id_Client]],Clients_Churn[ID_Client],Clients_Churn[Anciennete_Mois],"Rien à signaler")</f>
        <v>15</v>
      </c>
      <c r="N5" s="11">
        <f>Logs_Reseau6[[#This Row],[Anciennette]]/24</f>
        <v>0.625</v>
      </c>
      <c r="O5" s="1">
        <f>Logs_Reseau6[[#This Row],[Duree_Cumulée_Panne]]/1440</f>
        <v>0.27777777777777779</v>
      </c>
      <c r="P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" spans="1:20" hidden="1" x14ac:dyDescent="0.25">
      <c r="A6" s="2">
        <v>45208</v>
      </c>
      <c r="B6" s="1">
        <v>0.30138888888888887</v>
      </c>
      <c r="C6" t="s">
        <v>1301</v>
      </c>
      <c r="D6">
        <v>38</v>
      </c>
      <c r="E6" t="s">
        <v>1300</v>
      </c>
      <c r="F6" t="str">
        <f>_xlfn.XLOOKUP(Logs_Reseau6[[#This Row],[Cell_ID]],Registre[ID_Antenne],Registre[Province_RDC],"Non Trouvée")</f>
        <v>Non Trouvée</v>
      </c>
      <c r="G6" t="str">
        <f>_xlfn.XLOOKUP(Logs_Reseau6[[#This Row],[Province]],Clients_Churn[Province_Client],Clients_Churn[ID_Client],"Aucun")</f>
        <v>Aucun</v>
      </c>
      <c r="H6" t="str">
        <f>_xlfn.XLOOKUP(Logs_Reseau6[[#This Row],[Cell_ID]],Registre[ID_Antenne],Registre[Technologie],"Rien à signaler")</f>
        <v>Rien à signaler</v>
      </c>
      <c r="I6" t="str">
        <f>_xlfn.XLOOKUP(Logs_Reseau6[[#This Row],[Cell_ID]],Registre[ID_Antenne],Registre[Equipementier],"Non Trouvée")</f>
        <v>Non Trouvée</v>
      </c>
      <c r="J6" t="str">
        <f>_xlfn.XLOOKUP(Logs_Reseau6[[#This Row],[Id_Client]],Clients_Churn[ID_Client],Clients_Churn[Type_Forfait],"Pas d'information")</f>
        <v>Pas d'information</v>
      </c>
      <c r="K6" s="5" t="str">
        <f>IF(Logs_Reseau6[[#This Row],[Type_Forfait]]="Pro Monde","B2B","B2C")</f>
        <v>B2C</v>
      </c>
      <c r="L6" s="5" t="str">
        <f>_xlfn.XLOOKUP(Logs_Reseau6[[#This Row],[Id_Client]],Clients_Churn[ID_Client],Clients_Churn[Duree_Cumulee_Panne_Min],"Non Trouvée")</f>
        <v>Non Trouvée</v>
      </c>
      <c r="M6" s="5" t="str">
        <f>_xlfn.XLOOKUP(Logs_Reseau6[[#This Row],[Id_Client]],Clients_Churn[ID_Client],Clients_Churn[Anciennete_Mois],"Rien à signaler")</f>
        <v>Rien à signaler</v>
      </c>
      <c r="N6" s="5" t="e">
        <f>Logs_Reseau6[[#This Row],[Anciennette]]/24</f>
        <v>#VALUE!</v>
      </c>
      <c r="O6" s="5" t="e">
        <f>Logs_Reseau6[[#This Row],[Duree_Cumulée_Panne]]/1440</f>
        <v>#VALUE!</v>
      </c>
      <c r="P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" spans="1:20" hidden="1" x14ac:dyDescent="0.25">
      <c r="A7" s="2">
        <v>45216</v>
      </c>
      <c r="B7" s="1">
        <v>0.9506944444444444</v>
      </c>
      <c r="C7" t="s">
        <v>1301</v>
      </c>
      <c r="D7">
        <v>12</v>
      </c>
      <c r="E7" t="s">
        <v>1300</v>
      </c>
      <c r="F7" t="str">
        <f>_xlfn.XLOOKUP(Logs_Reseau6[[#This Row],[Cell_ID]],Registre[ID_Antenne],Registre[Province_RDC],"Non Trouvée")</f>
        <v>Non Trouvée</v>
      </c>
      <c r="G7" t="str">
        <f>_xlfn.XLOOKUP(Logs_Reseau6[[#This Row],[Province]],Clients_Churn[Province_Client],Clients_Churn[ID_Client],"Aucun")</f>
        <v>Aucun</v>
      </c>
      <c r="H7" t="str">
        <f>_xlfn.XLOOKUP(Logs_Reseau6[[#This Row],[Cell_ID]],Registre[ID_Antenne],Registre[Technologie],"Rien à signaler")</f>
        <v>Rien à signaler</v>
      </c>
      <c r="I7" t="str">
        <f>_xlfn.XLOOKUP(Logs_Reseau6[[#This Row],[Cell_ID]],Registre[ID_Antenne],Registre[Equipementier],"Non Trouvée")</f>
        <v>Non Trouvée</v>
      </c>
      <c r="J7" t="str">
        <f>_xlfn.XLOOKUP(Logs_Reseau6[[#This Row],[Id_Client]],Clients_Churn[ID_Client],Clients_Churn[Type_Forfait],"Pas d'information")</f>
        <v>Pas d'information</v>
      </c>
      <c r="K7" s="5" t="str">
        <f>IF(Logs_Reseau6[[#This Row],[Type_Forfait]]="Pro Monde","B2B","B2C")</f>
        <v>B2C</v>
      </c>
      <c r="L7" s="5" t="str">
        <f>_xlfn.XLOOKUP(Logs_Reseau6[[#This Row],[Id_Client]],Clients_Churn[ID_Client],Clients_Churn[Duree_Cumulee_Panne_Min],"Non Trouvée")</f>
        <v>Non Trouvée</v>
      </c>
      <c r="M7" s="5" t="str">
        <f>_xlfn.XLOOKUP(Logs_Reseau6[[#This Row],[Id_Client]],Clients_Churn[ID_Client],Clients_Churn[Anciennete_Mois],"Rien à signaler")</f>
        <v>Rien à signaler</v>
      </c>
      <c r="N7" s="5" t="e">
        <f>Logs_Reseau6[[#This Row],[Anciennette]]/24</f>
        <v>#VALUE!</v>
      </c>
      <c r="O7" s="5" t="e">
        <f>Logs_Reseau6[[#This Row],[Duree_Cumulée_Panne]]/1440</f>
        <v>#VALUE!</v>
      </c>
      <c r="P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" spans="1:20" hidden="1" x14ac:dyDescent="0.25">
      <c r="A8" s="2">
        <v>45226</v>
      </c>
      <c r="B8" s="1">
        <v>3.472222222222222E-3</v>
      </c>
      <c r="C8" t="s">
        <v>1301</v>
      </c>
      <c r="D8">
        <v>111</v>
      </c>
      <c r="E8" t="s">
        <v>1300</v>
      </c>
      <c r="F8" t="str">
        <f>_xlfn.XLOOKUP(Logs_Reseau6[[#This Row],[Cell_ID]],Registre[ID_Antenne],Registre[Province_RDC],"Non Trouvée")</f>
        <v>Non Trouvée</v>
      </c>
      <c r="G8" t="str">
        <f>_xlfn.XLOOKUP(Logs_Reseau6[[#This Row],[Province]],Clients_Churn[Province_Client],Clients_Churn[ID_Client],"Aucun")</f>
        <v>Aucun</v>
      </c>
      <c r="H8" t="str">
        <f>_xlfn.XLOOKUP(Logs_Reseau6[[#This Row],[Cell_ID]],Registre[ID_Antenne],Registre[Technologie],"Rien à signaler")</f>
        <v>Rien à signaler</v>
      </c>
      <c r="I8" t="str">
        <f>_xlfn.XLOOKUP(Logs_Reseau6[[#This Row],[Cell_ID]],Registre[ID_Antenne],Registre[Equipementier],"Non Trouvée")</f>
        <v>Non Trouvée</v>
      </c>
      <c r="J8" t="str">
        <f>_xlfn.XLOOKUP(Logs_Reseau6[[#This Row],[Id_Client]],Clients_Churn[ID_Client],Clients_Churn[Type_Forfait],"Pas d'information")</f>
        <v>Pas d'information</v>
      </c>
      <c r="K8" s="5" t="str">
        <f>IF(Logs_Reseau6[[#This Row],[Type_Forfait]]="Pro Monde","B2B","B2C")</f>
        <v>B2C</v>
      </c>
      <c r="L8" s="5" t="str">
        <f>_xlfn.XLOOKUP(Logs_Reseau6[[#This Row],[Id_Client]],Clients_Churn[ID_Client],Clients_Churn[Duree_Cumulee_Panne_Min],"Non Trouvée")</f>
        <v>Non Trouvée</v>
      </c>
      <c r="M8" s="5" t="str">
        <f>_xlfn.XLOOKUP(Logs_Reseau6[[#This Row],[Id_Client]],Clients_Churn[ID_Client],Clients_Churn[Anciennete_Mois],"Rien à signaler")</f>
        <v>Rien à signaler</v>
      </c>
      <c r="N8" s="5" t="e">
        <f>Logs_Reseau6[[#This Row],[Anciennette]]/24</f>
        <v>#VALUE!</v>
      </c>
      <c r="O8" s="5" t="e">
        <f>Logs_Reseau6[[#This Row],[Duree_Cumulée_Panne]]/1440</f>
        <v>#VALUE!</v>
      </c>
      <c r="P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" spans="1:20" x14ac:dyDescent="0.25">
      <c r="A9" s="2">
        <v>45230</v>
      </c>
      <c r="B9" s="1">
        <v>0.86805555555555558</v>
      </c>
      <c r="C9" t="s">
        <v>1082</v>
      </c>
      <c r="D9">
        <v>103</v>
      </c>
      <c r="E9" t="s">
        <v>1305</v>
      </c>
      <c r="F9" t="str">
        <f>_xlfn.XLOOKUP(Logs_Reseau6[[#This Row],[Cell_ID]],Registre[ID_Antenne],Registre[Province_RDC],"Non Trouvée")</f>
        <v>Bas-Uele</v>
      </c>
      <c r="G9" t="str">
        <f>_xlfn.XLOOKUP(Logs_Reseau6[[#This Row],[Province]],Clients_Churn[Province_Client],Clients_Churn[ID_Client],"Aucun")</f>
        <v>CLI-00029</v>
      </c>
      <c r="H9" t="str">
        <f>_xlfn.XLOOKUP(Logs_Reseau6[[#This Row],[Cell_ID]],Registre[ID_Antenne],Registre[Technologie],"Rien à signaler")</f>
        <v>5G</v>
      </c>
      <c r="I9" t="str">
        <f>_xlfn.XLOOKUP(Logs_Reseau6[[#This Row],[Cell_ID]],Registre[ID_Antenne],Registre[Equipementier],"Non Trouvée")</f>
        <v>Huawei</v>
      </c>
      <c r="J9" t="str">
        <f>_xlfn.XLOOKUP(Logs_Reseau6[[#This Row],[Id_Client]],Clients_Churn[ID_Client],Clients_Churn[Type_Forfait],"Pas d'information")</f>
        <v>Pro Monde</v>
      </c>
      <c r="K9" s="5" t="str">
        <f>IF(Logs_Reseau6[[#This Row],[Type_Forfait]]="Pro Monde","B2B","B2C")</f>
        <v>B2B</v>
      </c>
      <c r="L9" s="5">
        <f>_xlfn.XLOOKUP(Logs_Reseau6[[#This Row],[Id_Client]],Clients_Churn[ID_Client],Clients_Churn[Duree_Cumulee_Panne_Min],"Non Trouvée")</f>
        <v>344</v>
      </c>
      <c r="M9" s="5">
        <f>_xlfn.XLOOKUP(Logs_Reseau6[[#This Row],[Id_Client]],Clients_Churn[ID_Client],Clients_Churn[Anciennete_Mois],"Rien à signaler")</f>
        <v>119</v>
      </c>
      <c r="N9" s="11">
        <f>Logs_Reseau6[[#This Row],[Anciennette]]/24</f>
        <v>4.958333333333333</v>
      </c>
      <c r="O9" s="1">
        <f>Logs_Reseau6[[#This Row],[Duree_Cumulée_Panne]]/1440</f>
        <v>0.2388888888888889</v>
      </c>
      <c r="P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" spans="1:20" x14ac:dyDescent="0.25">
      <c r="A10" s="2">
        <v>45230</v>
      </c>
      <c r="B10" s="1">
        <v>0.42916666666666664</v>
      </c>
      <c r="C10" t="s">
        <v>1082</v>
      </c>
      <c r="D10">
        <v>11</v>
      </c>
      <c r="E10" t="s">
        <v>1305</v>
      </c>
      <c r="F10" t="str">
        <f>_xlfn.XLOOKUP(Logs_Reseau6[[#This Row],[Cell_ID]],Registre[ID_Antenne],Registre[Province_RDC],"Non Trouvée")</f>
        <v>Bas-Uele</v>
      </c>
      <c r="G10" t="str">
        <f>_xlfn.XLOOKUP(Logs_Reseau6[[#This Row],[Province]],Clients_Churn[Province_Client],Clients_Churn[ID_Client],"Aucun")</f>
        <v>CLI-00029</v>
      </c>
      <c r="H10" t="str">
        <f>_xlfn.XLOOKUP(Logs_Reseau6[[#This Row],[Cell_ID]],Registre[ID_Antenne],Registre[Technologie],"Rien à signaler")</f>
        <v>5G</v>
      </c>
      <c r="I10" t="str">
        <f>_xlfn.XLOOKUP(Logs_Reseau6[[#This Row],[Cell_ID]],Registre[ID_Antenne],Registre[Equipementier],"Non Trouvée")</f>
        <v>Huawei</v>
      </c>
      <c r="J10" t="str">
        <f>_xlfn.XLOOKUP(Logs_Reseau6[[#This Row],[Id_Client]],Clients_Churn[ID_Client],Clients_Churn[Type_Forfait],"Pas d'information")</f>
        <v>Pro Monde</v>
      </c>
      <c r="K10" s="5" t="str">
        <f>IF(Logs_Reseau6[[#This Row],[Type_Forfait]]="Pro Monde","B2B","B2C")</f>
        <v>B2B</v>
      </c>
      <c r="L10" s="5">
        <f>_xlfn.XLOOKUP(Logs_Reseau6[[#This Row],[Id_Client]],Clients_Churn[ID_Client],Clients_Churn[Duree_Cumulee_Panne_Min],"Non Trouvée")</f>
        <v>344</v>
      </c>
      <c r="M10" s="5">
        <f>_xlfn.XLOOKUP(Logs_Reseau6[[#This Row],[Id_Client]],Clients_Churn[ID_Client],Clients_Churn[Anciennete_Mois],"Rien à signaler")</f>
        <v>119</v>
      </c>
      <c r="N10" s="11">
        <f>Logs_Reseau6[[#This Row],[Anciennette]]/24</f>
        <v>4.958333333333333</v>
      </c>
      <c r="O10" s="1">
        <f>Logs_Reseau6[[#This Row],[Duree_Cumulée_Panne]]/1440</f>
        <v>0.2388888888888889</v>
      </c>
      <c r="P1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1" spans="1:20" x14ac:dyDescent="0.25">
      <c r="A11" s="2">
        <v>45221</v>
      </c>
      <c r="B11" s="1">
        <v>0.56597222222222221</v>
      </c>
      <c r="C11" t="s">
        <v>935</v>
      </c>
      <c r="D11">
        <v>87</v>
      </c>
      <c r="E11" t="s">
        <v>1303</v>
      </c>
      <c r="F11" t="str">
        <f>_xlfn.XLOOKUP(Logs_Reseau6[[#This Row],[Cell_ID]],Registre[ID_Antenne],Registre[Province_RDC],"Non Trouvée")</f>
        <v>Tshopo</v>
      </c>
      <c r="G11" t="str">
        <f>_xlfn.XLOOKUP(Logs_Reseau6[[#This Row],[Province]],Clients_Churn[Province_Client],Clients_Churn[ID_Client],"Aucun")</f>
        <v>CLI-00100</v>
      </c>
      <c r="H11" t="str">
        <f>_xlfn.XLOOKUP(Logs_Reseau6[[#This Row],[Cell_ID]],Registre[ID_Antenne],Registre[Technologie],"Rien à signaler")</f>
        <v>5G</v>
      </c>
      <c r="I11" t="str">
        <f>_xlfn.XLOOKUP(Logs_Reseau6[[#This Row],[Cell_ID]],Registre[ID_Antenne],Registre[Equipementier],"Non Trouvée")</f>
        <v>ZTE</v>
      </c>
      <c r="J11" t="str">
        <f>_xlfn.XLOOKUP(Logs_Reseau6[[#This Row],[Id_Client]],Clients_Churn[ID_Client],Clients_Churn[Type_Forfait],"Pas d'information")</f>
        <v>Bloqué 5Go</v>
      </c>
      <c r="K11" s="5" t="str">
        <f>IF(Logs_Reseau6[[#This Row],[Type_Forfait]]="Pro Monde","B2B","B2C")</f>
        <v>B2C</v>
      </c>
      <c r="L11" s="5">
        <f>_xlfn.XLOOKUP(Logs_Reseau6[[#This Row],[Id_Client]],Clients_Churn[ID_Client],Clients_Churn[Duree_Cumulee_Panne_Min],"Non Trouvée")</f>
        <v>388</v>
      </c>
      <c r="M11" s="5">
        <f>_xlfn.XLOOKUP(Logs_Reseau6[[#This Row],[Id_Client]],Clients_Churn[ID_Client],Clients_Churn[Anciennete_Mois],"Rien à signaler")</f>
        <v>74</v>
      </c>
      <c r="N11" s="11">
        <f>Logs_Reseau6[[#This Row],[Anciennette]]/24</f>
        <v>3.0833333333333335</v>
      </c>
      <c r="O11" s="1">
        <f>Logs_Reseau6[[#This Row],[Duree_Cumulée_Panne]]/1440</f>
        <v>0.26944444444444443</v>
      </c>
      <c r="P1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  <c r="T11" t="s">
        <v>1654</v>
      </c>
    </row>
    <row r="12" spans="1:20" x14ac:dyDescent="0.25">
      <c r="A12" s="2">
        <v>45222</v>
      </c>
      <c r="B12" s="1">
        <v>0.50138888888888888</v>
      </c>
      <c r="C12" t="s">
        <v>1083</v>
      </c>
      <c r="D12">
        <v>39</v>
      </c>
      <c r="E12" t="s">
        <v>1300</v>
      </c>
      <c r="F12" t="str">
        <f>_xlfn.XLOOKUP(Logs_Reseau6[[#This Row],[Cell_ID]],Registre[ID_Antenne],Registre[Province_RDC],"Non Trouvée")</f>
        <v>Haut-Lomami</v>
      </c>
      <c r="G12" t="str">
        <f>_xlfn.XLOOKUP(Logs_Reseau6[[#This Row],[Province]],Clients_Churn[Province_Client],Clients_Churn[ID_Client],"Aucun")</f>
        <v>CLI-00022</v>
      </c>
      <c r="H12" t="str">
        <f>_xlfn.XLOOKUP(Logs_Reseau6[[#This Row],[Cell_ID]],Registre[ID_Antenne],Registre[Technologie],"Rien à signaler")</f>
        <v>3G</v>
      </c>
      <c r="I12" t="str">
        <f>_xlfn.XLOOKUP(Logs_Reseau6[[#This Row],[Cell_ID]],Registre[ID_Antenne],Registre[Equipementier],"Non Trouvée")</f>
        <v>ZTE</v>
      </c>
      <c r="J12" t="str">
        <f>_xlfn.XLOOKUP(Logs_Reseau6[[#This Row],[Id_Client]],Clients_Churn[ID_Client],Clients_Churn[Type_Forfait],"Pas d'information")</f>
        <v>Premium 5G 150Go</v>
      </c>
      <c r="K12" s="5" t="str">
        <f>IF(Logs_Reseau6[[#This Row],[Type_Forfait]]="Pro Monde","B2B","B2C")</f>
        <v>B2C</v>
      </c>
      <c r="L12" s="5">
        <f>_xlfn.XLOOKUP(Logs_Reseau6[[#This Row],[Id_Client]],Clients_Churn[ID_Client],Clients_Churn[Duree_Cumulee_Panne_Min],"Non Trouvée")</f>
        <v>488</v>
      </c>
      <c r="M12" s="5">
        <f>_xlfn.XLOOKUP(Logs_Reseau6[[#This Row],[Id_Client]],Clients_Churn[ID_Client],Clients_Churn[Anciennete_Mois],"Rien à signaler")</f>
        <v>77</v>
      </c>
      <c r="N12" s="11">
        <f>Logs_Reseau6[[#This Row],[Anciennette]]/24</f>
        <v>3.2083333333333335</v>
      </c>
      <c r="O12" s="1">
        <f>Logs_Reseau6[[#This Row],[Duree_Cumulée_Panne]]/1440</f>
        <v>0.33888888888888891</v>
      </c>
      <c r="P1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3" spans="1:20" x14ac:dyDescent="0.25">
      <c r="A13" s="2">
        <v>45210</v>
      </c>
      <c r="B13" s="1">
        <v>0.8354166666666667</v>
      </c>
      <c r="C13" t="s">
        <v>1241</v>
      </c>
      <c r="D13">
        <v>80</v>
      </c>
      <c r="E13" t="s">
        <v>1303</v>
      </c>
      <c r="F13" t="str">
        <f>_xlfn.XLOOKUP(Logs_Reseau6[[#This Row],[Cell_ID]],Registre[ID_Antenne],Registre[Province_RDC],"Non Trouvée")</f>
        <v>Haut-Katanga</v>
      </c>
      <c r="G13" t="str">
        <f>_xlfn.XLOOKUP(Logs_Reseau6[[#This Row],[Province]],Clients_Churn[Province_Client],Clients_Churn[ID_Client],"Aucun")</f>
        <v>CLI-00059</v>
      </c>
      <c r="H13" t="str">
        <f>_xlfn.XLOOKUP(Logs_Reseau6[[#This Row],[Cell_ID]],Registre[ID_Antenne],Registre[Technologie],"Rien à signaler")</f>
        <v>3G</v>
      </c>
      <c r="I13" t="str">
        <f>_xlfn.XLOOKUP(Logs_Reseau6[[#This Row],[Cell_ID]],Registre[ID_Antenne],Registre[Equipementier],"Non Trouvée")</f>
        <v>Ericsson</v>
      </c>
      <c r="J13" t="str">
        <f>_xlfn.XLOOKUP(Logs_Reseau6[[#This Row],[Id_Client]],Clients_Churn[ID_Client],Clients_Churn[Type_Forfait],"Pas d'information")</f>
        <v>Pro Monde</v>
      </c>
      <c r="K13" s="5" t="str">
        <f>IF(Logs_Reseau6[[#This Row],[Type_Forfait]]="Pro Monde","B2B","B2C")</f>
        <v>B2B</v>
      </c>
      <c r="L13" s="5">
        <f>_xlfn.XLOOKUP(Logs_Reseau6[[#This Row],[Id_Client]],Clients_Churn[ID_Client],Clients_Churn[Duree_Cumulee_Panne_Min],"Non Trouvée")</f>
        <v>76</v>
      </c>
      <c r="M13" s="5">
        <f>_xlfn.XLOOKUP(Logs_Reseau6[[#This Row],[Id_Client]],Clients_Churn[ID_Client],Clients_Churn[Anciennete_Mois],"Rien à signaler")</f>
        <v>69</v>
      </c>
      <c r="N13" s="11">
        <f>Logs_Reseau6[[#This Row],[Anciennette]]/24</f>
        <v>2.875</v>
      </c>
      <c r="O13" s="1">
        <f>Logs_Reseau6[[#This Row],[Duree_Cumulée_Panne]]/1440</f>
        <v>5.2777777777777778E-2</v>
      </c>
      <c r="P1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4" spans="1:20" x14ac:dyDescent="0.25">
      <c r="A14" s="2">
        <v>45223</v>
      </c>
      <c r="B14" s="1">
        <v>0.41875000000000001</v>
      </c>
      <c r="C14" t="s">
        <v>1241</v>
      </c>
      <c r="D14">
        <v>89</v>
      </c>
      <c r="E14" t="s">
        <v>1300</v>
      </c>
      <c r="F14" t="str">
        <f>_xlfn.XLOOKUP(Logs_Reseau6[[#This Row],[Cell_ID]],Registre[ID_Antenne],Registre[Province_RDC],"Non Trouvée")</f>
        <v>Haut-Katanga</v>
      </c>
      <c r="G14" t="str">
        <f>_xlfn.XLOOKUP(Logs_Reseau6[[#This Row],[Province]],Clients_Churn[Province_Client],Clients_Churn[ID_Client],"Aucun")</f>
        <v>CLI-00059</v>
      </c>
      <c r="H14" t="str">
        <f>_xlfn.XLOOKUP(Logs_Reseau6[[#This Row],[Cell_ID]],Registre[ID_Antenne],Registre[Technologie],"Rien à signaler")</f>
        <v>3G</v>
      </c>
      <c r="I14" t="str">
        <f>_xlfn.XLOOKUP(Logs_Reseau6[[#This Row],[Cell_ID]],Registre[ID_Antenne],Registre[Equipementier],"Non Trouvée")</f>
        <v>Ericsson</v>
      </c>
      <c r="J14" t="str">
        <f>_xlfn.XLOOKUP(Logs_Reseau6[[#This Row],[Id_Client]],Clients_Churn[ID_Client],Clients_Churn[Type_Forfait],"Pas d'information")</f>
        <v>Pro Monde</v>
      </c>
      <c r="K14" s="5" t="str">
        <f>IF(Logs_Reseau6[[#This Row],[Type_Forfait]]="Pro Monde","B2B","B2C")</f>
        <v>B2B</v>
      </c>
      <c r="L14" s="5">
        <f>_xlfn.XLOOKUP(Logs_Reseau6[[#This Row],[Id_Client]],Clients_Churn[ID_Client],Clients_Churn[Duree_Cumulee_Panne_Min],"Non Trouvée")</f>
        <v>76</v>
      </c>
      <c r="M14" s="5">
        <f>_xlfn.XLOOKUP(Logs_Reseau6[[#This Row],[Id_Client]],Clients_Churn[ID_Client],Clients_Churn[Anciennete_Mois],"Rien à signaler")</f>
        <v>69</v>
      </c>
      <c r="N14" s="11">
        <f>Logs_Reseau6[[#This Row],[Anciennette]]/24</f>
        <v>2.875</v>
      </c>
      <c r="O14" s="1">
        <f>Logs_Reseau6[[#This Row],[Duree_Cumulée_Panne]]/1440</f>
        <v>5.2777777777777778E-2</v>
      </c>
      <c r="P1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5" spans="1:20" x14ac:dyDescent="0.25">
      <c r="A15" s="2">
        <v>45202</v>
      </c>
      <c r="B15" s="1">
        <v>0.8520833333333333</v>
      </c>
      <c r="C15" t="s">
        <v>856</v>
      </c>
      <c r="D15">
        <v>83</v>
      </c>
      <c r="E15" t="s">
        <v>1300</v>
      </c>
      <c r="F15" t="str">
        <f>_xlfn.XLOOKUP(Logs_Reseau6[[#This Row],[Cell_ID]],Registre[ID_Antenne],Registre[Province_RDC],"Non Trouvée")</f>
        <v>Mai-Ndombe</v>
      </c>
      <c r="G15" t="str">
        <f>_xlfn.XLOOKUP(Logs_Reseau6[[#This Row],[Province]],Clients_Churn[Province_Client],Clients_Churn[ID_Client],"Aucun")</f>
        <v>CLI-00090</v>
      </c>
      <c r="H15" t="str">
        <f>_xlfn.XLOOKUP(Logs_Reseau6[[#This Row],[Cell_ID]],Registre[ID_Antenne],Registre[Technologie],"Rien à signaler")</f>
        <v>4G</v>
      </c>
      <c r="I15" t="str">
        <f>_xlfn.XLOOKUP(Logs_Reseau6[[#This Row],[Cell_ID]],Registre[ID_Antenne],Registre[Equipementier],"Non Trouvée")</f>
        <v>Ericsson</v>
      </c>
      <c r="J15" t="str">
        <f>_xlfn.XLOOKUP(Logs_Reseau6[[#This Row],[Id_Client]],Clients_Churn[ID_Client],Clients_Churn[Type_Forfait],"Pas d'information")</f>
        <v>Bloqué 5Go</v>
      </c>
      <c r="K15" s="5" t="str">
        <f>IF(Logs_Reseau6[[#This Row],[Type_Forfait]]="Pro Monde","B2B","B2C")</f>
        <v>B2C</v>
      </c>
      <c r="L15" s="5">
        <f>_xlfn.XLOOKUP(Logs_Reseau6[[#This Row],[Id_Client]],Clients_Churn[ID_Client],Clients_Churn[Duree_Cumulee_Panne_Min],"Non Trouvée")</f>
        <v>400</v>
      </c>
      <c r="M15" s="5">
        <f>_xlfn.XLOOKUP(Logs_Reseau6[[#This Row],[Id_Client]],Clients_Churn[ID_Client],Clients_Churn[Anciennete_Mois],"Rien à signaler")</f>
        <v>15</v>
      </c>
      <c r="N15" s="11">
        <f>Logs_Reseau6[[#This Row],[Anciennette]]/24</f>
        <v>0.625</v>
      </c>
      <c r="O15" s="1">
        <f>Logs_Reseau6[[#This Row],[Duree_Cumulée_Panne]]/1440</f>
        <v>0.27777777777777779</v>
      </c>
      <c r="P1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6" spans="1:20" hidden="1" x14ac:dyDescent="0.25">
      <c r="A16" s="2">
        <v>45213</v>
      </c>
      <c r="B16" s="1">
        <v>0.92222222222222228</v>
      </c>
      <c r="C16" t="s">
        <v>1506</v>
      </c>
      <c r="D16">
        <v>40</v>
      </c>
      <c r="E16" t="s">
        <v>1300</v>
      </c>
      <c r="F16" t="str">
        <f>_xlfn.XLOOKUP(Logs_Reseau6[[#This Row],[Cell_ID]],Registre[ID_Antenne],Registre[Province_RDC],"Non Trouvée")</f>
        <v>Non Trouvée</v>
      </c>
      <c r="G16" t="str">
        <f>_xlfn.XLOOKUP(Logs_Reseau6[[#This Row],[Province]],Clients_Churn[Province_Client],Clients_Churn[ID_Client],"Aucun")</f>
        <v>Aucun</v>
      </c>
      <c r="H16" t="str">
        <f>_xlfn.XLOOKUP(Logs_Reseau6[[#This Row],[Cell_ID]],Registre[ID_Antenne],Registre[Technologie],"Rien à signaler")</f>
        <v>Rien à signaler</v>
      </c>
      <c r="I16" t="str">
        <f>_xlfn.XLOOKUP(Logs_Reseau6[[#This Row],[Cell_ID]],Registre[ID_Antenne],Registre[Equipementier],"Non Trouvée")</f>
        <v>Non Trouvée</v>
      </c>
      <c r="J16" t="str">
        <f>_xlfn.XLOOKUP(Logs_Reseau6[[#This Row],[Id_Client]],Clients_Churn[ID_Client],Clients_Churn[Type_Forfait],"Pas d'information")</f>
        <v>Pas d'information</v>
      </c>
      <c r="K16" s="5" t="str">
        <f>IF(Logs_Reseau6[[#This Row],[Type_Forfait]]="Pro Monde","B2B","B2C")</f>
        <v>B2C</v>
      </c>
      <c r="L16" s="5" t="str">
        <f>_xlfn.XLOOKUP(Logs_Reseau6[[#This Row],[Id_Client]],Clients_Churn[ID_Client],Clients_Churn[Duree_Cumulee_Panne_Min],"Non Trouvée")</f>
        <v>Non Trouvée</v>
      </c>
      <c r="M16" s="5" t="str">
        <f>_xlfn.XLOOKUP(Logs_Reseau6[[#This Row],[Id_Client]],Clients_Churn[ID_Client],Clients_Churn[Anciennete_Mois],"Rien à signaler")</f>
        <v>Rien à signaler</v>
      </c>
      <c r="N16" s="5" t="e">
        <f>Logs_Reseau6[[#This Row],[Anciennette]]/24</f>
        <v>#VALUE!</v>
      </c>
      <c r="O16" s="5" t="e">
        <f>Logs_Reseau6[[#This Row],[Duree_Cumulée_Panne]]/1440</f>
        <v>#VALUE!</v>
      </c>
      <c r="P1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7" spans="1:16" hidden="1" x14ac:dyDescent="0.25">
      <c r="A17" s="2">
        <v>45222</v>
      </c>
      <c r="B17" s="1">
        <v>0.55972222222222223</v>
      </c>
      <c r="C17" t="s">
        <v>1506</v>
      </c>
      <c r="D17">
        <v>26</v>
      </c>
      <c r="E17" t="s">
        <v>1305</v>
      </c>
      <c r="F17" t="str">
        <f>_xlfn.XLOOKUP(Logs_Reseau6[[#This Row],[Cell_ID]],Registre[ID_Antenne],Registre[Province_RDC],"Non Trouvée")</f>
        <v>Non Trouvée</v>
      </c>
      <c r="G17" t="str">
        <f>_xlfn.XLOOKUP(Logs_Reseau6[[#This Row],[Province]],Clients_Churn[Province_Client],Clients_Churn[ID_Client],"Aucun")</f>
        <v>Aucun</v>
      </c>
      <c r="H17" t="str">
        <f>_xlfn.XLOOKUP(Logs_Reseau6[[#This Row],[Cell_ID]],Registre[ID_Antenne],Registre[Technologie],"Rien à signaler")</f>
        <v>Rien à signaler</v>
      </c>
      <c r="I17" t="str">
        <f>_xlfn.XLOOKUP(Logs_Reseau6[[#This Row],[Cell_ID]],Registre[ID_Antenne],Registre[Equipementier],"Non Trouvée")</f>
        <v>Non Trouvée</v>
      </c>
      <c r="J17" t="str">
        <f>_xlfn.XLOOKUP(Logs_Reseau6[[#This Row],[Id_Client]],Clients_Churn[ID_Client],Clients_Churn[Type_Forfait],"Pas d'information")</f>
        <v>Pas d'information</v>
      </c>
      <c r="K17" s="5" t="str">
        <f>IF(Logs_Reseau6[[#This Row],[Type_Forfait]]="Pro Monde","B2B","B2C")</f>
        <v>B2C</v>
      </c>
      <c r="L17" s="5" t="str">
        <f>_xlfn.XLOOKUP(Logs_Reseau6[[#This Row],[Id_Client]],Clients_Churn[ID_Client],Clients_Churn[Duree_Cumulee_Panne_Min],"Non Trouvée")</f>
        <v>Non Trouvée</v>
      </c>
      <c r="M17" s="5" t="str">
        <f>_xlfn.XLOOKUP(Logs_Reseau6[[#This Row],[Id_Client]],Clients_Churn[ID_Client],Clients_Churn[Anciennete_Mois],"Rien à signaler")</f>
        <v>Rien à signaler</v>
      </c>
      <c r="N17" s="5" t="e">
        <f>Logs_Reseau6[[#This Row],[Anciennette]]/24</f>
        <v>#VALUE!</v>
      </c>
      <c r="O17" s="5" t="e">
        <f>Logs_Reseau6[[#This Row],[Duree_Cumulée_Panne]]/1440</f>
        <v>#VALUE!</v>
      </c>
      <c r="P1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8" spans="1:16" hidden="1" x14ac:dyDescent="0.25">
      <c r="A18" s="2">
        <v>45204</v>
      </c>
      <c r="B18" s="1">
        <v>0.39166666666666666</v>
      </c>
      <c r="C18" t="s">
        <v>1369</v>
      </c>
      <c r="D18">
        <v>98</v>
      </c>
      <c r="E18" t="s">
        <v>1305</v>
      </c>
      <c r="F18" t="str">
        <f>_xlfn.XLOOKUP(Logs_Reseau6[[#This Row],[Cell_ID]],Registre[ID_Antenne],Registre[Province_RDC],"Non Trouvée")</f>
        <v>Non Trouvée</v>
      </c>
      <c r="G18" t="str">
        <f>_xlfn.XLOOKUP(Logs_Reseau6[[#This Row],[Province]],Clients_Churn[Province_Client],Clients_Churn[ID_Client],"Aucun")</f>
        <v>Aucun</v>
      </c>
      <c r="H18" t="str">
        <f>_xlfn.XLOOKUP(Logs_Reseau6[[#This Row],[Cell_ID]],Registre[ID_Antenne],Registre[Technologie],"Rien à signaler")</f>
        <v>Rien à signaler</v>
      </c>
      <c r="I18" t="str">
        <f>_xlfn.XLOOKUP(Logs_Reseau6[[#This Row],[Cell_ID]],Registre[ID_Antenne],Registre[Equipementier],"Non Trouvée")</f>
        <v>Non Trouvée</v>
      </c>
      <c r="J18" t="str">
        <f>_xlfn.XLOOKUP(Logs_Reseau6[[#This Row],[Id_Client]],Clients_Churn[ID_Client],Clients_Churn[Type_Forfait],"Pas d'information")</f>
        <v>Pas d'information</v>
      </c>
      <c r="K18" s="5" t="str">
        <f>IF(Logs_Reseau6[[#This Row],[Type_Forfait]]="Pro Monde","B2B","B2C")</f>
        <v>B2C</v>
      </c>
      <c r="L18" s="5" t="str">
        <f>_xlfn.XLOOKUP(Logs_Reseau6[[#This Row],[Id_Client]],Clients_Churn[ID_Client],Clients_Churn[Duree_Cumulee_Panne_Min],"Non Trouvée")</f>
        <v>Non Trouvée</v>
      </c>
      <c r="M18" s="5" t="str">
        <f>_xlfn.XLOOKUP(Logs_Reseau6[[#This Row],[Id_Client]],Clients_Churn[ID_Client],Clients_Churn[Anciennete_Mois],"Rien à signaler")</f>
        <v>Rien à signaler</v>
      </c>
      <c r="N18" s="5" t="e">
        <f>Logs_Reseau6[[#This Row],[Anciennette]]/24</f>
        <v>#VALUE!</v>
      </c>
      <c r="O18" s="5" t="e">
        <f>Logs_Reseau6[[#This Row],[Duree_Cumulée_Panne]]/1440</f>
        <v>#VALUE!</v>
      </c>
      <c r="P1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9" spans="1:16" hidden="1" x14ac:dyDescent="0.25">
      <c r="A19" s="2">
        <v>45219</v>
      </c>
      <c r="B19" s="1">
        <v>0.98958333333333337</v>
      </c>
      <c r="C19" t="s">
        <v>1369</v>
      </c>
      <c r="D19">
        <v>36</v>
      </c>
      <c r="E19" t="s">
        <v>1300</v>
      </c>
      <c r="F19" t="str">
        <f>_xlfn.XLOOKUP(Logs_Reseau6[[#This Row],[Cell_ID]],Registre[ID_Antenne],Registre[Province_RDC],"Non Trouvée")</f>
        <v>Non Trouvée</v>
      </c>
      <c r="G19" t="str">
        <f>_xlfn.XLOOKUP(Logs_Reseau6[[#This Row],[Province]],Clients_Churn[Province_Client],Clients_Churn[ID_Client],"Aucun")</f>
        <v>Aucun</v>
      </c>
      <c r="H19" t="str">
        <f>_xlfn.XLOOKUP(Logs_Reseau6[[#This Row],[Cell_ID]],Registre[ID_Antenne],Registre[Technologie],"Rien à signaler")</f>
        <v>Rien à signaler</v>
      </c>
      <c r="I19" t="str">
        <f>_xlfn.XLOOKUP(Logs_Reseau6[[#This Row],[Cell_ID]],Registre[ID_Antenne],Registre[Equipementier],"Non Trouvée")</f>
        <v>Non Trouvée</v>
      </c>
      <c r="J19" t="str">
        <f>_xlfn.XLOOKUP(Logs_Reseau6[[#This Row],[Id_Client]],Clients_Churn[ID_Client],Clients_Churn[Type_Forfait],"Pas d'information")</f>
        <v>Pas d'information</v>
      </c>
      <c r="K19" s="5" t="str">
        <f>IF(Logs_Reseau6[[#This Row],[Type_Forfait]]="Pro Monde","B2B","B2C")</f>
        <v>B2C</v>
      </c>
      <c r="L19" s="5" t="str">
        <f>_xlfn.XLOOKUP(Logs_Reseau6[[#This Row],[Id_Client]],Clients_Churn[ID_Client],Clients_Churn[Duree_Cumulee_Panne_Min],"Non Trouvée")</f>
        <v>Non Trouvée</v>
      </c>
      <c r="M19" s="5" t="str">
        <f>_xlfn.XLOOKUP(Logs_Reseau6[[#This Row],[Id_Client]],Clients_Churn[ID_Client],Clients_Churn[Anciennete_Mois],"Rien à signaler")</f>
        <v>Rien à signaler</v>
      </c>
      <c r="N19" s="5" t="e">
        <f>Logs_Reseau6[[#This Row],[Anciennette]]/24</f>
        <v>#VALUE!</v>
      </c>
      <c r="O19" s="5" t="e">
        <f>Logs_Reseau6[[#This Row],[Duree_Cumulée_Panne]]/1440</f>
        <v>#VALUE!</v>
      </c>
      <c r="P1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0" spans="1:16" hidden="1" x14ac:dyDescent="0.25">
      <c r="A20" s="2">
        <v>45230</v>
      </c>
      <c r="B20" s="1">
        <v>0.56597222222222221</v>
      </c>
      <c r="C20" t="s">
        <v>1369</v>
      </c>
      <c r="D20">
        <v>74</v>
      </c>
      <c r="E20" t="s">
        <v>1300</v>
      </c>
      <c r="F20" t="str">
        <f>_xlfn.XLOOKUP(Logs_Reseau6[[#This Row],[Cell_ID]],Registre[ID_Antenne],Registre[Province_RDC],"Non Trouvée")</f>
        <v>Non Trouvée</v>
      </c>
      <c r="G20" t="str">
        <f>_xlfn.XLOOKUP(Logs_Reseau6[[#This Row],[Province]],Clients_Churn[Province_Client],Clients_Churn[ID_Client],"Aucun")</f>
        <v>Aucun</v>
      </c>
      <c r="H20" t="str">
        <f>_xlfn.XLOOKUP(Logs_Reseau6[[#This Row],[Cell_ID]],Registre[ID_Antenne],Registre[Technologie],"Rien à signaler")</f>
        <v>Rien à signaler</v>
      </c>
      <c r="I20" t="str">
        <f>_xlfn.XLOOKUP(Logs_Reseau6[[#This Row],[Cell_ID]],Registre[ID_Antenne],Registre[Equipementier],"Non Trouvée")</f>
        <v>Non Trouvée</v>
      </c>
      <c r="J20" t="str">
        <f>_xlfn.XLOOKUP(Logs_Reseau6[[#This Row],[Id_Client]],Clients_Churn[ID_Client],Clients_Churn[Type_Forfait],"Pas d'information")</f>
        <v>Pas d'information</v>
      </c>
      <c r="K20" s="5" t="str">
        <f>IF(Logs_Reseau6[[#This Row],[Type_Forfait]]="Pro Monde","B2B","B2C")</f>
        <v>B2C</v>
      </c>
      <c r="L20" s="5" t="str">
        <f>_xlfn.XLOOKUP(Logs_Reseau6[[#This Row],[Id_Client]],Clients_Churn[ID_Client],Clients_Churn[Duree_Cumulee_Panne_Min],"Non Trouvée")</f>
        <v>Non Trouvée</v>
      </c>
      <c r="M20" s="5" t="str">
        <f>_xlfn.XLOOKUP(Logs_Reseau6[[#This Row],[Id_Client]],Clients_Churn[ID_Client],Clients_Churn[Anciennete_Mois],"Rien à signaler")</f>
        <v>Rien à signaler</v>
      </c>
      <c r="N20" s="5" t="e">
        <f>Logs_Reseau6[[#This Row],[Anciennette]]/24</f>
        <v>#VALUE!</v>
      </c>
      <c r="O20" s="5" t="e">
        <f>Logs_Reseau6[[#This Row],[Duree_Cumulée_Panne]]/1440</f>
        <v>#VALUE!</v>
      </c>
      <c r="P2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1" spans="1:16" hidden="1" x14ac:dyDescent="0.25">
      <c r="A21" s="2">
        <v>45213</v>
      </c>
      <c r="B21" s="1">
        <v>0.96319444444444446</v>
      </c>
      <c r="C21" t="s">
        <v>1609</v>
      </c>
      <c r="D21">
        <v>25</v>
      </c>
      <c r="E21" t="s">
        <v>1303</v>
      </c>
      <c r="F21" t="str">
        <f>_xlfn.XLOOKUP(Logs_Reseau6[[#This Row],[Cell_ID]],Registre[ID_Antenne],Registre[Province_RDC],"Non Trouvée")</f>
        <v>Non Trouvée</v>
      </c>
      <c r="G21" t="str">
        <f>_xlfn.XLOOKUP(Logs_Reseau6[[#This Row],[Province]],Clients_Churn[Province_Client],Clients_Churn[ID_Client],"Aucun")</f>
        <v>Aucun</v>
      </c>
      <c r="H21" t="str">
        <f>_xlfn.XLOOKUP(Logs_Reseau6[[#This Row],[Cell_ID]],Registre[ID_Antenne],Registre[Technologie],"Rien à signaler")</f>
        <v>Rien à signaler</v>
      </c>
      <c r="I21" t="str">
        <f>_xlfn.XLOOKUP(Logs_Reseau6[[#This Row],[Cell_ID]],Registre[ID_Antenne],Registre[Equipementier],"Non Trouvée")</f>
        <v>Non Trouvée</v>
      </c>
      <c r="J21" t="str">
        <f>_xlfn.XLOOKUP(Logs_Reseau6[[#This Row],[Id_Client]],Clients_Churn[ID_Client],Clients_Churn[Type_Forfait],"Pas d'information")</f>
        <v>Pas d'information</v>
      </c>
      <c r="K21" s="5" t="str">
        <f>IF(Logs_Reseau6[[#This Row],[Type_Forfait]]="Pro Monde","B2B","B2C")</f>
        <v>B2C</v>
      </c>
      <c r="L21" s="5" t="str">
        <f>_xlfn.XLOOKUP(Logs_Reseau6[[#This Row],[Id_Client]],Clients_Churn[ID_Client],Clients_Churn[Duree_Cumulee_Panne_Min],"Non Trouvée")</f>
        <v>Non Trouvée</v>
      </c>
      <c r="M21" s="5" t="str">
        <f>_xlfn.XLOOKUP(Logs_Reseau6[[#This Row],[Id_Client]],Clients_Churn[ID_Client],Clients_Churn[Anciennete_Mois],"Rien à signaler")</f>
        <v>Rien à signaler</v>
      </c>
      <c r="N21" s="5" t="e">
        <f>Logs_Reseau6[[#This Row],[Anciennette]]/24</f>
        <v>#VALUE!</v>
      </c>
      <c r="O21" s="5" t="e">
        <f>Logs_Reseau6[[#This Row],[Duree_Cumulée_Panne]]/1440</f>
        <v>#VALUE!</v>
      </c>
      <c r="P2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2" spans="1:16" x14ac:dyDescent="0.25">
      <c r="A22" s="2">
        <v>45217</v>
      </c>
      <c r="B22" s="1">
        <v>0.96875</v>
      </c>
      <c r="C22" t="s">
        <v>816</v>
      </c>
      <c r="D22">
        <v>97</v>
      </c>
      <c r="E22" t="s">
        <v>1303</v>
      </c>
      <c r="F22" t="str">
        <f>_xlfn.XLOOKUP(Logs_Reseau6[[#This Row],[Cell_ID]],Registre[ID_Antenne],Registre[Province_RDC],"Non Trouvée")</f>
        <v>Kasai</v>
      </c>
      <c r="G22" t="str">
        <f>_xlfn.XLOOKUP(Logs_Reseau6[[#This Row],[Province]],Clients_Churn[Province_Client],Clients_Churn[ID_Client],"Aucun")</f>
        <v>CLI-00057</v>
      </c>
      <c r="H22" t="str">
        <f>_xlfn.XLOOKUP(Logs_Reseau6[[#This Row],[Cell_ID]],Registre[ID_Antenne],Registre[Technologie],"Rien à signaler")</f>
        <v>4G</v>
      </c>
      <c r="I22" t="str">
        <f>_xlfn.XLOOKUP(Logs_Reseau6[[#This Row],[Cell_ID]],Registre[ID_Antenne],Registre[Equipementier],"Non Trouvée")</f>
        <v>Huawei</v>
      </c>
      <c r="J22" t="str">
        <f>_xlfn.XLOOKUP(Logs_Reseau6[[#This Row],[Id_Client]],Clients_Churn[ID_Client],Clients_Churn[Type_Forfait],"Pas d'information")</f>
        <v>Bloqué 5Go</v>
      </c>
      <c r="K22" s="5" t="str">
        <f>IF(Logs_Reseau6[[#This Row],[Type_Forfait]]="Pro Monde","B2B","B2C")</f>
        <v>B2C</v>
      </c>
      <c r="L22" s="5">
        <f>_xlfn.XLOOKUP(Logs_Reseau6[[#This Row],[Id_Client]],Clients_Churn[ID_Client],Clients_Churn[Duree_Cumulee_Panne_Min],"Non Trouvée")</f>
        <v>182</v>
      </c>
      <c r="M22" s="5">
        <f>_xlfn.XLOOKUP(Logs_Reseau6[[#This Row],[Id_Client]],Clients_Churn[ID_Client],Clients_Churn[Anciennete_Mois],"Rien à signaler")</f>
        <v>4</v>
      </c>
      <c r="N22" s="11">
        <f>Logs_Reseau6[[#This Row],[Anciennette]]/24</f>
        <v>0.16666666666666666</v>
      </c>
      <c r="O22" s="1">
        <f>Logs_Reseau6[[#This Row],[Duree_Cumulée_Panne]]/1440</f>
        <v>0.12638888888888888</v>
      </c>
      <c r="P2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3" spans="1:16" hidden="1" x14ac:dyDescent="0.25">
      <c r="A23" s="2">
        <v>45217</v>
      </c>
      <c r="B23" s="1">
        <v>0.64027777777777772</v>
      </c>
      <c r="C23" t="s">
        <v>1576</v>
      </c>
      <c r="D23">
        <v>113</v>
      </c>
      <c r="E23" t="s">
        <v>1305</v>
      </c>
      <c r="F23" t="str">
        <f>_xlfn.XLOOKUP(Logs_Reseau6[[#This Row],[Cell_ID]],Registre[ID_Antenne],Registre[Province_RDC],"Non Trouvée")</f>
        <v>Non Trouvée</v>
      </c>
      <c r="G23" t="str">
        <f>_xlfn.XLOOKUP(Logs_Reseau6[[#This Row],[Province]],Clients_Churn[Province_Client],Clients_Churn[ID_Client],"Aucun")</f>
        <v>Aucun</v>
      </c>
      <c r="H23" t="str">
        <f>_xlfn.XLOOKUP(Logs_Reseau6[[#This Row],[Cell_ID]],Registre[ID_Antenne],Registre[Technologie],"Rien à signaler")</f>
        <v>Rien à signaler</v>
      </c>
      <c r="I23" t="str">
        <f>_xlfn.XLOOKUP(Logs_Reseau6[[#This Row],[Cell_ID]],Registre[ID_Antenne],Registre[Equipementier],"Non Trouvée")</f>
        <v>Non Trouvée</v>
      </c>
      <c r="J23" t="str">
        <f>_xlfn.XLOOKUP(Logs_Reseau6[[#This Row],[Id_Client]],Clients_Churn[ID_Client],Clients_Churn[Type_Forfait],"Pas d'information")</f>
        <v>Pas d'information</v>
      </c>
      <c r="K23" s="5" t="str">
        <f>IF(Logs_Reseau6[[#This Row],[Type_Forfait]]="Pro Monde","B2B","B2C")</f>
        <v>B2C</v>
      </c>
      <c r="L23" s="5" t="str">
        <f>_xlfn.XLOOKUP(Logs_Reseau6[[#This Row],[Id_Client]],Clients_Churn[ID_Client],Clients_Churn[Duree_Cumulee_Panne_Min],"Non Trouvée")</f>
        <v>Non Trouvée</v>
      </c>
      <c r="M23" s="5" t="str">
        <f>_xlfn.XLOOKUP(Logs_Reseau6[[#This Row],[Id_Client]],Clients_Churn[ID_Client],Clients_Churn[Anciennete_Mois],"Rien à signaler")</f>
        <v>Rien à signaler</v>
      </c>
      <c r="N23" s="5" t="e">
        <f>Logs_Reseau6[[#This Row],[Anciennette]]/24</f>
        <v>#VALUE!</v>
      </c>
      <c r="O23" s="5" t="e">
        <f>Logs_Reseau6[[#This Row],[Duree_Cumulée_Panne]]/1440</f>
        <v>#VALUE!</v>
      </c>
      <c r="P2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" spans="1:16" hidden="1" x14ac:dyDescent="0.25">
      <c r="A24" s="2">
        <v>45220</v>
      </c>
      <c r="B24" s="1">
        <v>9.3055555555555558E-2</v>
      </c>
      <c r="C24" t="s">
        <v>1576</v>
      </c>
      <c r="D24">
        <v>48</v>
      </c>
      <c r="E24" t="s">
        <v>1300</v>
      </c>
      <c r="F24" t="str">
        <f>_xlfn.XLOOKUP(Logs_Reseau6[[#This Row],[Cell_ID]],Registre[ID_Antenne],Registre[Province_RDC],"Non Trouvée")</f>
        <v>Non Trouvée</v>
      </c>
      <c r="G24" t="str">
        <f>_xlfn.XLOOKUP(Logs_Reseau6[[#This Row],[Province]],Clients_Churn[Province_Client],Clients_Churn[ID_Client],"Aucun")</f>
        <v>Aucun</v>
      </c>
      <c r="H24" t="str">
        <f>_xlfn.XLOOKUP(Logs_Reseau6[[#This Row],[Cell_ID]],Registre[ID_Antenne],Registre[Technologie],"Rien à signaler")</f>
        <v>Rien à signaler</v>
      </c>
      <c r="I24" t="str">
        <f>_xlfn.XLOOKUP(Logs_Reseau6[[#This Row],[Cell_ID]],Registre[ID_Antenne],Registre[Equipementier],"Non Trouvée")</f>
        <v>Non Trouvée</v>
      </c>
      <c r="J24" t="str">
        <f>_xlfn.XLOOKUP(Logs_Reseau6[[#This Row],[Id_Client]],Clients_Churn[ID_Client],Clients_Churn[Type_Forfait],"Pas d'information")</f>
        <v>Pas d'information</v>
      </c>
      <c r="K24" s="5" t="str">
        <f>IF(Logs_Reseau6[[#This Row],[Type_Forfait]]="Pro Monde","B2B","B2C")</f>
        <v>B2C</v>
      </c>
      <c r="L24" s="5" t="str">
        <f>_xlfn.XLOOKUP(Logs_Reseau6[[#This Row],[Id_Client]],Clients_Churn[ID_Client],Clients_Churn[Duree_Cumulee_Panne_Min],"Non Trouvée")</f>
        <v>Non Trouvée</v>
      </c>
      <c r="M24" s="5" t="str">
        <f>_xlfn.XLOOKUP(Logs_Reseau6[[#This Row],[Id_Client]],Clients_Churn[ID_Client],Clients_Churn[Anciennete_Mois],"Rien à signaler")</f>
        <v>Rien à signaler</v>
      </c>
      <c r="N24" s="5" t="e">
        <f>Logs_Reseau6[[#This Row],[Anciennette]]/24</f>
        <v>#VALUE!</v>
      </c>
      <c r="O24" s="5" t="e">
        <f>Logs_Reseau6[[#This Row],[Duree_Cumulée_Panne]]/1440</f>
        <v>#VALUE!</v>
      </c>
      <c r="P2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5" spans="1:16" hidden="1" x14ac:dyDescent="0.25">
      <c r="A25" s="2">
        <v>45204</v>
      </c>
      <c r="B25" s="1">
        <v>0.89583333333333337</v>
      </c>
      <c r="C25" t="s">
        <v>1432</v>
      </c>
      <c r="D25">
        <v>42</v>
      </c>
      <c r="E25" t="s">
        <v>1303</v>
      </c>
      <c r="F25" t="str">
        <f>_xlfn.XLOOKUP(Logs_Reseau6[[#This Row],[Cell_ID]],Registre[ID_Antenne],Registre[Province_RDC],"Non Trouvée")</f>
        <v>Non Trouvée</v>
      </c>
      <c r="G25" t="str">
        <f>_xlfn.XLOOKUP(Logs_Reseau6[[#This Row],[Province]],Clients_Churn[Province_Client],Clients_Churn[ID_Client],"Aucun")</f>
        <v>Aucun</v>
      </c>
      <c r="H25" t="str">
        <f>_xlfn.XLOOKUP(Logs_Reseau6[[#This Row],[Cell_ID]],Registre[ID_Antenne],Registre[Technologie],"Rien à signaler")</f>
        <v>Rien à signaler</v>
      </c>
      <c r="I25" t="str">
        <f>_xlfn.XLOOKUP(Logs_Reseau6[[#This Row],[Cell_ID]],Registre[ID_Antenne],Registre[Equipementier],"Non Trouvée")</f>
        <v>Non Trouvée</v>
      </c>
      <c r="J25" t="str">
        <f>_xlfn.XLOOKUP(Logs_Reseau6[[#This Row],[Id_Client]],Clients_Churn[ID_Client],Clients_Churn[Type_Forfait],"Pas d'information")</f>
        <v>Pas d'information</v>
      </c>
      <c r="K25" s="5" t="str">
        <f>IF(Logs_Reseau6[[#This Row],[Type_Forfait]]="Pro Monde","B2B","B2C")</f>
        <v>B2C</v>
      </c>
      <c r="L25" s="5" t="str">
        <f>_xlfn.XLOOKUP(Logs_Reseau6[[#This Row],[Id_Client]],Clients_Churn[ID_Client],Clients_Churn[Duree_Cumulee_Panne_Min],"Non Trouvée")</f>
        <v>Non Trouvée</v>
      </c>
      <c r="M25" s="5" t="str">
        <f>_xlfn.XLOOKUP(Logs_Reseau6[[#This Row],[Id_Client]],Clients_Churn[ID_Client],Clients_Churn[Anciennete_Mois],"Rien à signaler")</f>
        <v>Rien à signaler</v>
      </c>
      <c r="N25" s="5" t="e">
        <f>Logs_Reseau6[[#This Row],[Anciennette]]/24</f>
        <v>#VALUE!</v>
      </c>
      <c r="O25" s="5" t="e">
        <f>Logs_Reseau6[[#This Row],[Duree_Cumulée_Panne]]/1440</f>
        <v>#VALUE!</v>
      </c>
      <c r="P2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6" spans="1:16" hidden="1" x14ac:dyDescent="0.25">
      <c r="A26" s="2">
        <v>45205</v>
      </c>
      <c r="B26" s="1">
        <v>0.77569444444444446</v>
      </c>
      <c r="C26" t="s">
        <v>1478</v>
      </c>
      <c r="D26">
        <v>56</v>
      </c>
      <c r="E26" t="s">
        <v>1305</v>
      </c>
      <c r="F26" t="str">
        <f>_xlfn.XLOOKUP(Logs_Reseau6[[#This Row],[Cell_ID]],Registre[ID_Antenne],Registre[Province_RDC],"Non Trouvée")</f>
        <v>Non Trouvée</v>
      </c>
      <c r="G26" t="str">
        <f>_xlfn.XLOOKUP(Logs_Reseau6[[#This Row],[Province]],Clients_Churn[Province_Client],Clients_Churn[ID_Client],"Aucun")</f>
        <v>Aucun</v>
      </c>
      <c r="H26" t="str">
        <f>_xlfn.XLOOKUP(Logs_Reseau6[[#This Row],[Cell_ID]],Registre[ID_Antenne],Registre[Technologie],"Rien à signaler")</f>
        <v>Rien à signaler</v>
      </c>
      <c r="I26" t="str">
        <f>_xlfn.XLOOKUP(Logs_Reseau6[[#This Row],[Cell_ID]],Registre[ID_Antenne],Registre[Equipementier],"Non Trouvée")</f>
        <v>Non Trouvée</v>
      </c>
      <c r="J26" t="str">
        <f>_xlfn.XLOOKUP(Logs_Reseau6[[#This Row],[Id_Client]],Clients_Churn[ID_Client],Clients_Churn[Type_Forfait],"Pas d'information")</f>
        <v>Pas d'information</v>
      </c>
      <c r="K26" s="5" t="str">
        <f>IF(Logs_Reseau6[[#This Row],[Type_Forfait]]="Pro Monde","B2B","B2C")</f>
        <v>B2C</v>
      </c>
      <c r="L26" s="5" t="str">
        <f>_xlfn.XLOOKUP(Logs_Reseau6[[#This Row],[Id_Client]],Clients_Churn[ID_Client],Clients_Churn[Duree_Cumulee_Panne_Min],"Non Trouvée")</f>
        <v>Non Trouvée</v>
      </c>
      <c r="M26" s="5" t="str">
        <f>_xlfn.XLOOKUP(Logs_Reseau6[[#This Row],[Id_Client]],Clients_Churn[ID_Client],Clients_Churn[Anciennete_Mois],"Rien à signaler")</f>
        <v>Rien à signaler</v>
      </c>
      <c r="N26" s="5" t="e">
        <f>Logs_Reseau6[[#This Row],[Anciennette]]/24</f>
        <v>#VALUE!</v>
      </c>
      <c r="O26" s="5" t="e">
        <f>Logs_Reseau6[[#This Row],[Duree_Cumulée_Panne]]/1440</f>
        <v>#VALUE!</v>
      </c>
      <c r="P2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7" spans="1:16" hidden="1" x14ac:dyDescent="0.25">
      <c r="A27" s="2">
        <v>45220</v>
      </c>
      <c r="B27" s="1">
        <v>0.39097222222222222</v>
      </c>
      <c r="C27" t="s">
        <v>1478</v>
      </c>
      <c r="D27">
        <v>13</v>
      </c>
      <c r="E27" t="s">
        <v>1303</v>
      </c>
      <c r="F27" t="str">
        <f>_xlfn.XLOOKUP(Logs_Reseau6[[#This Row],[Cell_ID]],Registre[ID_Antenne],Registre[Province_RDC],"Non Trouvée")</f>
        <v>Non Trouvée</v>
      </c>
      <c r="G27" t="str">
        <f>_xlfn.XLOOKUP(Logs_Reseau6[[#This Row],[Province]],Clients_Churn[Province_Client],Clients_Churn[ID_Client],"Aucun")</f>
        <v>Aucun</v>
      </c>
      <c r="H27" t="str">
        <f>_xlfn.XLOOKUP(Logs_Reseau6[[#This Row],[Cell_ID]],Registre[ID_Antenne],Registre[Technologie],"Rien à signaler")</f>
        <v>Rien à signaler</v>
      </c>
      <c r="I27" t="str">
        <f>_xlfn.XLOOKUP(Logs_Reseau6[[#This Row],[Cell_ID]],Registre[ID_Antenne],Registre[Equipementier],"Non Trouvée")</f>
        <v>Non Trouvée</v>
      </c>
      <c r="J27" t="str">
        <f>_xlfn.XLOOKUP(Logs_Reseau6[[#This Row],[Id_Client]],Clients_Churn[ID_Client],Clients_Churn[Type_Forfait],"Pas d'information")</f>
        <v>Pas d'information</v>
      </c>
      <c r="K27" s="5" t="str">
        <f>IF(Logs_Reseau6[[#This Row],[Type_Forfait]]="Pro Monde","B2B","B2C")</f>
        <v>B2C</v>
      </c>
      <c r="L27" s="5" t="str">
        <f>_xlfn.XLOOKUP(Logs_Reseau6[[#This Row],[Id_Client]],Clients_Churn[ID_Client],Clients_Churn[Duree_Cumulee_Panne_Min],"Non Trouvée")</f>
        <v>Non Trouvée</v>
      </c>
      <c r="M27" s="5" t="str">
        <f>_xlfn.XLOOKUP(Logs_Reseau6[[#This Row],[Id_Client]],Clients_Churn[ID_Client],Clients_Churn[Anciennete_Mois],"Rien à signaler")</f>
        <v>Rien à signaler</v>
      </c>
      <c r="N27" s="5" t="e">
        <f>Logs_Reseau6[[#This Row],[Anciennette]]/24</f>
        <v>#VALUE!</v>
      </c>
      <c r="O27" s="5" t="e">
        <f>Logs_Reseau6[[#This Row],[Duree_Cumulée_Panne]]/1440</f>
        <v>#VALUE!</v>
      </c>
      <c r="P2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8" spans="1:16" hidden="1" x14ac:dyDescent="0.25">
      <c r="A28" s="2">
        <v>45224</v>
      </c>
      <c r="B28" s="1">
        <v>0.96180555555555558</v>
      </c>
      <c r="C28" t="s">
        <v>1521</v>
      </c>
      <c r="D28">
        <v>83</v>
      </c>
      <c r="E28" t="s">
        <v>1305</v>
      </c>
      <c r="F28" t="str">
        <f>_xlfn.XLOOKUP(Logs_Reseau6[[#This Row],[Cell_ID]],Registre[ID_Antenne],Registre[Province_RDC],"Non Trouvée")</f>
        <v>Non Trouvée</v>
      </c>
      <c r="G28" t="str">
        <f>_xlfn.XLOOKUP(Logs_Reseau6[[#This Row],[Province]],Clients_Churn[Province_Client],Clients_Churn[ID_Client],"Aucun")</f>
        <v>Aucun</v>
      </c>
      <c r="H28" t="str">
        <f>_xlfn.XLOOKUP(Logs_Reseau6[[#This Row],[Cell_ID]],Registre[ID_Antenne],Registre[Technologie],"Rien à signaler")</f>
        <v>Rien à signaler</v>
      </c>
      <c r="I28" t="str">
        <f>_xlfn.XLOOKUP(Logs_Reseau6[[#This Row],[Cell_ID]],Registre[ID_Antenne],Registre[Equipementier],"Non Trouvée")</f>
        <v>Non Trouvée</v>
      </c>
      <c r="J28" t="str">
        <f>_xlfn.XLOOKUP(Logs_Reseau6[[#This Row],[Id_Client]],Clients_Churn[ID_Client],Clients_Churn[Type_Forfait],"Pas d'information")</f>
        <v>Pas d'information</v>
      </c>
      <c r="K28" s="5" t="str">
        <f>IF(Logs_Reseau6[[#This Row],[Type_Forfait]]="Pro Monde","B2B","B2C")</f>
        <v>B2C</v>
      </c>
      <c r="L28" s="5" t="str">
        <f>_xlfn.XLOOKUP(Logs_Reseau6[[#This Row],[Id_Client]],Clients_Churn[ID_Client],Clients_Churn[Duree_Cumulee_Panne_Min],"Non Trouvée")</f>
        <v>Non Trouvée</v>
      </c>
      <c r="M28" s="5" t="str">
        <f>_xlfn.XLOOKUP(Logs_Reseau6[[#This Row],[Id_Client]],Clients_Churn[ID_Client],Clients_Churn[Anciennete_Mois],"Rien à signaler")</f>
        <v>Rien à signaler</v>
      </c>
      <c r="N28" s="5" t="e">
        <f>Logs_Reseau6[[#This Row],[Anciennette]]/24</f>
        <v>#VALUE!</v>
      </c>
      <c r="O28" s="5" t="e">
        <f>Logs_Reseau6[[#This Row],[Duree_Cumulée_Panne]]/1440</f>
        <v>#VALUE!</v>
      </c>
      <c r="P2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9" spans="1:16" hidden="1" x14ac:dyDescent="0.25">
      <c r="A29" s="2">
        <v>45225</v>
      </c>
      <c r="B29" s="1">
        <v>0.83958333333333335</v>
      </c>
      <c r="C29" t="s">
        <v>1521</v>
      </c>
      <c r="D29">
        <v>60</v>
      </c>
      <c r="E29" t="s">
        <v>1305</v>
      </c>
      <c r="F29" t="str">
        <f>_xlfn.XLOOKUP(Logs_Reseau6[[#This Row],[Cell_ID]],Registre[ID_Antenne],Registre[Province_RDC],"Non Trouvée")</f>
        <v>Non Trouvée</v>
      </c>
      <c r="G29" t="str">
        <f>_xlfn.XLOOKUP(Logs_Reseau6[[#This Row],[Province]],Clients_Churn[Province_Client],Clients_Churn[ID_Client],"Aucun")</f>
        <v>Aucun</v>
      </c>
      <c r="H29" t="str">
        <f>_xlfn.XLOOKUP(Logs_Reseau6[[#This Row],[Cell_ID]],Registre[ID_Antenne],Registre[Technologie],"Rien à signaler")</f>
        <v>Rien à signaler</v>
      </c>
      <c r="I29" t="str">
        <f>_xlfn.XLOOKUP(Logs_Reseau6[[#This Row],[Cell_ID]],Registre[ID_Antenne],Registre[Equipementier],"Non Trouvée")</f>
        <v>Non Trouvée</v>
      </c>
      <c r="J29" t="str">
        <f>_xlfn.XLOOKUP(Logs_Reseau6[[#This Row],[Id_Client]],Clients_Churn[ID_Client],Clients_Churn[Type_Forfait],"Pas d'information")</f>
        <v>Pas d'information</v>
      </c>
      <c r="K29" s="5" t="str">
        <f>IF(Logs_Reseau6[[#This Row],[Type_Forfait]]="Pro Monde","B2B","B2C")</f>
        <v>B2C</v>
      </c>
      <c r="L29" s="5" t="str">
        <f>_xlfn.XLOOKUP(Logs_Reseau6[[#This Row],[Id_Client]],Clients_Churn[ID_Client],Clients_Churn[Duree_Cumulee_Panne_Min],"Non Trouvée")</f>
        <v>Non Trouvée</v>
      </c>
      <c r="M29" s="5" t="str">
        <f>_xlfn.XLOOKUP(Logs_Reseau6[[#This Row],[Id_Client]],Clients_Churn[ID_Client],Clients_Churn[Anciennete_Mois],"Rien à signaler")</f>
        <v>Rien à signaler</v>
      </c>
      <c r="N29" s="5" t="e">
        <f>Logs_Reseau6[[#This Row],[Anciennette]]/24</f>
        <v>#VALUE!</v>
      </c>
      <c r="O29" s="5" t="e">
        <f>Logs_Reseau6[[#This Row],[Duree_Cumulée_Panne]]/1440</f>
        <v>#VALUE!</v>
      </c>
      <c r="P2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0" spans="1:16" x14ac:dyDescent="0.25">
      <c r="A30" s="2">
        <v>45206</v>
      </c>
      <c r="B30" s="1">
        <v>0.51597222222222228</v>
      </c>
      <c r="C30" t="s">
        <v>1228</v>
      </c>
      <c r="D30">
        <v>108</v>
      </c>
      <c r="E30" t="s">
        <v>1300</v>
      </c>
      <c r="F30" t="str">
        <f>_xlfn.XLOOKUP(Logs_Reseau6[[#This Row],[Cell_ID]],Registre[ID_Antenne],Registre[Province_RDC],"Non Trouvée")</f>
        <v>Kinshasa</v>
      </c>
      <c r="G30" t="str">
        <f>_xlfn.XLOOKUP(Logs_Reseau6[[#This Row],[Province]],Clients_Churn[Province_Client],Clients_Churn[ID_Client],"Aucun")</f>
        <v>CLI-00184</v>
      </c>
      <c r="H30" t="str">
        <f>_xlfn.XLOOKUP(Logs_Reseau6[[#This Row],[Cell_ID]],Registre[ID_Antenne],Registre[Technologie],"Rien à signaler")</f>
        <v>3G</v>
      </c>
      <c r="I30" t="str">
        <f>_xlfn.XLOOKUP(Logs_Reseau6[[#This Row],[Cell_ID]],Registre[ID_Antenne],Registre[Equipementier],"Non Trouvée")</f>
        <v>ZTE</v>
      </c>
      <c r="J30" t="str">
        <f>_xlfn.XLOOKUP(Logs_Reseau6[[#This Row],[Id_Client]],Clients_Churn[ID_Client],Clients_Churn[Type_Forfait],"Pas d'information")</f>
        <v>Premium 5G 150Go</v>
      </c>
      <c r="K30" s="5" t="str">
        <f>IF(Logs_Reseau6[[#This Row],[Type_Forfait]]="Pro Monde","B2B","B2C")</f>
        <v>B2C</v>
      </c>
      <c r="L30" s="5">
        <f>_xlfn.XLOOKUP(Logs_Reseau6[[#This Row],[Id_Client]],Clients_Churn[ID_Client],Clients_Churn[Duree_Cumulee_Panne_Min],"Non Trouvée")</f>
        <v>191</v>
      </c>
      <c r="M30" s="5">
        <f>_xlfn.XLOOKUP(Logs_Reseau6[[#This Row],[Id_Client]],Clients_Churn[ID_Client],Clients_Churn[Anciennete_Mois],"Rien à signaler")</f>
        <v>71</v>
      </c>
      <c r="N30" s="11">
        <f>Logs_Reseau6[[#This Row],[Anciennette]]/24</f>
        <v>2.9583333333333335</v>
      </c>
      <c r="O30" s="1">
        <f>Logs_Reseau6[[#This Row],[Duree_Cumulée_Panne]]/1440</f>
        <v>0.13263888888888889</v>
      </c>
      <c r="P3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1" spans="1:16" hidden="1" x14ac:dyDescent="0.25">
      <c r="A31" s="2">
        <v>45222</v>
      </c>
      <c r="B31" s="1">
        <v>0.51180555555555551</v>
      </c>
      <c r="C31" t="s">
        <v>1391</v>
      </c>
      <c r="D31">
        <v>56</v>
      </c>
      <c r="E31" t="s">
        <v>1300</v>
      </c>
      <c r="F31" t="str">
        <f>_xlfn.XLOOKUP(Logs_Reseau6[[#This Row],[Cell_ID]],Registre[ID_Antenne],Registre[Province_RDC],"Non Trouvée")</f>
        <v>Non Trouvée</v>
      </c>
      <c r="G31" t="str">
        <f>_xlfn.XLOOKUP(Logs_Reseau6[[#This Row],[Province]],Clients_Churn[Province_Client],Clients_Churn[ID_Client],"Aucun")</f>
        <v>Aucun</v>
      </c>
      <c r="H31" t="str">
        <f>_xlfn.XLOOKUP(Logs_Reseau6[[#This Row],[Cell_ID]],Registre[ID_Antenne],Registre[Technologie],"Rien à signaler")</f>
        <v>Rien à signaler</v>
      </c>
      <c r="I31" t="str">
        <f>_xlfn.XLOOKUP(Logs_Reseau6[[#This Row],[Cell_ID]],Registre[ID_Antenne],Registre[Equipementier],"Non Trouvée")</f>
        <v>Non Trouvée</v>
      </c>
      <c r="J31" t="str">
        <f>_xlfn.XLOOKUP(Logs_Reseau6[[#This Row],[Id_Client]],Clients_Churn[ID_Client],Clients_Churn[Type_Forfait],"Pas d'information")</f>
        <v>Pas d'information</v>
      </c>
      <c r="K31" s="5" t="str">
        <f>IF(Logs_Reseau6[[#This Row],[Type_Forfait]]="Pro Monde","B2B","B2C")</f>
        <v>B2C</v>
      </c>
      <c r="L31" s="5" t="str">
        <f>_xlfn.XLOOKUP(Logs_Reseau6[[#This Row],[Id_Client]],Clients_Churn[ID_Client],Clients_Churn[Duree_Cumulee_Panne_Min],"Non Trouvée")</f>
        <v>Non Trouvée</v>
      </c>
      <c r="M31" s="5" t="str">
        <f>_xlfn.XLOOKUP(Logs_Reseau6[[#This Row],[Id_Client]],Clients_Churn[ID_Client],Clients_Churn[Anciennete_Mois],"Rien à signaler")</f>
        <v>Rien à signaler</v>
      </c>
      <c r="N31" s="5" t="e">
        <f>Logs_Reseau6[[#This Row],[Anciennette]]/24</f>
        <v>#VALUE!</v>
      </c>
      <c r="O31" s="5" t="e">
        <f>Logs_Reseau6[[#This Row],[Duree_Cumulée_Panne]]/1440</f>
        <v>#VALUE!</v>
      </c>
      <c r="P3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" spans="1:16" x14ac:dyDescent="0.25">
      <c r="A32" s="2">
        <v>45222</v>
      </c>
      <c r="B32" s="1">
        <v>0.65277777777777779</v>
      </c>
      <c r="C32" t="s">
        <v>820</v>
      </c>
      <c r="D32">
        <v>46</v>
      </c>
      <c r="E32" t="s">
        <v>1305</v>
      </c>
      <c r="F32" t="str">
        <f>_xlfn.XLOOKUP(Logs_Reseau6[[#This Row],[Cell_ID]],Registre[ID_Antenne],Registre[Province_RDC],"Non Trouvée")</f>
        <v>Lomami</v>
      </c>
      <c r="G32" t="str">
        <f>_xlfn.XLOOKUP(Logs_Reseau6[[#This Row],[Province]],Clients_Churn[Province_Client],Clients_Churn[ID_Client],"Aucun")</f>
        <v>CLI-00044</v>
      </c>
      <c r="H32" t="str">
        <f>_xlfn.XLOOKUP(Logs_Reseau6[[#This Row],[Cell_ID]],Registre[ID_Antenne],Registre[Technologie],"Rien à signaler")</f>
        <v>3G</v>
      </c>
      <c r="I32" t="str">
        <f>_xlfn.XLOOKUP(Logs_Reseau6[[#This Row],[Cell_ID]],Registre[ID_Antenne],Registre[Equipementier],"Non Trouvée")</f>
        <v>Ericsson</v>
      </c>
      <c r="J32" t="str">
        <f>_xlfn.XLOOKUP(Logs_Reseau6[[#This Row],[Id_Client]],Clients_Churn[ID_Client],Clients_Churn[Type_Forfait],"Pas d'information")</f>
        <v>Illimité 50Go</v>
      </c>
      <c r="K32" s="5" t="str">
        <f>IF(Logs_Reseau6[[#This Row],[Type_Forfait]]="Pro Monde","B2B","B2C")</f>
        <v>B2C</v>
      </c>
      <c r="L32" s="5">
        <f>_xlfn.XLOOKUP(Logs_Reseau6[[#This Row],[Id_Client]],Clients_Churn[ID_Client],Clients_Churn[Duree_Cumulee_Panne_Min],"Non Trouvée")</f>
        <v>345</v>
      </c>
      <c r="M32" s="5">
        <f>_xlfn.XLOOKUP(Logs_Reseau6[[#This Row],[Id_Client]],Clients_Churn[ID_Client],Clients_Churn[Anciennete_Mois],"Rien à signaler")</f>
        <v>53</v>
      </c>
      <c r="N32" s="11">
        <f>Logs_Reseau6[[#This Row],[Anciennette]]/24</f>
        <v>2.2083333333333335</v>
      </c>
      <c r="O32" s="1">
        <f>Logs_Reseau6[[#This Row],[Duree_Cumulée_Panne]]/1440</f>
        <v>0.23958333333333334</v>
      </c>
      <c r="P3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3" spans="1:16" hidden="1" x14ac:dyDescent="0.25">
      <c r="A33" s="2">
        <v>45214</v>
      </c>
      <c r="B33" s="1">
        <v>0.75208333333333333</v>
      </c>
      <c r="C33" t="s">
        <v>1504</v>
      </c>
      <c r="D33">
        <v>89</v>
      </c>
      <c r="E33" t="s">
        <v>1303</v>
      </c>
      <c r="F33" t="str">
        <f>_xlfn.XLOOKUP(Logs_Reseau6[[#This Row],[Cell_ID]],Registre[ID_Antenne],Registre[Province_RDC],"Non Trouvée")</f>
        <v>Non Trouvée</v>
      </c>
      <c r="G33" t="str">
        <f>_xlfn.XLOOKUP(Logs_Reseau6[[#This Row],[Province]],Clients_Churn[Province_Client],Clients_Churn[ID_Client],"Aucun")</f>
        <v>Aucun</v>
      </c>
      <c r="H33" t="str">
        <f>_xlfn.XLOOKUP(Logs_Reseau6[[#This Row],[Cell_ID]],Registre[ID_Antenne],Registre[Technologie],"Rien à signaler")</f>
        <v>Rien à signaler</v>
      </c>
      <c r="I33" t="str">
        <f>_xlfn.XLOOKUP(Logs_Reseau6[[#This Row],[Cell_ID]],Registre[ID_Antenne],Registre[Equipementier],"Non Trouvée")</f>
        <v>Non Trouvée</v>
      </c>
      <c r="J33" t="str">
        <f>_xlfn.XLOOKUP(Logs_Reseau6[[#This Row],[Id_Client]],Clients_Churn[ID_Client],Clients_Churn[Type_Forfait],"Pas d'information")</f>
        <v>Pas d'information</v>
      </c>
      <c r="K33" s="5" t="str">
        <f>IF(Logs_Reseau6[[#This Row],[Type_Forfait]]="Pro Monde","B2B","B2C")</f>
        <v>B2C</v>
      </c>
      <c r="L33" s="5" t="str">
        <f>_xlfn.XLOOKUP(Logs_Reseau6[[#This Row],[Id_Client]],Clients_Churn[ID_Client],Clients_Churn[Duree_Cumulee_Panne_Min],"Non Trouvée")</f>
        <v>Non Trouvée</v>
      </c>
      <c r="M33" s="5" t="str">
        <f>_xlfn.XLOOKUP(Logs_Reseau6[[#This Row],[Id_Client]],Clients_Churn[ID_Client],Clients_Churn[Anciennete_Mois],"Rien à signaler")</f>
        <v>Rien à signaler</v>
      </c>
      <c r="N33" s="5" t="e">
        <f>Logs_Reseau6[[#This Row],[Anciennette]]/24</f>
        <v>#VALUE!</v>
      </c>
      <c r="O33" s="5" t="e">
        <f>Logs_Reseau6[[#This Row],[Duree_Cumulée_Panne]]/1440</f>
        <v>#VALUE!</v>
      </c>
      <c r="P3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" spans="1:16" hidden="1" x14ac:dyDescent="0.25">
      <c r="A34" s="2">
        <v>45225</v>
      </c>
      <c r="B34" s="1">
        <v>0.4152777777777778</v>
      </c>
      <c r="C34" t="s">
        <v>1539</v>
      </c>
      <c r="D34">
        <v>15</v>
      </c>
      <c r="E34" t="s">
        <v>1300</v>
      </c>
      <c r="F34" t="str">
        <f>_xlfn.XLOOKUP(Logs_Reseau6[[#This Row],[Cell_ID]],Registre[ID_Antenne],Registre[Province_RDC],"Non Trouvée")</f>
        <v>Non Trouvée</v>
      </c>
      <c r="G34" t="str">
        <f>_xlfn.XLOOKUP(Logs_Reseau6[[#This Row],[Province]],Clients_Churn[Province_Client],Clients_Churn[ID_Client],"Aucun")</f>
        <v>Aucun</v>
      </c>
      <c r="H34" t="str">
        <f>_xlfn.XLOOKUP(Logs_Reseau6[[#This Row],[Cell_ID]],Registre[ID_Antenne],Registre[Technologie],"Rien à signaler")</f>
        <v>Rien à signaler</v>
      </c>
      <c r="I34" t="str">
        <f>_xlfn.XLOOKUP(Logs_Reseau6[[#This Row],[Cell_ID]],Registre[ID_Antenne],Registre[Equipementier],"Non Trouvée")</f>
        <v>Non Trouvée</v>
      </c>
      <c r="J34" t="str">
        <f>_xlfn.XLOOKUP(Logs_Reseau6[[#This Row],[Id_Client]],Clients_Churn[ID_Client],Clients_Churn[Type_Forfait],"Pas d'information")</f>
        <v>Pas d'information</v>
      </c>
      <c r="K34" s="5" t="str">
        <f>IF(Logs_Reseau6[[#This Row],[Type_Forfait]]="Pro Monde","B2B","B2C")</f>
        <v>B2C</v>
      </c>
      <c r="L34" s="5" t="str">
        <f>_xlfn.XLOOKUP(Logs_Reseau6[[#This Row],[Id_Client]],Clients_Churn[ID_Client],Clients_Churn[Duree_Cumulee_Panne_Min],"Non Trouvée")</f>
        <v>Non Trouvée</v>
      </c>
      <c r="M34" s="5" t="str">
        <f>_xlfn.XLOOKUP(Logs_Reseau6[[#This Row],[Id_Client]],Clients_Churn[ID_Client],Clients_Churn[Anciennete_Mois],"Rien à signaler")</f>
        <v>Rien à signaler</v>
      </c>
      <c r="N34" s="5" t="e">
        <f>Logs_Reseau6[[#This Row],[Anciennette]]/24</f>
        <v>#VALUE!</v>
      </c>
      <c r="O34" s="5" t="e">
        <f>Logs_Reseau6[[#This Row],[Duree_Cumulée_Panne]]/1440</f>
        <v>#VALUE!</v>
      </c>
      <c r="P3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5" spans="1:16" x14ac:dyDescent="0.25">
      <c r="A35" s="2">
        <v>45208</v>
      </c>
      <c r="B35" s="1">
        <v>0.44374999999999998</v>
      </c>
      <c r="C35" t="s">
        <v>1170</v>
      </c>
      <c r="D35">
        <v>7</v>
      </c>
      <c r="E35" t="s">
        <v>1305</v>
      </c>
      <c r="F35" t="str">
        <f>_xlfn.XLOOKUP(Logs_Reseau6[[#This Row],[Cell_ID]],Registre[ID_Antenne],Registre[Province_RDC],"Non Trouvée")</f>
        <v>Haut-Lomami</v>
      </c>
      <c r="G35" t="str">
        <f>_xlfn.XLOOKUP(Logs_Reseau6[[#This Row],[Province]],Clients_Churn[Province_Client],Clients_Churn[ID_Client],"Aucun")</f>
        <v>CLI-00022</v>
      </c>
      <c r="H35" t="str">
        <f>_xlfn.XLOOKUP(Logs_Reseau6[[#This Row],[Cell_ID]],Registre[ID_Antenne],Registre[Technologie],"Rien à signaler")</f>
        <v>4G</v>
      </c>
      <c r="I35" t="str">
        <f>_xlfn.XLOOKUP(Logs_Reseau6[[#This Row],[Cell_ID]],Registre[ID_Antenne],Registre[Equipementier],"Non Trouvée")</f>
        <v>ZTE</v>
      </c>
      <c r="J35" t="str">
        <f>_xlfn.XLOOKUP(Logs_Reseau6[[#This Row],[Id_Client]],Clients_Churn[ID_Client],Clients_Churn[Type_Forfait],"Pas d'information")</f>
        <v>Premium 5G 150Go</v>
      </c>
      <c r="K35" s="5" t="str">
        <f>IF(Logs_Reseau6[[#This Row],[Type_Forfait]]="Pro Monde","B2B","B2C")</f>
        <v>B2C</v>
      </c>
      <c r="L35" s="5">
        <f>_xlfn.XLOOKUP(Logs_Reseau6[[#This Row],[Id_Client]],Clients_Churn[ID_Client],Clients_Churn[Duree_Cumulee_Panne_Min],"Non Trouvée")</f>
        <v>488</v>
      </c>
      <c r="M35" s="5">
        <f>_xlfn.XLOOKUP(Logs_Reseau6[[#This Row],[Id_Client]],Clients_Churn[ID_Client],Clients_Churn[Anciennete_Mois],"Rien à signaler")</f>
        <v>77</v>
      </c>
      <c r="N35" s="11">
        <f>Logs_Reseau6[[#This Row],[Anciennette]]/24</f>
        <v>3.2083333333333335</v>
      </c>
      <c r="O35" s="1">
        <f>Logs_Reseau6[[#This Row],[Duree_Cumulée_Panne]]/1440</f>
        <v>0.33888888888888891</v>
      </c>
      <c r="P3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6" spans="1:16" hidden="1" x14ac:dyDescent="0.25">
      <c r="A36" s="2">
        <v>45206</v>
      </c>
      <c r="B36" s="1">
        <v>0.57222222222222219</v>
      </c>
      <c r="C36" t="s">
        <v>1459</v>
      </c>
      <c r="D36">
        <v>10</v>
      </c>
      <c r="E36" t="s">
        <v>1300</v>
      </c>
      <c r="F36" t="str">
        <f>_xlfn.XLOOKUP(Logs_Reseau6[[#This Row],[Cell_ID]],Registre[ID_Antenne],Registre[Province_RDC],"Non Trouvée")</f>
        <v>Non Trouvée</v>
      </c>
      <c r="G36" t="str">
        <f>_xlfn.XLOOKUP(Logs_Reseau6[[#This Row],[Province]],Clients_Churn[Province_Client],Clients_Churn[ID_Client],"Aucun")</f>
        <v>Aucun</v>
      </c>
      <c r="H36" t="str">
        <f>_xlfn.XLOOKUP(Logs_Reseau6[[#This Row],[Cell_ID]],Registre[ID_Antenne],Registre[Technologie],"Rien à signaler")</f>
        <v>Rien à signaler</v>
      </c>
      <c r="I36" t="str">
        <f>_xlfn.XLOOKUP(Logs_Reseau6[[#This Row],[Cell_ID]],Registre[ID_Antenne],Registre[Equipementier],"Non Trouvée")</f>
        <v>Non Trouvée</v>
      </c>
      <c r="J36" t="str">
        <f>_xlfn.XLOOKUP(Logs_Reseau6[[#This Row],[Id_Client]],Clients_Churn[ID_Client],Clients_Churn[Type_Forfait],"Pas d'information")</f>
        <v>Pas d'information</v>
      </c>
      <c r="K36" s="5" t="str">
        <f>IF(Logs_Reseau6[[#This Row],[Type_Forfait]]="Pro Monde","B2B","B2C")</f>
        <v>B2C</v>
      </c>
      <c r="L36" s="5" t="str">
        <f>_xlfn.XLOOKUP(Logs_Reseau6[[#This Row],[Id_Client]],Clients_Churn[ID_Client],Clients_Churn[Duree_Cumulee_Panne_Min],"Non Trouvée")</f>
        <v>Non Trouvée</v>
      </c>
      <c r="M36" s="5" t="str">
        <f>_xlfn.XLOOKUP(Logs_Reseau6[[#This Row],[Id_Client]],Clients_Churn[ID_Client],Clients_Churn[Anciennete_Mois],"Rien à signaler")</f>
        <v>Rien à signaler</v>
      </c>
      <c r="N36" s="5" t="e">
        <f>Logs_Reseau6[[#This Row],[Anciennette]]/24</f>
        <v>#VALUE!</v>
      </c>
      <c r="O36" s="5" t="e">
        <f>Logs_Reseau6[[#This Row],[Duree_Cumulée_Panne]]/1440</f>
        <v>#VALUE!</v>
      </c>
      <c r="P3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7" spans="1:16" hidden="1" x14ac:dyDescent="0.25">
      <c r="A37" s="2">
        <v>45226</v>
      </c>
      <c r="B37" s="1">
        <v>0.72916666666666663</v>
      </c>
      <c r="C37" t="s">
        <v>1459</v>
      </c>
      <c r="D37">
        <v>62</v>
      </c>
      <c r="E37" t="s">
        <v>1303</v>
      </c>
      <c r="F37" t="str">
        <f>_xlfn.XLOOKUP(Logs_Reseau6[[#This Row],[Cell_ID]],Registre[ID_Antenne],Registre[Province_RDC],"Non Trouvée")</f>
        <v>Non Trouvée</v>
      </c>
      <c r="G37" t="str">
        <f>_xlfn.XLOOKUP(Logs_Reseau6[[#This Row],[Province]],Clients_Churn[Province_Client],Clients_Churn[ID_Client],"Aucun")</f>
        <v>Aucun</v>
      </c>
      <c r="H37" t="str">
        <f>_xlfn.XLOOKUP(Logs_Reseau6[[#This Row],[Cell_ID]],Registre[ID_Antenne],Registre[Technologie],"Rien à signaler")</f>
        <v>Rien à signaler</v>
      </c>
      <c r="I37" t="str">
        <f>_xlfn.XLOOKUP(Logs_Reseau6[[#This Row],[Cell_ID]],Registre[ID_Antenne],Registre[Equipementier],"Non Trouvée")</f>
        <v>Non Trouvée</v>
      </c>
      <c r="J37" t="str">
        <f>_xlfn.XLOOKUP(Logs_Reseau6[[#This Row],[Id_Client]],Clients_Churn[ID_Client],Clients_Churn[Type_Forfait],"Pas d'information")</f>
        <v>Pas d'information</v>
      </c>
      <c r="K37" s="5" t="str">
        <f>IF(Logs_Reseau6[[#This Row],[Type_Forfait]]="Pro Monde","B2B","B2C")</f>
        <v>B2C</v>
      </c>
      <c r="L37" s="5" t="str">
        <f>_xlfn.XLOOKUP(Logs_Reseau6[[#This Row],[Id_Client]],Clients_Churn[ID_Client],Clients_Churn[Duree_Cumulee_Panne_Min],"Non Trouvée")</f>
        <v>Non Trouvée</v>
      </c>
      <c r="M37" s="5" t="str">
        <f>_xlfn.XLOOKUP(Logs_Reseau6[[#This Row],[Id_Client]],Clients_Churn[ID_Client],Clients_Churn[Anciennete_Mois],"Rien à signaler")</f>
        <v>Rien à signaler</v>
      </c>
      <c r="N37" s="5" t="e">
        <f>Logs_Reseau6[[#This Row],[Anciennette]]/24</f>
        <v>#VALUE!</v>
      </c>
      <c r="O37" s="5" t="e">
        <f>Logs_Reseau6[[#This Row],[Duree_Cumulée_Panne]]/1440</f>
        <v>#VALUE!</v>
      </c>
      <c r="P3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8" spans="1:16" x14ac:dyDescent="0.25">
      <c r="A38" s="2">
        <v>45211</v>
      </c>
      <c r="B38" s="1">
        <v>0.61041666666666672</v>
      </c>
      <c r="C38" t="s">
        <v>1176</v>
      </c>
      <c r="D38">
        <v>114</v>
      </c>
      <c r="E38" t="s">
        <v>1300</v>
      </c>
      <c r="F38" t="str">
        <f>_xlfn.XLOOKUP(Logs_Reseau6[[#This Row],[Cell_ID]],Registre[ID_Antenne],Registre[Province_RDC],"Non Trouvée")</f>
        <v>Ituri</v>
      </c>
      <c r="G38" t="str">
        <f>_xlfn.XLOOKUP(Logs_Reseau6[[#This Row],[Province]],Clients_Churn[Province_Client],Clients_Churn[ID_Client],"Aucun")</f>
        <v>CLI-00041</v>
      </c>
      <c r="H38" t="str">
        <f>_xlfn.XLOOKUP(Logs_Reseau6[[#This Row],[Cell_ID]],Registre[ID_Antenne],Registre[Technologie],"Rien à signaler")</f>
        <v>3G</v>
      </c>
      <c r="I38" t="str">
        <f>_xlfn.XLOOKUP(Logs_Reseau6[[#This Row],[Cell_ID]],Registre[ID_Antenne],Registre[Equipementier],"Non Trouvée")</f>
        <v>Nokia</v>
      </c>
      <c r="J38" t="str">
        <f>_xlfn.XLOOKUP(Logs_Reseau6[[#This Row],[Id_Client]],Clients_Churn[ID_Client],Clients_Churn[Type_Forfait],"Pas d'information")</f>
        <v>Pro Monde</v>
      </c>
      <c r="K38" s="5" t="str">
        <f>IF(Logs_Reseau6[[#This Row],[Type_Forfait]]="Pro Monde","B2B","B2C")</f>
        <v>B2B</v>
      </c>
      <c r="L38" s="5">
        <f>_xlfn.XLOOKUP(Logs_Reseau6[[#This Row],[Id_Client]],Clients_Churn[ID_Client],Clients_Churn[Duree_Cumulee_Panne_Min],"Non Trouvée")</f>
        <v>105</v>
      </c>
      <c r="M38" s="5">
        <f>_xlfn.XLOOKUP(Logs_Reseau6[[#This Row],[Id_Client]],Clients_Churn[ID_Client],Clients_Churn[Anciennete_Mois],"Rien à signaler")</f>
        <v>103</v>
      </c>
      <c r="N38" s="11">
        <f>Logs_Reseau6[[#This Row],[Anciennette]]/24</f>
        <v>4.291666666666667</v>
      </c>
      <c r="O38" s="1">
        <f>Logs_Reseau6[[#This Row],[Duree_Cumulée_Panne]]/1440</f>
        <v>7.2916666666666671E-2</v>
      </c>
      <c r="P3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39" spans="1:16" x14ac:dyDescent="0.25">
      <c r="A39" s="2">
        <v>45219</v>
      </c>
      <c r="B39" s="1">
        <v>0.10138888888888889</v>
      </c>
      <c r="C39" t="s">
        <v>1176</v>
      </c>
      <c r="D39">
        <v>75</v>
      </c>
      <c r="E39" t="s">
        <v>1300</v>
      </c>
      <c r="F39" t="str">
        <f>_xlfn.XLOOKUP(Logs_Reseau6[[#This Row],[Cell_ID]],Registre[ID_Antenne],Registre[Province_RDC],"Non Trouvée")</f>
        <v>Ituri</v>
      </c>
      <c r="G39" t="str">
        <f>_xlfn.XLOOKUP(Logs_Reseau6[[#This Row],[Province]],Clients_Churn[Province_Client],Clients_Churn[ID_Client],"Aucun")</f>
        <v>CLI-00041</v>
      </c>
      <c r="H39" t="str">
        <f>_xlfn.XLOOKUP(Logs_Reseau6[[#This Row],[Cell_ID]],Registre[ID_Antenne],Registre[Technologie],"Rien à signaler")</f>
        <v>3G</v>
      </c>
      <c r="I39" t="str">
        <f>_xlfn.XLOOKUP(Logs_Reseau6[[#This Row],[Cell_ID]],Registre[ID_Antenne],Registre[Equipementier],"Non Trouvée")</f>
        <v>Nokia</v>
      </c>
      <c r="J39" t="str">
        <f>_xlfn.XLOOKUP(Logs_Reseau6[[#This Row],[Id_Client]],Clients_Churn[ID_Client],Clients_Churn[Type_Forfait],"Pas d'information")</f>
        <v>Pro Monde</v>
      </c>
      <c r="K39" s="5" t="str">
        <f>IF(Logs_Reseau6[[#This Row],[Type_Forfait]]="Pro Monde","B2B","B2C")</f>
        <v>B2B</v>
      </c>
      <c r="L39" s="5">
        <f>_xlfn.XLOOKUP(Logs_Reseau6[[#This Row],[Id_Client]],Clients_Churn[ID_Client],Clients_Churn[Duree_Cumulee_Panne_Min],"Non Trouvée")</f>
        <v>105</v>
      </c>
      <c r="M39" s="5">
        <f>_xlfn.XLOOKUP(Logs_Reseau6[[#This Row],[Id_Client]],Clients_Churn[ID_Client],Clients_Churn[Anciennete_Mois],"Rien à signaler")</f>
        <v>103</v>
      </c>
      <c r="N39" s="11">
        <f>Logs_Reseau6[[#This Row],[Anciennette]]/24</f>
        <v>4.291666666666667</v>
      </c>
      <c r="O39" s="1">
        <f>Logs_Reseau6[[#This Row],[Duree_Cumulée_Panne]]/1440</f>
        <v>7.2916666666666671E-2</v>
      </c>
      <c r="P3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0" spans="1:16" x14ac:dyDescent="0.25">
      <c r="A40" s="2">
        <v>45202</v>
      </c>
      <c r="B40" s="1">
        <v>0.35</v>
      </c>
      <c r="C40" t="s">
        <v>1154</v>
      </c>
      <c r="D40">
        <v>78</v>
      </c>
      <c r="E40" t="s">
        <v>1300</v>
      </c>
      <c r="F40" t="str">
        <f>_xlfn.XLOOKUP(Logs_Reseau6[[#This Row],[Cell_ID]],Registre[ID_Antenne],Registre[Province_RDC],"Non Trouvée")</f>
        <v>Mongala</v>
      </c>
      <c r="G40" t="str">
        <f>_xlfn.XLOOKUP(Logs_Reseau6[[#This Row],[Province]],Clients_Churn[Province_Client],Clients_Churn[ID_Client],"Aucun")</f>
        <v>CLI-00011</v>
      </c>
      <c r="H40" t="str">
        <f>_xlfn.XLOOKUP(Logs_Reseau6[[#This Row],[Cell_ID]],Registre[ID_Antenne],Registre[Technologie],"Rien à signaler")</f>
        <v>3G</v>
      </c>
      <c r="I40" t="str">
        <f>_xlfn.XLOOKUP(Logs_Reseau6[[#This Row],[Cell_ID]],Registre[ID_Antenne],Registre[Equipementier],"Non Trouvée")</f>
        <v>Huawei</v>
      </c>
      <c r="J40" t="str">
        <f>_xlfn.XLOOKUP(Logs_Reseau6[[#This Row],[Id_Client]],Clients_Churn[ID_Client],Clients_Churn[Type_Forfait],"Pas d'information")</f>
        <v>Illimité 50Go</v>
      </c>
      <c r="K40" s="5" t="str">
        <f>IF(Logs_Reseau6[[#This Row],[Type_Forfait]]="Pro Monde","B2B","B2C")</f>
        <v>B2C</v>
      </c>
      <c r="L40" s="5">
        <f>_xlfn.XLOOKUP(Logs_Reseau6[[#This Row],[Id_Client]],Clients_Churn[ID_Client],Clients_Churn[Duree_Cumulee_Panne_Min],"Non Trouvée")</f>
        <v>86</v>
      </c>
      <c r="M40" s="5">
        <f>_xlfn.XLOOKUP(Logs_Reseau6[[#This Row],[Id_Client]],Clients_Churn[ID_Client],Clients_Churn[Anciennete_Mois],"Rien à signaler")</f>
        <v>49</v>
      </c>
      <c r="N40" s="11">
        <f>Logs_Reseau6[[#This Row],[Anciennette]]/24</f>
        <v>2.0416666666666665</v>
      </c>
      <c r="O40" s="1">
        <f>Logs_Reseau6[[#This Row],[Duree_Cumulée_Panne]]/1440</f>
        <v>5.9722222222222225E-2</v>
      </c>
      <c r="P4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1" spans="1:16" x14ac:dyDescent="0.25">
      <c r="A41" s="2">
        <v>45216</v>
      </c>
      <c r="B41" s="1">
        <v>0.58333333333333337</v>
      </c>
      <c r="C41" t="s">
        <v>898</v>
      </c>
      <c r="D41">
        <v>78</v>
      </c>
      <c r="E41" t="s">
        <v>1305</v>
      </c>
      <c r="F41" t="str">
        <f>_xlfn.XLOOKUP(Logs_Reseau6[[#This Row],[Cell_ID]],Registre[ID_Antenne],Registre[Province_RDC],"Non Trouvée")</f>
        <v>Haut-Katanga</v>
      </c>
      <c r="G41" t="str">
        <f>_xlfn.XLOOKUP(Logs_Reseau6[[#This Row],[Province]],Clients_Churn[Province_Client],Clients_Churn[ID_Client],"Aucun")</f>
        <v>CLI-00059</v>
      </c>
      <c r="H41" t="str">
        <f>_xlfn.XLOOKUP(Logs_Reseau6[[#This Row],[Cell_ID]],Registre[ID_Antenne],Registre[Technologie],"Rien à signaler")</f>
        <v>5G</v>
      </c>
      <c r="I41" t="str">
        <f>_xlfn.XLOOKUP(Logs_Reseau6[[#This Row],[Cell_ID]],Registre[ID_Antenne],Registre[Equipementier],"Non Trouvée")</f>
        <v>Huawei</v>
      </c>
      <c r="J41" t="str">
        <f>_xlfn.XLOOKUP(Logs_Reseau6[[#This Row],[Id_Client]],Clients_Churn[ID_Client],Clients_Churn[Type_Forfait],"Pas d'information")</f>
        <v>Pro Monde</v>
      </c>
      <c r="K41" s="5" t="str">
        <f>IF(Logs_Reseau6[[#This Row],[Type_Forfait]]="Pro Monde","B2B","B2C")</f>
        <v>B2B</v>
      </c>
      <c r="L41" s="5">
        <f>_xlfn.XLOOKUP(Logs_Reseau6[[#This Row],[Id_Client]],Clients_Churn[ID_Client],Clients_Churn[Duree_Cumulee_Panne_Min],"Non Trouvée")</f>
        <v>76</v>
      </c>
      <c r="M41" s="5">
        <f>_xlfn.XLOOKUP(Logs_Reseau6[[#This Row],[Id_Client]],Clients_Churn[ID_Client],Clients_Churn[Anciennete_Mois],"Rien à signaler")</f>
        <v>69</v>
      </c>
      <c r="N41" s="11">
        <f>Logs_Reseau6[[#This Row],[Anciennette]]/24</f>
        <v>2.875</v>
      </c>
      <c r="O41" s="1">
        <f>Logs_Reseau6[[#This Row],[Duree_Cumulée_Panne]]/1440</f>
        <v>5.2777777777777778E-2</v>
      </c>
      <c r="P4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2" spans="1:16" x14ac:dyDescent="0.25">
      <c r="A42" s="2">
        <v>45223</v>
      </c>
      <c r="B42" s="1">
        <v>0.73611111111111116</v>
      </c>
      <c r="C42" t="s">
        <v>898</v>
      </c>
      <c r="D42">
        <v>116</v>
      </c>
      <c r="E42" t="s">
        <v>1303</v>
      </c>
      <c r="F42" t="str">
        <f>_xlfn.XLOOKUP(Logs_Reseau6[[#This Row],[Cell_ID]],Registre[ID_Antenne],Registre[Province_RDC],"Non Trouvée")</f>
        <v>Haut-Katanga</v>
      </c>
      <c r="G42" t="str">
        <f>_xlfn.XLOOKUP(Logs_Reseau6[[#This Row],[Province]],Clients_Churn[Province_Client],Clients_Churn[ID_Client],"Aucun")</f>
        <v>CLI-00059</v>
      </c>
      <c r="H42" t="str">
        <f>_xlfn.XLOOKUP(Logs_Reseau6[[#This Row],[Cell_ID]],Registre[ID_Antenne],Registre[Technologie],"Rien à signaler")</f>
        <v>5G</v>
      </c>
      <c r="I42" t="str">
        <f>_xlfn.XLOOKUP(Logs_Reseau6[[#This Row],[Cell_ID]],Registre[ID_Antenne],Registre[Equipementier],"Non Trouvée")</f>
        <v>Huawei</v>
      </c>
      <c r="J42" t="str">
        <f>_xlfn.XLOOKUP(Logs_Reseau6[[#This Row],[Id_Client]],Clients_Churn[ID_Client],Clients_Churn[Type_Forfait],"Pas d'information")</f>
        <v>Pro Monde</v>
      </c>
      <c r="K42" s="5" t="str">
        <f>IF(Logs_Reseau6[[#This Row],[Type_Forfait]]="Pro Monde","B2B","B2C")</f>
        <v>B2B</v>
      </c>
      <c r="L42" s="5">
        <f>_xlfn.XLOOKUP(Logs_Reseau6[[#This Row],[Id_Client]],Clients_Churn[ID_Client],Clients_Churn[Duree_Cumulee_Panne_Min],"Non Trouvée")</f>
        <v>76</v>
      </c>
      <c r="M42" s="5">
        <f>_xlfn.XLOOKUP(Logs_Reseau6[[#This Row],[Id_Client]],Clients_Churn[ID_Client],Clients_Churn[Anciennete_Mois],"Rien à signaler")</f>
        <v>69</v>
      </c>
      <c r="N42" s="11">
        <f>Logs_Reseau6[[#This Row],[Anciennette]]/24</f>
        <v>2.875</v>
      </c>
      <c r="O42" s="1">
        <f>Logs_Reseau6[[#This Row],[Duree_Cumulée_Panne]]/1440</f>
        <v>5.2777777777777778E-2</v>
      </c>
      <c r="P4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3" spans="1:16" x14ac:dyDescent="0.25">
      <c r="A43" s="2">
        <v>45217</v>
      </c>
      <c r="B43" s="1">
        <v>0.57847222222222228</v>
      </c>
      <c r="C43" t="s">
        <v>879</v>
      </c>
      <c r="D43">
        <v>93</v>
      </c>
      <c r="E43" t="s">
        <v>1303</v>
      </c>
      <c r="F43" t="str">
        <f>_xlfn.XLOOKUP(Logs_Reseau6[[#This Row],[Cell_ID]],Registre[ID_Antenne],Registre[Province_RDC],"Non Trouvée")</f>
        <v>Kasai-Central</v>
      </c>
      <c r="G43" t="str">
        <f>_xlfn.XLOOKUP(Logs_Reseau6[[#This Row],[Province]],Clients_Churn[Province_Client],Clients_Churn[ID_Client],"Aucun")</f>
        <v>CLI-00060</v>
      </c>
      <c r="H43" t="str">
        <f>_xlfn.XLOOKUP(Logs_Reseau6[[#This Row],[Cell_ID]],Registre[ID_Antenne],Registre[Technologie],"Rien à signaler")</f>
        <v>3G</v>
      </c>
      <c r="I43" t="str">
        <f>_xlfn.XLOOKUP(Logs_Reseau6[[#This Row],[Cell_ID]],Registre[ID_Antenne],Registre[Equipementier],"Non Trouvée")</f>
        <v>Ericsson</v>
      </c>
      <c r="J43" t="str">
        <f>_xlfn.XLOOKUP(Logs_Reseau6[[#This Row],[Id_Client]],Clients_Churn[ID_Client],Clients_Churn[Type_Forfait],"Pas d'information")</f>
        <v>Pro Monde</v>
      </c>
      <c r="K43" s="5" t="str">
        <f>IF(Logs_Reseau6[[#This Row],[Type_Forfait]]="Pro Monde","B2B","B2C")</f>
        <v>B2B</v>
      </c>
      <c r="L43" s="5">
        <f>_xlfn.XLOOKUP(Logs_Reseau6[[#This Row],[Id_Client]],Clients_Churn[ID_Client],Clients_Churn[Duree_Cumulee_Panne_Min],"Non Trouvée")</f>
        <v>160</v>
      </c>
      <c r="M43" s="5">
        <f>_xlfn.XLOOKUP(Logs_Reseau6[[#This Row],[Id_Client]],Clients_Churn[ID_Client],Clients_Churn[Anciennete_Mois],"Rien à signaler")</f>
        <v>72</v>
      </c>
      <c r="N43" s="11">
        <f>Logs_Reseau6[[#This Row],[Anciennette]]/24</f>
        <v>3</v>
      </c>
      <c r="O43" s="1">
        <f>Logs_Reseau6[[#This Row],[Duree_Cumulée_Panne]]/1440</f>
        <v>0.1111111111111111</v>
      </c>
      <c r="P4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4" spans="1:16" hidden="1" x14ac:dyDescent="0.25">
      <c r="A44" s="2">
        <v>45224</v>
      </c>
      <c r="B44" s="1">
        <v>8.3333333333333329E-2</v>
      </c>
      <c r="C44" t="s">
        <v>1344</v>
      </c>
      <c r="D44">
        <v>31</v>
      </c>
      <c r="E44" t="s">
        <v>1300</v>
      </c>
      <c r="F44" t="str">
        <f>_xlfn.XLOOKUP(Logs_Reseau6[[#This Row],[Cell_ID]],Registre[ID_Antenne],Registre[Province_RDC],"Non Trouvée")</f>
        <v>Non Trouvée</v>
      </c>
      <c r="G44" t="str">
        <f>_xlfn.XLOOKUP(Logs_Reseau6[[#This Row],[Province]],Clients_Churn[Province_Client],Clients_Churn[ID_Client],"Aucun")</f>
        <v>Aucun</v>
      </c>
      <c r="H44" t="str">
        <f>_xlfn.XLOOKUP(Logs_Reseau6[[#This Row],[Cell_ID]],Registre[ID_Antenne],Registre[Technologie],"Rien à signaler")</f>
        <v>Rien à signaler</v>
      </c>
      <c r="I44" t="str">
        <f>_xlfn.XLOOKUP(Logs_Reseau6[[#This Row],[Cell_ID]],Registre[ID_Antenne],Registre[Equipementier],"Non Trouvée")</f>
        <v>Non Trouvée</v>
      </c>
      <c r="J44" t="str">
        <f>_xlfn.XLOOKUP(Logs_Reseau6[[#This Row],[Id_Client]],Clients_Churn[ID_Client],Clients_Churn[Type_Forfait],"Pas d'information")</f>
        <v>Pas d'information</v>
      </c>
      <c r="K44" s="5" t="str">
        <f>IF(Logs_Reseau6[[#This Row],[Type_Forfait]]="Pro Monde","B2B","B2C")</f>
        <v>B2C</v>
      </c>
      <c r="L44" s="5" t="str">
        <f>_xlfn.XLOOKUP(Logs_Reseau6[[#This Row],[Id_Client]],Clients_Churn[ID_Client],Clients_Churn[Duree_Cumulee_Panne_Min],"Non Trouvée")</f>
        <v>Non Trouvée</v>
      </c>
      <c r="M44" s="5" t="str">
        <f>_xlfn.XLOOKUP(Logs_Reseau6[[#This Row],[Id_Client]],Clients_Churn[ID_Client],Clients_Churn[Anciennete_Mois],"Rien à signaler")</f>
        <v>Rien à signaler</v>
      </c>
      <c r="N44" s="5" t="e">
        <f>Logs_Reseau6[[#This Row],[Anciennette]]/24</f>
        <v>#VALUE!</v>
      </c>
      <c r="O44" s="5" t="e">
        <f>Logs_Reseau6[[#This Row],[Duree_Cumulée_Panne]]/1440</f>
        <v>#VALUE!</v>
      </c>
      <c r="P4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5" spans="1:16" hidden="1" x14ac:dyDescent="0.25">
      <c r="A45" s="2">
        <v>45228</v>
      </c>
      <c r="B45" s="1">
        <v>0.26944444444444443</v>
      </c>
      <c r="C45" t="s">
        <v>1344</v>
      </c>
      <c r="D45">
        <v>109</v>
      </c>
      <c r="E45" t="s">
        <v>1303</v>
      </c>
      <c r="F45" t="str">
        <f>_xlfn.XLOOKUP(Logs_Reseau6[[#This Row],[Cell_ID]],Registre[ID_Antenne],Registre[Province_RDC],"Non Trouvée")</f>
        <v>Non Trouvée</v>
      </c>
      <c r="G45" t="str">
        <f>_xlfn.XLOOKUP(Logs_Reseau6[[#This Row],[Province]],Clients_Churn[Province_Client],Clients_Churn[ID_Client],"Aucun")</f>
        <v>Aucun</v>
      </c>
      <c r="H45" t="str">
        <f>_xlfn.XLOOKUP(Logs_Reseau6[[#This Row],[Cell_ID]],Registre[ID_Antenne],Registre[Technologie],"Rien à signaler")</f>
        <v>Rien à signaler</v>
      </c>
      <c r="I45" t="str">
        <f>_xlfn.XLOOKUP(Logs_Reseau6[[#This Row],[Cell_ID]],Registre[ID_Antenne],Registre[Equipementier],"Non Trouvée")</f>
        <v>Non Trouvée</v>
      </c>
      <c r="J45" t="str">
        <f>_xlfn.XLOOKUP(Logs_Reseau6[[#This Row],[Id_Client]],Clients_Churn[ID_Client],Clients_Churn[Type_Forfait],"Pas d'information")</f>
        <v>Pas d'information</v>
      </c>
      <c r="K45" s="5" t="str">
        <f>IF(Logs_Reseau6[[#This Row],[Type_Forfait]]="Pro Monde","B2B","B2C")</f>
        <v>B2C</v>
      </c>
      <c r="L45" s="5" t="str">
        <f>_xlfn.XLOOKUP(Logs_Reseau6[[#This Row],[Id_Client]],Clients_Churn[ID_Client],Clients_Churn[Duree_Cumulee_Panne_Min],"Non Trouvée")</f>
        <v>Non Trouvée</v>
      </c>
      <c r="M45" s="5" t="str">
        <f>_xlfn.XLOOKUP(Logs_Reseau6[[#This Row],[Id_Client]],Clients_Churn[ID_Client],Clients_Churn[Anciennete_Mois],"Rien à signaler")</f>
        <v>Rien à signaler</v>
      </c>
      <c r="N45" s="5" t="e">
        <f>Logs_Reseau6[[#This Row],[Anciennette]]/24</f>
        <v>#VALUE!</v>
      </c>
      <c r="O45" s="5" t="e">
        <f>Logs_Reseau6[[#This Row],[Duree_Cumulée_Panne]]/1440</f>
        <v>#VALUE!</v>
      </c>
      <c r="P4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6" spans="1:16" x14ac:dyDescent="0.25">
      <c r="A46" s="2">
        <v>45202</v>
      </c>
      <c r="B46" s="1">
        <v>0.16180555555555556</v>
      </c>
      <c r="C46" t="s">
        <v>888</v>
      </c>
      <c r="D46">
        <v>61</v>
      </c>
      <c r="E46" t="s">
        <v>1303</v>
      </c>
      <c r="F46" t="str">
        <f>_xlfn.XLOOKUP(Logs_Reseau6[[#This Row],[Cell_ID]],Registre[ID_Antenne],Registre[Province_RDC],"Non Trouvée")</f>
        <v>Nord-Kivu</v>
      </c>
      <c r="G46" t="str">
        <f>_xlfn.XLOOKUP(Logs_Reseau6[[#This Row],[Province]],Clients_Churn[Province_Client],Clients_Churn[ID_Client],"Aucun")</f>
        <v>CLI-00043</v>
      </c>
      <c r="H46" t="str">
        <f>_xlfn.XLOOKUP(Logs_Reseau6[[#This Row],[Cell_ID]],Registre[ID_Antenne],Registre[Technologie],"Rien à signaler")</f>
        <v>3G</v>
      </c>
      <c r="I46" t="str">
        <f>_xlfn.XLOOKUP(Logs_Reseau6[[#This Row],[Cell_ID]],Registre[ID_Antenne],Registre[Equipementier],"Non Trouvée")</f>
        <v>Huawei</v>
      </c>
      <c r="J46" t="str">
        <f>_xlfn.XLOOKUP(Logs_Reseau6[[#This Row],[Id_Client]],Clients_Churn[ID_Client],Clients_Churn[Type_Forfait],"Pas d'information")</f>
        <v>Pro Monde</v>
      </c>
      <c r="K46" s="5" t="str">
        <f>IF(Logs_Reseau6[[#This Row],[Type_Forfait]]="Pro Monde","B2B","B2C")</f>
        <v>B2B</v>
      </c>
      <c r="L46" s="5">
        <f>_xlfn.XLOOKUP(Logs_Reseau6[[#This Row],[Id_Client]],Clients_Churn[ID_Client],Clients_Churn[Duree_Cumulee_Panne_Min],"Non Trouvée")</f>
        <v>132</v>
      </c>
      <c r="M46" s="5">
        <f>_xlfn.XLOOKUP(Logs_Reseau6[[#This Row],[Id_Client]],Clients_Churn[ID_Client],Clients_Churn[Anciennete_Mois],"Rien à signaler")</f>
        <v>118</v>
      </c>
      <c r="N46" s="11">
        <f>Logs_Reseau6[[#This Row],[Anciennette]]/24</f>
        <v>4.916666666666667</v>
      </c>
      <c r="O46" s="1">
        <f>Logs_Reseau6[[#This Row],[Duree_Cumulée_Panne]]/1440</f>
        <v>9.166666666666666E-2</v>
      </c>
      <c r="P4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7" spans="1:16" x14ac:dyDescent="0.25">
      <c r="A47" s="2">
        <v>45205</v>
      </c>
      <c r="B47" s="1">
        <v>0.46388888888888891</v>
      </c>
      <c r="C47" t="s">
        <v>972</v>
      </c>
      <c r="D47">
        <v>103</v>
      </c>
      <c r="E47" t="s">
        <v>1300</v>
      </c>
      <c r="F47" t="str">
        <f>_xlfn.XLOOKUP(Logs_Reseau6[[#This Row],[Cell_ID]],Registre[ID_Antenne],Registre[Province_RDC],"Non Trouvée")</f>
        <v>Nord-Kivu</v>
      </c>
      <c r="G47" t="str">
        <f>_xlfn.XLOOKUP(Logs_Reseau6[[#This Row],[Province]],Clients_Churn[Province_Client],Clients_Churn[ID_Client],"Aucun")</f>
        <v>CLI-00043</v>
      </c>
      <c r="H47" t="str">
        <f>_xlfn.XLOOKUP(Logs_Reseau6[[#This Row],[Cell_ID]],Registre[ID_Antenne],Registre[Technologie],"Rien à signaler")</f>
        <v>5G</v>
      </c>
      <c r="I47" t="str">
        <f>_xlfn.XLOOKUP(Logs_Reseau6[[#This Row],[Cell_ID]],Registre[ID_Antenne],Registre[Equipementier],"Non Trouvée")</f>
        <v>Nokia</v>
      </c>
      <c r="J47" t="str">
        <f>_xlfn.XLOOKUP(Logs_Reseau6[[#This Row],[Id_Client]],Clients_Churn[ID_Client],Clients_Churn[Type_Forfait],"Pas d'information")</f>
        <v>Pro Monde</v>
      </c>
      <c r="K47" s="5" t="str">
        <f>IF(Logs_Reseau6[[#This Row],[Type_Forfait]]="Pro Monde","B2B","B2C")</f>
        <v>B2B</v>
      </c>
      <c r="L47" s="5">
        <f>_xlfn.XLOOKUP(Logs_Reseau6[[#This Row],[Id_Client]],Clients_Churn[ID_Client],Clients_Churn[Duree_Cumulee_Panne_Min],"Non Trouvée")</f>
        <v>132</v>
      </c>
      <c r="M47" s="5">
        <f>_xlfn.XLOOKUP(Logs_Reseau6[[#This Row],[Id_Client]],Clients_Churn[ID_Client],Clients_Churn[Anciennete_Mois],"Rien à signaler")</f>
        <v>118</v>
      </c>
      <c r="N47" s="11">
        <f>Logs_Reseau6[[#This Row],[Anciennette]]/24</f>
        <v>4.916666666666667</v>
      </c>
      <c r="O47" s="1">
        <f>Logs_Reseau6[[#This Row],[Duree_Cumulée_Panne]]/1440</f>
        <v>9.166666666666666E-2</v>
      </c>
      <c r="P4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8" spans="1:16" hidden="1" x14ac:dyDescent="0.25">
      <c r="A48" s="2">
        <v>45201</v>
      </c>
      <c r="B48" s="1">
        <v>0.8569444444444444</v>
      </c>
      <c r="C48" t="s">
        <v>1333</v>
      </c>
      <c r="D48">
        <v>61</v>
      </c>
      <c r="E48" t="s">
        <v>1300</v>
      </c>
      <c r="F48" t="str">
        <f>_xlfn.XLOOKUP(Logs_Reseau6[[#This Row],[Cell_ID]],Registre[ID_Antenne],Registre[Province_RDC],"Non Trouvée")</f>
        <v>Non Trouvée</v>
      </c>
      <c r="G48" t="str">
        <f>_xlfn.XLOOKUP(Logs_Reseau6[[#This Row],[Province]],Clients_Churn[Province_Client],Clients_Churn[ID_Client],"Aucun")</f>
        <v>Aucun</v>
      </c>
      <c r="H48" t="str">
        <f>_xlfn.XLOOKUP(Logs_Reseau6[[#This Row],[Cell_ID]],Registre[ID_Antenne],Registre[Technologie],"Rien à signaler")</f>
        <v>Rien à signaler</v>
      </c>
      <c r="I48" t="str">
        <f>_xlfn.XLOOKUP(Logs_Reseau6[[#This Row],[Cell_ID]],Registre[ID_Antenne],Registre[Equipementier],"Non Trouvée")</f>
        <v>Non Trouvée</v>
      </c>
      <c r="J48" t="str">
        <f>_xlfn.XLOOKUP(Logs_Reseau6[[#This Row],[Id_Client]],Clients_Churn[ID_Client],Clients_Churn[Type_Forfait],"Pas d'information")</f>
        <v>Pas d'information</v>
      </c>
      <c r="K48" s="5" t="str">
        <f>IF(Logs_Reseau6[[#This Row],[Type_Forfait]]="Pro Monde","B2B","B2C")</f>
        <v>B2C</v>
      </c>
      <c r="L48" s="5" t="str">
        <f>_xlfn.XLOOKUP(Logs_Reseau6[[#This Row],[Id_Client]],Clients_Churn[ID_Client],Clients_Churn[Duree_Cumulee_Panne_Min],"Non Trouvée")</f>
        <v>Non Trouvée</v>
      </c>
      <c r="M48" s="5" t="str">
        <f>_xlfn.XLOOKUP(Logs_Reseau6[[#This Row],[Id_Client]],Clients_Churn[ID_Client],Clients_Churn[Anciennete_Mois],"Rien à signaler")</f>
        <v>Rien à signaler</v>
      </c>
      <c r="N48" s="5" t="e">
        <f>Logs_Reseau6[[#This Row],[Anciennette]]/24</f>
        <v>#VALUE!</v>
      </c>
      <c r="O48" s="5" t="e">
        <f>Logs_Reseau6[[#This Row],[Duree_Cumulée_Panne]]/1440</f>
        <v>#VALUE!</v>
      </c>
      <c r="P4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9" spans="1:16" hidden="1" x14ac:dyDescent="0.25">
      <c r="A49" s="2">
        <v>45211</v>
      </c>
      <c r="B49" s="1">
        <v>0.32430555555555557</v>
      </c>
      <c r="C49" t="s">
        <v>1600</v>
      </c>
      <c r="D49">
        <v>120</v>
      </c>
      <c r="E49" t="s">
        <v>1305</v>
      </c>
      <c r="F49" t="str">
        <f>_xlfn.XLOOKUP(Logs_Reseau6[[#This Row],[Cell_ID]],Registre[ID_Antenne],Registre[Province_RDC],"Non Trouvée")</f>
        <v>Non Trouvée</v>
      </c>
      <c r="G49" t="str">
        <f>_xlfn.XLOOKUP(Logs_Reseau6[[#This Row],[Province]],Clients_Churn[Province_Client],Clients_Churn[ID_Client],"Aucun")</f>
        <v>Aucun</v>
      </c>
      <c r="H49" t="str">
        <f>_xlfn.XLOOKUP(Logs_Reseau6[[#This Row],[Cell_ID]],Registre[ID_Antenne],Registre[Technologie],"Rien à signaler")</f>
        <v>Rien à signaler</v>
      </c>
      <c r="I49" t="str">
        <f>_xlfn.XLOOKUP(Logs_Reseau6[[#This Row],[Cell_ID]],Registre[ID_Antenne],Registre[Equipementier],"Non Trouvée")</f>
        <v>Non Trouvée</v>
      </c>
      <c r="J49" t="str">
        <f>_xlfn.XLOOKUP(Logs_Reseau6[[#This Row],[Id_Client]],Clients_Churn[ID_Client],Clients_Churn[Type_Forfait],"Pas d'information")</f>
        <v>Pas d'information</v>
      </c>
      <c r="K49" s="5" t="str">
        <f>IF(Logs_Reseau6[[#This Row],[Type_Forfait]]="Pro Monde","B2B","B2C")</f>
        <v>B2C</v>
      </c>
      <c r="L49" s="5" t="str">
        <f>_xlfn.XLOOKUP(Logs_Reseau6[[#This Row],[Id_Client]],Clients_Churn[ID_Client],Clients_Churn[Duree_Cumulee_Panne_Min],"Non Trouvée")</f>
        <v>Non Trouvée</v>
      </c>
      <c r="M49" s="5" t="str">
        <f>_xlfn.XLOOKUP(Logs_Reseau6[[#This Row],[Id_Client]],Clients_Churn[ID_Client],Clients_Churn[Anciennete_Mois],"Rien à signaler")</f>
        <v>Rien à signaler</v>
      </c>
      <c r="N49" s="5" t="e">
        <f>Logs_Reseau6[[#This Row],[Anciennette]]/24</f>
        <v>#VALUE!</v>
      </c>
      <c r="O49" s="5" t="e">
        <f>Logs_Reseau6[[#This Row],[Duree_Cumulée_Panne]]/1440</f>
        <v>#VALUE!</v>
      </c>
      <c r="P4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0" spans="1:16" hidden="1" x14ac:dyDescent="0.25">
      <c r="A50" s="2">
        <v>45201</v>
      </c>
      <c r="B50" s="1">
        <v>4.3055555555555555E-2</v>
      </c>
      <c r="C50" t="s">
        <v>1465</v>
      </c>
      <c r="D50">
        <v>45</v>
      </c>
      <c r="E50" t="s">
        <v>1303</v>
      </c>
      <c r="F50" t="str">
        <f>_xlfn.XLOOKUP(Logs_Reseau6[[#This Row],[Cell_ID]],Registre[ID_Antenne],Registre[Province_RDC],"Non Trouvée")</f>
        <v>Non Trouvée</v>
      </c>
      <c r="G50" t="str">
        <f>_xlfn.XLOOKUP(Logs_Reseau6[[#This Row],[Province]],Clients_Churn[Province_Client],Clients_Churn[ID_Client],"Aucun")</f>
        <v>Aucun</v>
      </c>
      <c r="H50" t="str">
        <f>_xlfn.XLOOKUP(Logs_Reseau6[[#This Row],[Cell_ID]],Registre[ID_Antenne],Registre[Technologie],"Rien à signaler")</f>
        <v>Rien à signaler</v>
      </c>
      <c r="I50" t="str">
        <f>_xlfn.XLOOKUP(Logs_Reseau6[[#This Row],[Cell_ID]],Registre[ID_Antenne],Registre[Equipementier],"Non Trouvée")</f>
        <v>Non Trouvée</v>
      </c>
      <c r="J50" t="str">
        <f>_xlfn.XLOOKUP(Logs_Reseau6[[#This Row],[Id_Client]],Clients_Churn[ID_Client],Clients_Churn[Type_Forfait],"Pas d'information")</f>
        <v>Pas d'information</v>
      </c>
      <c r="K50" s="5" t="str">
        <f>IF(Logs_Reseau6[[#This Row],[Type_Forfait]]="Pro Monde","B2B","B2C")</f>
        <v>B2C</v>
      </c>
      <c r="L50" s="5" t="str">
        <f>_xlfn.XLOOKUP(Logs_Reseau6[[#This Row],[Id_Client]],Clients_Churn[ID_Client],Clients_Churn[Duree_Cumulee_Panne_Min],"Non Trouvée")</f>
        <v>Non Trouvée</v>
      </c>
      <c r="M50" s="5" t="str">
        <f>_xlfn.XLOOKUP(Logs_Reseau6[[#This Row],[Id_Client]],Clients_Churn[ID_Client],Clients_Churn[Anciennete_Mois],"Rien à signaler")</f>
        <v>Rien à signaler</v>
      </c>
      <c r="N50" s="5" t="e">
        <f>Logs_Reseau6[[#This Row],[Anciennette]]/24</f>
        <v>#VALUE!</v>
      </c>
      <c r="O50" s="5" t="e">
        <f>Logs_Reseau6[[#This Row],[Duree_Cumulée_Panne]]/1440</f>
        <v>#VALUE!</v>
      </c>
      <c r="P5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1" spans="1:16" hidden="1" x14ac:dyDescent="0.25">
      <c r="A51" s="2">
        <v>45205</v>
      </c>
      <c r="B51" s="1">
        <v>0.48055555555555557</v>
      </c>
      <c r="C51" t="s">
        <v>1465</v>
      </c>
      <c r="D51">
        <v>43</v>
      </c>
      <c r="E51" t="s">
        <v>1303</v>
      </c>
      <c r="F51" t="str">
        <f>_xlfn.XLOOKUP(Logs_Reseau6[[#This Row],[Cell_ID]],Registre[ID_Antenne],Registre[Province_RDC],"Non Trouvée")</f>
        <v>Non Trouvée</v>
      </c>
      <c r="G51" t="str">
        <f>_xlfn.XLOOKUP(Logs_Reseau6[[#This Row],[Province]],Clients_Churn[Province_Client],Clients_Churn[ID_Client],"Aucun")</f>
        <v>Aucun</v>
      </c>
      <c r="H51" t="str">
        <f>_xlfn.XLOOKUP(Logs_Reseau6[[#This Row],[Cell_ID]],Registre[ID_Antenne],Registre[Technologie],"Rien à signaler")</f>
        <v>Rien à signaler</v>
      </c>
      <c r="I51" t="str">
        <f>_xlfn.XLOOKUP(Logs_Reseau6[[#This Row],[Cell_ID]],Registre[ID_Antenne],Registre[Equipementier],"Non Trouvée")</f>
        <v>Non Trouvée</v>
      </c>
      <c r="J51" t="str">
        <f>_xlfn.XLOOKUP(Logs_Reseau6[[#This Row],[Id_Client]],Clients_Churn[ID_Client],Clients_Churn[Type_Forfait],"Pas d'information")</f>
        <v>Pas d'information</v>
      </c>
      <c r="K51" s="5" t="str">
        <f>IF(Logs_Reseau6[[#This Row],[Type_Forfait]]="Pro Monde","B2B","B2C")</f>
        <v>B2C</v>
      </c>
      <c r="L51" s="5" t="str">
        <f>_xlfn.XLOOKUP(Logs_Reseau6[[#This Row],[Id_Client]],Clients_Churn[ID_Client],Clients_Churn[Duree_Cumulee_Panne_Min],"Non Trouvée")</f>
        <v>Non Trouvée</v>
      </c>
      <c r="M51" s="5" t="str">
        <f>_xlfn.XLOOKUP(Logs_Reseau6[[#This Row],[Id_Client]],Clients_Churn[ID_Client],Clients_Churn[Anciennete_Mois],"Rien à signaler")</f>
        <v>Rien à signaler</v>
      </c>
      <c r="N51" s="5" t="e">
        <f>Logs_Reseau6[[#This Row],[Anciennette]]/24</f>
        <v>#VALUE!</v>
      </c>
      <c r="O51" s="5" t="e">
        <f>Logs_Reseau6[[#This Row],[Duree_Cumulée_Panne]]/1440</f>
        <v>#VALUE!</v>
      </c>
      <c r="P5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2" spans="1:16" hidden="1" x14ac:dyDescent="0.25">
      <c r="A52" s="2">
        <v>45214</v>
      </c>
      <c r="B52" s="1">
        <v>0.11319444444444444</v>
      </c>
      <c r="C52" t="s">
        <v>1331</v>
      </c>
      <c r="D52">
        <v>47</v>
      </c>
      <c r="E52" t="s">
        <v>1305</v>
      </c>
      <c r="F52" t="str">
        <f>_xlfn.XLOOKUP(Logs_Reseau6[[#This Row],[Cell_ID]],Registre[ID_Antenne],Registre[Province_RDC],"Non Trouvée")</f>
        <v>Non Trouvée</v>
      </c>
      <c r="G52" t="str">
        <f>_xlfn.XLOOKUP(Logs_Reseau6[[#This Row],[Province]],Clients_Churn[Province_Client],Clients_Churn[ID_Client],"Aucun")</f>
        <v>Aucun</v>
      </c>
      <c r="H52" t="str">
        <f>_xlfn.XLOOKUP(Logs_Reseau6[[#This Row],[Cell_ID]],Registre[ID_Antenne],Registre[Technologie],"Rien à signaler")</f>
        <v>Rien à signaler</v>
      </c>
      <c r="I52" t="str">
        <f>_xlfn.XLOOKUP(Logs_Reseau6[[#This Row],[Cell_ID]],Registre[ID_Antenne],Registre[Equipementier],"Non Trouvée")</f>
        <v>Non Trouvée</v>
      </c>
      <c r="J52" t="str">
        <f>_xlfn.XLOOKUP(Logs_Reseau6[[#This Row],[Id_Client]],Clients_Churn[ID_Client],Clients_Churn[Type_Forfait],"Pas d'information")</f>
        <v>Pas d'information</v>
      </c>
      <c r="K52" s="5" t="str">
        <f>IF(Logs_Reseau6[[#This Row],[Type_Forfait]]="Pro Monde","B2B","B2C")</f>
        <v>B2C</v>
      </c>
      <c r="L52" s="5" t="str">
        <f>_xlfn.XLOOKUP(Logs_Reseau6[[#This Row],[Id_Client]],Clients_Churn[ID_Client],Clients_Churn[Duree_Cumulee_Panne_Min],"Non Trouvée")</f>
        <v>Non Trouvée</v>
      </c>
      <c r="M52" s="5" t="str">
        <f>_xlfn.XLOOKUP(Logs_Reseau6[[#This Row],[Id_Client]],Clients_Churn[ID_Client],Clients_Churn[Anciennete_Mois],"Rien à signaler")</f>
        <v>Rien à signaler</v>
      </c>
      <c r="N52" s="5" t="e">
        <f>Logs_Reseau6[[#This Row],[Anciennette]]/24</f>
        <v>#VALUE!</v>
      </c>
      <c r="O52" s="5" t="e">
        <f>Logs_Reseau6[[#This Row],[Duree_Cumulée_Panne]]/1440</f>
        <v>#VALUE!</v>
      </c>
      <c r="P5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3" spans="1:16" hidden="1" x14ac:dyDescent="0.25">
      <c r="A53" s="2">
        <v>45220</v>
      </c>
      <c r="B53" s="1">
        <v>0.23055555555555557</v>
      </c>
      <c r="C53" t="s">
        <v>1331</v>
      </c>
      <c r="D53">
        <v>111</v>
      </c>
      <c r="E53" t="s">
        <v>1305</v>
      </c>
      <c r="F53" t="str">
        <f>_xlfn.XLOOKUP(Logs_Reseau6[[#This Row],[Cell_ID]],Registre[ID_Antenne],Registre[Province_RDC],"Non Trouvée")</f>
        <v>Non Trouvée</v>
      </c>
      <c r="G53" t="str">
        <f>_xlfn.XLOOKUP(Logs_Reseau6[[#This Row],[Province]],Clients_Churn[Province_Client],Clients_Churn[ID_Client],"Aucun")</f>
        <v>Aucun</v>
      </c>
      <c r="H53" t="str">
        <f>_xlfn.XLOOKUP(Logs_Reseau6[[#This Row],[Cell_ID]],Registre[ID_Antenne],Registre[Technologie],"Rien à signaler")</f>
        <v>Rien à signaler</v>
      </c>
      <c r="I53" t="str">
        <f>_xlfn.XLOOKUP(Logs_Reseau6[[#This Row],[Cell_ID]],Registre[ID_Antenne],Registre[Equipementier],"Non Trouvée")</f>
        <v>Non Trouvée</v>
      </c>
      <c r="J53" t="str">
        <f>_xlfn.XLOOKUP(Logs_Reseau6[[#This Row],[Id_Client]],Clients_Churn[ID_Client],Clients_Churn[Type_Forfait],"Pas d'information")</f>
        <v>Pas d'information</v>
      </c>
      <c r="K53" s="5" t="str">
        <f>IF(Logs_Reseau6[[#This Row],[Type_Forfait]]="Pro Monde","B2B","B2C")</f>
        <v>B2C</v>
      </c>
      <c r="L53" s="5" t="str">
        <f>_xlfn.XLOOKUP(Logs_Reseau6[[#This Row],[Id_Client]],Clients_Churn[ID_Client],Clients_Churn[Duree_Cumulee_Panne_Min],"Non Trouvée")</f>
        <v>Non Trouvée</v>
      </c>
      <c r="M53" s="5" t="str">
        <f>_xlfn.XLOOKUP(Logs_Reseau6[[#This Row],[Id_Client]],Clients_Churn[ID_Client],Clients_Churn[Anciennete_Mois],"Rien à signaler")</f>
        <v>Rien à signaler</v>
      </c>
      <c r="N53" s="5" t="e">
        <f>Logs_Reseau6[[#This Row],[Anciennette]]/24</f>
        <v>#VALUE!</v>
      </c>
      <c r="O53" s="5" t="e">
        <f>Logs_Reseau6[[#This Row],[Duree_Cumulée_Panne]]/1440</f>
        <v>#VALUE!</v>
      </c>
      <c r="P5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4" spans="1:16" hidden="1" x14ac:dyDescent="0.25">
      <c r="A54" s="2">
        <v>45227</v>
      </c>
      <c r="B54" s="4">
        <v>0.13541666666666666</v>
      </c>
      <c r="C54" t="s">
        <v>1331</v>
      </c>
      <c r="D54">
        <v>13</v>
      </c>
      <c r="E54" t="s">
        <v>1303</v>
      </c>
      <c r="F54" t="str">
        <f>_xlfn.XLOOKUP(Logs_Reseau6[[#This Row],[Cell_ID]],Registre[ID_Antenne],Registre[Province_RDC],"Non Trouvée")</f>
        <v>Non Trouvée</v>
      </c>
      <c r="G54" t="str">
        <f>_xlfn.XLOOKUP(Logs_Reseau6[[#This Row],[Province]],Clients_Churn[Province_Client],Clients_Churn[ID_Client],"Aucun")</f>
        <v>Aucun</v>
      </c>
      <c r="H54" t="str">
        <f>_xlfn.XLOOKUP(Logs_Reseau6[[#This Row],[Cell_ID]],Registre[ID_Antenne],Registre[Technologie],"Rien à signaler")</f>
        <v>Rien à signaler</v>
      </c>
      <c r="I54" t="str">
        <f>_xlfn.XLOOKUP(Logs_Reseau6[[#This Row],[Cell_ID]],Registre[ID_Antenne],Registre[Equipementier],"Non Trouvée")</f>
        <v>Non Trouvée</v>
      </c>
      <c r="J54" t="str">
        <f>_xlfn.XLOOKUP(Logs_Reseau6[[#This Row],[Id_Client]],Clients_Churn[ID_Client],Clients_Churn[Type_Forfait],"Pas d'information")</f>
        <v>Pas d'information</v>
      </c>
      <c r="K54" s="5" t="str">
        <f>IF(Logs_Reseau6[[#This Row],[Type_Forfait]]="Pro Monde","B2B","B2C")</f>
        <v>B2C</v>
      </c>
      <c r="L54" s="5" t="str">
        <f>_xlfn.XLOOKUP(Logs_Reseau6[[#This Row],[Id_Client]],Clients_Churn[ID_Client],Clients_Churn[Duree_Cumulee_Panne_Min],"Non Trouvée")</f>
        <v>Non Trouvée</v>
      </c>
      <c r="M54" s="5" t="str">
        <f>_xlfn.XLOOKUP(Logs_Reseau6[[#This Row],[Id_Client]],Clients_Churn[ID_Client],Clients_Churn[Anciennete_Mois],"Rien à signaler")</f>
        <v>Rien à signaler</v>
      </c>
      <c r="N54" s="5" t="e">
        <f>Logs_Reseau6[[#This Row],[Anciennette]]/24</f>
        <v>#VALUE!</v>
      </c>
      <c r="O54" s="5" t="e">
        <f>Logs_Reseau6[[#This Row],[Duree_Cumulée_Panne]]/1440</f>
        <v>#VALUE!</v>
      </c>
      <c r="P5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5" spans="1:16" x14ac:dyDescent="0.25">
      <c r="A55" s="2">
        <v>45221</v>
      </c>
      <c r="B55" s="1">
        <v>0.50555555555555554</v>
      </c>
      <c r="C55" t="s">
        <v>1137</v>
      </c>
      <c r="D55">
        <v>51</v>
      </c>
      <c r="E55" t="s">
        <v>1300</v>
      </c>
      <c r="F55" t="str">
        <f>_xlfn.XLOOKUP(Logs_Reseau6[[#This Row],[Cell_ID]],Registre[ID_Antenne],Registre[Province_RDC],"Non Trouvée")</f>
        <v>Mongala</v>
      </c>
      <c r="G55" t="str">
        <f>_xlfn.XLOOKUP(Logs_Reseau6[[#This Row],[Province]],Clients_Churn[Province_Client],Clients_Churn[ID_Client],"Aucun")</f>
        <v>CLI-00011</v>
      </c>
      <c r="H55" t="str">
        <f>_xlfn.XLOOKUP(Logs_Reseau6[[#This Row],[Cell_ID]],Registre[ID_Antenne],Registre[Technologie],"Rien à signaler")</f>
        <v>3G</v>
      </c>
      <c r="I55" t="str">
        <f>_xlfn.XLOOKUP(Logs_Reseau6[[#This Row],[Cell_ID]],Registre[ID_Antenne],Registre[Equipementier],"Non Trouvée")</f>
        <v>Ericsson</v>
      </c>
      <c r="J55" t="str">
        <f>_xlfn.XLOOKUP(Logs_Reseau6[[#This Row],[Id_Client]],Clients_Churn[ID_Client],Clients_Churn[Type_Forfait],"Pas d'information")</f>
        <v>Illimité 50Go</v>
      </c>
      <c r="K55" s="5" t="str">
        <f>IF(Logs_Reseau6[[#This Row],[Type_Forfait]]="Pro Monde","B2B","B2C")</f>
        <v>B2C</v>
      </c>
      <c r="L55" s="5">
        <f>_xlfn.XLOOKUP(Logs_Reseau6[[#This Row],[Id_Client]],Clients_Churn[ID_Client],Clients_Churn[Duree_Cumulee_Panne_Min],"Non Trouvée")</f>
        <v>86</v>
      </c>
      <c r="M55" s="5">
        <f>_xlfn.XLOOKUP(Logs_Reseau6[[#This Row],[Id_Client]],Clients_Churn[ID_Client],Clients_Churn[Anciennete_Mois],"Rien à signaler")</f>
        <v>49</v>
      </c>
      <c r="N55" s="11">
        <f>Logs_Reseau6[[#This Row],[Anciennette]]/24</f>
        <v>2.0416666666666665</v>
      </c>
      <c r="O55" s="1">
        <f>Logs_Reseau6[[#This Row],[Duree_Cumulée_Panne]]/1440</f>
        <v>5.9722222222222225E-2</v>
      </c>
      <c r="P5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6" spans="1:16" x14ac:dyDescent="0.25">
      <c r="A56" s="2">
        <v>45223</v>
      </c>
      <c r="B56" s="1">
        <v>0.40069444444444446</v>
      </c>
      <c r="C56" t="s">
        <v>1137</v>
      </c>
      <c r="D56">
        <v>41</v>
      </c>
      <c r="E56" t="s">
        <v>1305</v>
      </c>
      <c r="F56" t="str">
        <f>_xlfn.XLOOKUP(Logs_Reseau6[[#This Row],[Cell_ID]],Registre[ID_Antenne],Registre[Province_RDC],"Non Trouvée")</f>
        <v>Mongala</v>
      </c>
      <c r="G56" t="str">
        <f>_xlfn.XLOOKUP(Logs_Reseau6[[#This Row],[Province]],Clients_Churn[Province_Client],Clients_Churn[ID_Client],"Aucun")</f>
        <v>CLI-00011</v>
      </c>
      <c r="H56" t="str">
        <f>_xlfn.XLOOKUP(Logs_Reseau6[[#This Row],[Cell_ID]],Registre[ID_Antenne],Registre[Technologie],"Rien à signaler")</f>
        <v>3G</v>
      </c>
      <c r="I56" t="str">
        <f>_xlfn.XLOOKUP(Logs_Reseau6[[#This Row],[Cell_ID]],Registre[ID_Antenne],Registre[Equipementier],"Non Trouvée")</f>
        <v>Ericsson</v>
      </c>
      <c r="J56" t="str">
        <f>_xlfn.XLOOKUP(Logs_Reseau6[[#This Row],[Id_Client]],Clients_Churn[ID_Client],Clients_Churn[Type_Forfait],"Pas d'information")</f>
        <v>Illimité 50Go</v>
      </c>
      <c r="K56" s="5" t="str">
        <f>IF(Logs_Reseau6[[#This Row],[Type_Forfait]]="Pro Monde","B2B","B2C")</f>
        <v>B2C</v>
      </c>
      <c r="L56" s="5">
        <f>_xlfn.XLOOKUP(Logs_Reseau6[[#This Row],[Id_Client]],Clients_Churn[ID_Client],Clients_Churn[Duree_Cumulee_Panne_Min],"Non Trouvée")</f>
        <v>86</v>
      </c>
      <c r="M56" s="5">
        <f>_xlfn.XLOOKUP(Logs_Reseau6[[#This Row],[Id_Client]],Clients_Churn[ID_Client],Clients_Churn[Anciennete_Mois],"Rien à signaler")</f>
        <v>49</v>
      </c>
      <c r="N56" s="11">
        <f>Logs_Reseau6[[#This Row],[Anciennette]]/24</f>
        <v>2.0416666666666665</v>
      </c>
      <c r="O56" s="1">
        <f>Logs_Reseau6[[#This Row],[Duree_Cumulée_Panne]]/1440</f>
        <v>5.9722222222222225E-2</v>
      </c>
      <c r="P5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7" spans="1:16" x14ac:dyDescent="0.25">
      <c r="A57" s="2">
        <v>45201</v>
      </c>
      <c r="B57" s="1">
        <v>0.82430555555555551</v>
      </c>
      <c r="C57" t="s">
        <v>1284</v>
      </c>
      <c r="D57">
        <v>28</v>
      </c>
      <c r="E57" t="s">
        <v>1303</v>
      </c>
      <c r="F57" t="str">
        <f>_xlfn.XLOOKUP(Logs_Reseau6[[#This Row],[Cell_ID]],Registre[ID_Antenne],Registre[Province_RDC],"Non Trouvée")</f>
        <v>Mai-Ndombe</v>
      </c>
      <c r="G57" t="str">
        <f>_xlfn.XLOOKUP(Logs_Reseau6[[#This Row],[Province]],Clients_Churn[Province_Client],Clients_Churn[ID_Client],"Aucun")</f>
        <v>CLI-00090</v>
      </c>
      <c r="H57" t="str">
        <f>_xlfn.XLOOKUP(Logs_Reseau6[[#This Row],[Cell_ID]],Registre[ID_Antenne],Registre[Technologie],"Rien à signaler")</f>
        <v>4G</v>
      </c>
      <c r="I57" t="str">
        <f>_xlfn.XLOOKUP(Logs_Reseau6[[#This Row],[Cell_ID]],Registre[ID_Antenne],Registre[Equipementier],"Non Trouvée")</f>
        <v>Huawei</v>
      </c>
      <c r="J57" t="str">
        <f>_xlfn.XLOOKUP(Logs_Reseau6[[#This Row],[Id_Client]],Clients_Churn[ID_Client],Clients_Churn[Type_Forfait],"Pas d'information")</f>
        <v>Bloqué 5Go</v>
      </c>
      <c r="K57" s="5" t="str">
        <f>IF(Logs_Reseau6[[#This Row],[Type_Forfait]]="Pro Monde","B2B","B2C")</f>
        <v>B2C</v>
      </c>
      <c r="L57" s="5">
        <f>_xlfn.XLOOKUP(Logs_Reseau6[[#This Row],[Id_Client]],Clients_Churn[ID_Client],Clients_Churn[Duree_Cumulee_Panne_Min],"Non Trouvée")</f>
        <v>400</v>
      </c>
      <c r="M57" s="5">
        <f>_xlfn.XLOOKUP(Logs_Reseau6[[#This Row],[Id_Client]],Clients_Churn[ID_Client],Clients_Churn[Anciennete_Mois],"Rien à signaler")</f>
        <v>15</v>
      </c>
      <c r="N57" s="11">
        <f>Logs_Reseau6[[#This Row],[Anciennette]]/24</f>
        <v>0.625</v>
      </c>
      <c r="O57" s="1">
        <f>Logs_Reseau6[[#This Row],[Duree_Cumulée_Panne]]/1440</f>
        <v>0.27777777777777779</v>
      </c>
      <c r="P5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8" spans="1:16" x14ac:dyDescent="0.25">
      <c r="A58" s="2">
        <v>45206</v>
      </c>
      <c r="B58" s="1">
        <v>0.95694444444444449</v>
      </c>
      <c r="C58" t="s">
        <v>1284</v>
      </c>
      <c r="D58">
        <v>32</v>
      </c>
      <c r="E58" t="s">
        <v>1303</v>
      </c>
      <c r="F58" t="str">
        <f>_xlfn.XLOOKUP(Logs_Reseau6[[#This Row],[Cell_ID]],Registre[ID_Antenne],Registre[Province_RDC],"Non Trouvée")</f>
        <v>Mai-Ndombe</v>
      </c>
      <c r="G58" t="str">
        <f>_xlfn.XLOOKUP(Logs_Reseau6[[#This Row],[Province]],Clients_Churn[Province_Client],Clients_Churn[ID_Client],"Aucun")</f>
        <v>CLI-00090</v>
      </c>
      <c r="H58" t="str">
        <f>_xlfn.XLOOKUP(Logs_Reseau6[[#This Row],[Cell_ID]],Registre[ID_Antenne],Registre[Technologie],"Rien à signaler")</f>
        <v>4G</v>
      </c>
      <c r="I58" t="str">
        <f>_xlfn.XLOOKUP(Logs_Reseau6[[#This Row],[Cell_ID]],Registre[ID_Antenne],Registre[Equipementier],"Non Trouvée")</f>
        <v>Huawei</v>
      </c>
      <c r="J58" t="str">
        <f>_xlfn.XLOOKUP(Logs_Reseau6[[#This Row],[Id_Client]],Clients_Churn[ID_Client],Clients_Churn[Type_Forfait],"Pas d'information")</f>
        <v>Bloqué 5Go</v>
      </c>
      <c r="K58" s="5" t="str">
        <f>IF(Logs_Reseau6[[#This Row],[Type_Forfait]]="Pro Monde","B2B","B2C")</f>
        <v>B2C</v>
      </c>
      <c r="L58" s="5">
        <f>_xlfn.XLOOKUP(Logs_Reseau6[[#This Row],[Id_Client]],Clients_Churn[ID_Client],Clients_Churn[Duree_Cumulee_Panne_Min],"Non Trouvée")</f>
        <v>400</v>
      </c>
      <c r="M58" s="5">
        <f>_xlfn.XLOOKUP(Logs_Reseau6[[#This Row],[Id_Client]],Clients_Churn[ID_Client],Clients_Churn[Anciennete_Mois],"Rien à signaler")</f>
        <v>15</v>
      </c>
      <c r="N58" s="11">
        <f>Logs_Reseau6[[#This Row],[Anciennette]]/24</f>
        <v>0.625</v>
      </c>
      <c r="O58" s="1">
        <f>Logs_Reseau6[[#This Row],[Duree_Cumulée_Panne]]/1440</f>
        <v>0.27777777777777779</v>
      </c>
      <c r="P5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9" spans="1:16" x14ac:dyDescent="0.25">
      <c r="A59" s="2">
        <v>45223</v>
      </c>
      <c r="B59" s="1">
        <v>0.57013888888888886</v>
      </c>
      <c r="C59" t="s">
        <v>1284</v>
      </c>
      <c r="D59">
        <v>10</v>
      </c>
      <c r="E59" t="s">
        <v>1303</v>
      </c>
      <c r="F59" t="str">
        <f>_xlfn.XLOOKUP(Logs_Reseau6[[#This Row],[Cell_ID]],Registre[ID_Antenne],Registre[Province_RDC],"Non Trouvée")</f>
        <v>Mai-Ndombe</v>
      </c>
      <c r="G59" t="str">
        <f>_xlfn.XLOOKUP(Logs_Reseau6[[#This Row],[Province]],Clients_Churn[Province_Client],Clients_Churn[ID_Client],"Aucun")</f>
        <v>CLI-00090</v>
      </c>
      <c r="H59" t="str">
        <f>_xlfn.XLOOKUP(Logs_Reseau6[[#This Row],[Cell_ID]],Registre[ID_Antenne],Registre[Technologie],"Rien à signaler")</f>
        <v>4G</v>
      </c>
      <c r="I59" t="str">
        <f>_xlfn.XLOOKUP(Logs_Reseau6[[#This Row],[Cell_ID]],Registre[ID_Antenne],Registre[Equipementier],"Non Trouvée")</f>
        <v>Huawei</v>
      </c>
      <c r="J59" t="str">
        <f>_xlfn.XLOOKUP(Logs_Reseau6[[#This Row],[Id_Client]],Clients_Churn[ID_Client],Clients_Churn[Type_Forfait],"Pas d'information")</f>
        <v>Bloqué 5Go</v>
      </c>
      <c r="K59" s="5" t="str">
        <f>IF(Logs_Reseau6[[#This Row],[Type_Forfait]]="Pro Monde","B2B","B2C")</f>
        <v>B2C</v>
      </c>
      <c r="L59" s="5">
        <f>_xlfn.XLOOKUP(Logs_Reseau6[[#This Row],[Id_Client]],Clients_Churn[ID_Client],Clients_Churn[Duree_Cumulee_Panne_Min],"Non Trouvée")</f>
        <v>400</v>
      </c>
      <c r="M59" s="5">
        <f>_xlfn.XLOOKUP(Logs_Reseau6[[#This Row],[Id_Client]],Clients_Churn[ID_Client],Clients_Churn[Anciennete_Mois],"Rien à signaler")</f>
        <v>15</v>
      </c>
      <c r="N59" s="11">
        <f>Logs_Reseau6[[#This Row],[Anciennette]]/24</f>
        <v>0.625</v>
      </c>
      <c r="O59" s="1">
        <f>Logs_Reseau6[[#This Row],[Duree_Cumulée_Panne]]/1440</f>
        <v>0.27777777777777779</v>
      </c>
      <c r="P5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0" spans="1:16" x14ac:dyDescent="0.25">
      <c r="A60" s="2">
        <v>45224</v>
      </c>
      <c r="B60" s="1">
        <v>0.98333333333333328</v>
      </c>
      <c r="C60" t="s">
        <v>1284</v>
      </c>
      <c r="D60">
        <v>107</v>
      </c>
      <c r="E60" t="s">
        <v>1305</v>
      </c>
      <c r="F60" t="str">
        <f>_xlfn.XLOOKUP(Logs_Reseau6[[#This Row],[Cell_ID]],Registre[ID_Antenne],Registre[Province_RDC],"Non Trouvée")</f>
        <v>Mai-Ndombe</v>
      </c>
      <c r="G60" t="str">
        <f>_xlfn.XLOOKUP(Logs_Reseau6[[#This Row],[Province]],Clients_Churn[Province_Client],Clients_Churn[ID_Client],"Aucun")</f>
        <v>CLI-00090</v>
      </c>
      <c r="H60" t="str">
        <f>_xlfn.XLOOKUP(Logs_Reseau6[[#This Row],[Cell_ID]],Registre[ID_Antenne],Registre[Technologie],"Rien à signaler")</f>
        <v>4G</v>
      </c>
      <c r="I60" t="str">
        <f>_xlfn.XLOOKUP(Logs_Reseau6[[#This Row],[Cell_ID]],Registre[ID_Antenne],Registre[Equipementier],"Non Trouvée")</f>
        <v>Huawei</v>
      </c>
      <c r="J60" t="str">
        <f>_xlfn.XLOOKUP(Logs_Reseau6[[#This Row],[Id_Client]],Clients_Churn[ID_Client],Clients_Churn[Type_Forfait],"Pas d'information")</f>
        <v>Bloqué 5Go</v>
      </c>
      <c r="K60" s="5" t="str">
        <f>IF(Logs_Reseau6[[#This Row],[Type_Forfait]]="Pro Monde","B2B","B2C")</f>
        <v>B2C</v>
      </c>
      <c r="L60" s="5">
        <f>_xlfn.XLOOKUP(Logs_Reseau6[[#This Row],[Id_Client]],Clients_Churn[ID_Client],Clients_Churn[Duree_Cumulee_Panne_Min],"Non Trouvée")</f>
        <v>400</v>
      </c>
      <c r="M60" s="5">
        <f>_xlfn.XLOOKUP(Logs_Reseau6[[#This Row],[Id_Client]],Clients_Churn[ID_Client],Clients_Churn[Anciennete_Mois],"Rien à signaler")</f>
        <v>15</v>
      </c>
      <c r="N60" s="11">
        <f>Logs_Reseau6[[#This Row],[Anciennette]]/24</f>
        <v>0.625</v>
      </c>
      <c r="O60" s="1">
        <f>Logs_Reseau6[[#This Row],[Duree_Cumulée_Panne]]/1440</f>
        <v>0.27777777777777779</v>
      </c>
      <c r="P6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1" spans="1:16" x14ac:dyDescent="0.25">
      <c r="A61" s="2">
        <v>45220</v>
      </c>
      <c r="B61" s="1">
        <v>0.67708333333333337</v>
      </c>
      <c r="C61" t="s">
        <v>983</v>
      </c>
      <c r="D61">
        <v>107</v>
      </c>
      <c r="E61" t="s">
        <v>1305</v>
      </c>
      <c r="F61" t="str">
        <f>_xlfn.XLOOKUP(Logs_Reseau6[[#This Row],[Cell_ID]],Registre[ID_Antenne],Registre[Province_RDC],"Non Trouvée")</f>
        <v>Tshopo</v>
      </c>
      <c r="G61" t="str">
        <f>_xlfn.XLOOKUP(Logs_Reseau6[[#This Row],[Province]],Clients_Churn[Province_Client],Clients_Churn[ID_Client],"Aucun")</f>
        <v>CLI-00100</v>
      </c>
      <c r="H61" t="str">
        <f>_xlfn.XLOOKUP(Logs_Reseau6[[#This Row],[Cell_ID]],Registre[ID_Antenne],Registre[Technologie],"Rien à signaler")</f>
        <v>4G</v>
      </c>
      <c r="I61" t="str">
        <f>_xlfn.XLOOKUP(Logs_Reseau6[[#This Row],[Cell_ID]],Registre[ID_Antenne],Registre[Equipementier],"Non Trouvée")</f>
        <v>ZTE</v>
      </c>
      <c r="J61" t="str">
        <f>_xlfn.XLOOKUP(Logs_Reseau6[[#This Row],[Id_Client]],Clients_Churn[ID_Client],Clients_Churn[Type_Forfait],"Pas d'information")</f>
        <v>Bloqué 5Go</v>
      </c>
      <c r="K61" s="5" t="str">
        <f>IF(Logs_Reseau6[[#This Row],[Type_Forfait]]="Pro Monde","B2B","B2C")</f>
        <v>B2C</v>
      </c>
      <c r="L61" s="5">
        <f>_xlfn.XLOOKUP(Logs_Reseau6[[#This Row],[Id_Client]],Clients_Churn[ID_Client],Clients_Churn[Duree_Cumulee_Panne_Min],"Non Trouvée")</f>
        <v>388</v>
      </c>
      <c r="M61" s="5">
        <f>_xlfn.XLOOKUP(Logs_Reseau6[[#This Row],[Id_Client]],Clients_Churn[ID_Client],Clients_Churn[Anciennete_Mois],"Rien à signaler")</f>
        <v>74</v>
      </c>
      <c r="N61" s="11">
        <f>Logs_Reseau6[[#This Row],[Anciennette]]/24</f>
        <v>3.0833333333333335</v>
      </c>
      <c r="O61" s="1">
        <f>Logs_Reseau6[[#This Row],[Duree_Cumulée_Panne]]/1440</f>
        <v>0.26944444444444443</v>
      </c>
      <c r="P6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2" spans="1:16" x14ac:dyDescent="0.25">
      <c r="A62" s="2">
        <v>45201</v>
      </c>
      <c r="B62" s="1">
        <v>0.24583333333333332</v>
      </c>
      <c r="C62" t="s">
        <v>1161</v>
      </c>
      <c r="D62">
        <v>91</v>
      </c>
      <c r="E62" t="s">
        <v>1303</v>
      </c>
      <c r="F62" t="str">
        <f>_xlfn.XLOOKUP(Logs_Reseau6[[#This Row],[Cell_ID]],Registre[ID_Antenne],Registre[Province_RDC],"Non Trouvée")</f>
        <v>Ituri</v>
      </c>
      <c r="G62" t="str">
        <f>_xlfn.XLOOKUP(Logs_Reseau6[[#This Row],[Province]],Clients_Churn[Province_Client],Clients_Churn[ID_Client],"Aucun")</f>
        <v>CLI-00041</v>
      </c>
      <c r="H62" t="str">
        <f>_xlfn.XLOOKUP(Logs_Reseau6[[#This Row],[Cell_ID]],Registre[ID_Antenne],Registre[Technologie],"Rien à signaler")</f>
        <v>5G</v>
      </c>
      <c r="I62" t="str">
        <f>_xlfn.XLOOKUP(Logs_Reseau6[[#This Row],[Cell_ID]],Registre[ID_Antenne],Registre[Equipementier],"Non Trouvée")</f>
        <v>Ericsson</v>
      </c>
      <c r="J62" t="str">
        <f>_xlfn.XLOOKUP(Logs_Reseau6[[#This Row],[Id_Client]],Clients_Churn[ID_Client],Clients_Churn[Type_Forfait],"Pas d'information")</f>
        <v>Pro Monde</v>
      </c>
      <c r="K62" s="5" t="str">
        <f>IF(Logs_Reseau6[[#This Row],[Type_Forfait]]="Pro Monde","B2B","B2C")</f>
        <v>B2B</v>
      </c>
      <c r="L62" s="5">
        <f>_xlfn.XLOOKUP(Logs_Reseau6[[#This Row],[Id_Client]],Clients_Churn[ID_Client],Clients_Churn[Duree_Cumulee_Panne_Min],"Non Trouvée")</f>
        <v>105</v>
      </c>
      <c r="M62" s="5">
        <f>_xlfn.XLOOKUP(Logs_Reseau6[[#This Row],[Id_Client]],Clients_Churn[ID_Client],Clients_Churn[Anciennete_Mois],"Rien à signaler")</f>
        <v>103</v>
      </c>
      <c r="N62" s="11">
        <f>Logs_Reseau6[[#This Row],[Anciennette]]/24</f>
        <v>4.291666666666667</v>
      </c>
      <c r="O62" s="1">
        <f>Logs_Reseau6[[#This Row],[Duree_Cumulée_Panne]]/1440</f>
        <v>7.2916666666666671E-2</v>
      </c>
      <c r="P6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3" spans="1:16" x14ac:dyDescent="0.25">
      <c r="A63" s="2">
        <v>45216</v>
      </c>
      <c r="B63" s="1">
        <v>0.70902777777777781</v>
      </c>
      <c r="C63" t="s">
        <v>1161</v>
      </c>
      <c r="D63">
        <v>39</v>
      </c>
      <c r="E63" t="s">
        <v>1300</v>
      </c>
      <c r="F63" t="str">
        <f>_xlfn.XLOOKUP(Logs_Reseau6[[#This Row],[Cell_ID]],Registre[ID_Antenne],Registre[Province_RDC],"Non Trouvée")</f>
        <v>Ituri</v>
      </c>
      <c r="G63" t="str">
        <f>_xlfn.XLOOKUP(Logs_Reseau6[[#This Row],[Province]],Clients_Churn[Province_Client],Clients_Churn[ID_Client],"Aucun")</f>
        <v>CLI-00041</v>
      </c>
      <c r="H63" t="str">
        <f>_xlfn.XLOOKUP(Logs_Reseau6[[#This Row],[Cell_ID]],Registre[ID_Antenne],Registre[Technologie],"Rien à signaler")</f>
        <v>5G</v>
      </c>
      <c r="I63" t="str">
        <f>_xlfn.XLOOKUP(Logs_Reseau6[[#This Row],[Cell_ID]],Registre[ID_Antenne],Registre[Equipementier],"Non Trouvée")</f>
        <v>Ericsson</v>
      </c>
      <c r="J63" t="str">
        <f>_xlfn.XLOOKUP(Logs_Reseau6[[#This Row],[Id_Client]],Clients_Churn[ID_Client],Clients_Churn[Type_Forfait],"Pas d'information")</f>
        <v>Pro Monde</v>
      </c>
      <c r="K63" s="5" t="str">
        <f>IF(Logs_Reseau6[[#This Row],[Type_Forfait]]="Pro Monde","B2B","B2C")</f>
        <v>B2B</v>
      </c>
      <c r="L63" s="5">
        <f>_xlfn.XLOOKUP(Logs_Reseau6[[#This Row],[Id_Client]],Clients_Churn[ID_Client],Clients_Churn[Duree_Cumulee_Panne_Min],"Non Trouvée")</f>
        <v>105</v>
      </c>
      <c r="M63" s="5">
        <f>_xlfn.XLOOKUP(Logs_Reseau6[[#This Row],[Id_Client]],Clients_Churn[ID_Client],Clients_Churn[Anciennete_Mois],"Rien à signaler")</f>
        <v>103</v>
      </c>
      <c r="N63" s="11">
        <f>Logs_Reseau6[[#This Row],[Anciennette]]/24</f>
        <v>4.291666666666667</v>
      </c>
      <c r="O63" s="1">
        <f>Logs_Reseau6[[#This Row],[Duree_Cumulée_Panne]]/1440</f>
        <v>7.2916666666666671E-2</v>
      </c>
      <c r="P6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4" spans="1:16" hidden="1" x14ac:dyDescent="0.25">
      <c r="A64" s="2">
        <v>45222</v>
      </c>
      <c r="B64" s="1">
        <v>0.42569444444444443</v>
      </c>
      <c r="C64" t="s">
        <v>1323</v>
      </c>
      <c r="D64">
        <v>48</v>
      </c>
      <c r="E64" t="s">
        <v>1300</v>
      </c>
      <c r="F64" t="str">
        <f>_xlfn.XLOOKUP(Logs_Reseau6[[#This Row],[Cell_ID]],Registre[ID_Antenne],Registre[Province_RDC],"Non Trouvée")</f>
        <v>Non Trouvée</v>
      </c>
      <c r="G64" t="str">
        <f>_xlfn.XLOOKUP(Logs_Reseau6[[#This Row],[Province]],Clients_Churn[Province_Client],Clients_Churn[ID_Client],"Aucun")</f>
        <v>Aucun</v>
      </c>
      <c r="H64" t="str">
        <f>_xlfn.XLOOKUP(Logs_Reseau6[[#This Row],[Cell_ID]],Registre[ID_Antenne],Registre[Technologie],"Rien à signaler")</f>
        <v>Rien à signaler</v>
      </c>
      <c r="I64" t="str">
        <f>_xlfn.XLOOKUP(Logs_Reseau6[[#This Row],[Cell_ID]],Registre[ID_Antenne],Registre[Equipementier],"Non Trouvée")</f>
        <v>Non Trouvée</v>
      </c>
      <c r="J64" t="str">
        <f>_xlfn.XLOOKUP(Logs_Reseau6[[#This Row],[Id_Client]],Clients_Churn[ID_Client],Clients_Churn[Type_Forfait],"Pas d'information")</f>
        <v>Pas d'information</v>
      </c>
      <c r="K64" s="5" t="str">
        <f>IF(Logs_Reseau6[[#This Row],[Type_Forfait]]="Pro Monde","B2B","B2C")</f>
        <v>B2C</v>
      </c>
      <c r="L64" s="5" t="str">
        <f>_xlfn.XLOOKUP(Logs_Reseau6[[#This Row],[Id_Client]],Clients_Churn[ID_Client],Clients_Churn[Duree_Cumulee_Panne_Min],"Non Trouvée")</f>
        <v>Non Trouvée</v>
      </c>
      <c r="M64" s="5" t="str">
        <f>_xlfn.XLOOKUP(Logs_Reseau6[[#This Row],[Id_Client]],Clients_Churn[ID_Client],Clients_Churn[Anciennete_Mois],"Rien à signaler")</f>
        <v>Rien à signaler</v>
      </c>
      <c r="N64" s="5" t="e">
        <f>Logs_Reseau6[[#This Row],[Anciennette]]/24</f>
        <v>#VALUE!</v>
      </c>
      <c r="O64" s="5" t="e">
        <f>Logs_Reseau6[[#This Row],[Duree_Cumulée_Panne]]/1440</f>
        <v>#VALUE!</v>
      </c>
      <c r="P6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5" spans="1:16" hidden="1" x14ac:dyDescent="0.25">
      <c r="A65" s="2">
        <v>45217</v>
      </c>
      <c r="B65" s="1">
        <v>0.48819444444444443</v>
      </c>
      <c r="C65" t="s">
        <v>1490</v>
      </c>
      <c r="D65">
        <v>94</v>
      </c>
      <c r="E65" t="s">
        <v>1300</v>
      </c>
      <c r="F65" t="str">
        <f>_xlfn.XLOOKUP(Logs_Reseau6[[#This Row],[Cell_ID]],Registre[ID_Antenne],Registre[Province_RDC],"Non Trouvée")</f>
        <v>Non Trouvée</v>
      </c>
      <c r="G65" t="str">
        <f>_xlfn.XLOOKUP(Logs_Reseau6[[#This Row],[Province]],Clients_Churn[Province_Client],Clients_Churn[ID_Client],"Aucun")</f>
        <v>Aucun</v>
      </c>
      <c r="H65" t="str">
        <f>_xlfn.XLOOKUP(Logs_Reseau6[[#This Row],[Cell_ID]],Registre[ID_Antenne],Registre[Technologie],"Rien à signaler")</f>
        <v>Rien à signaler</v>
      </c>
      <c r="I65" t="str">
        <f>_xlfn.XLOOKUP(Logs_Reseau6[[#This Row],[Cell_ID]],Registre[ID_Antenne],Registre[Equipementier],"Non Trouvée")</f>
        <v>Non Trouvée</v>
      </c>
      <c r="J65" t="str">
        <f>_xlfn.XLOOKUP(Logs_Reseau6[[#This Row],[Id_Client]],Clients_Churn[ID_Client],Clients_Churn[Type_Forfait],"Pas d'information")</f>
        <v>Pas d'information</v>
      </c>
      <c r="K65" s="5" t="str">
        <f>IF(Logs_Reseau6[[#This Row],[Type_Forfait]]="Pro Monde","B2B","B2C")</f>
        <v>B2C</v>
      </c>
      <c r="L65" s="5" t="str">
        <f>_xlfn.XLOOKUP(Logs_Reseau6[[#This Row],[Id_Client]],Clients_Churn[ID_Client],Clients_Churn[Duree_Cumulee_Panne_Min],"Non Trouvée")</f>
        <v>Non Trouvée</v>
      </c>
      <c r="M65" s="5" t="str">
        <f>_xlfn.XLOOKUP(Logs_Reseau6[[#This Row],[Id_Client]],Clients_Churn[ID_Client],Clients_Churn[Anciennete_Mois],"Rien à signaler")</f>
        <v>Rien à signaler</v>
      </c>
      <c r="N65" s="5" t="e">
        <f>Logs_Reseau6[[#This Row],[Anciennette]]/24</f>
        <v>#VALUE!</v>
      </c>
      <c r="O65" s="5" t="e">
        <f>Logs_Reseau6[[#This Row],[Duree_Cumulée_Panne]]/1440</f>
        <v>#VALUE!</v>
      </c>
      <c r="P6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6" spans="1:16" hidden="1" x14ac:dyDescent="0.25">
      <c r="A66" s="2">
        <v>45221</v>
      </c>
      <c r="B66" s="1">
        <v>0.96597222222222223</v>
      </c>
      <c r="C66" t="s">
        <v>1554</v>
      </c>
      <c r="D66">
        <v>84</v>
      </c>
      <c r="E66" t="s">
        <v>1305</v>
      </c>
      <c r="F66" t="str">
        <f>_xlfn.XLOOKUP(Logs_Reseau6[[#This Row],[Cell_ID]],Registre[ID_Antenne],Registre[Province_RDC],"Non Trouvée")</f>
        <v>Non Trouvée</v>
      </c>
      <c r="G66" t="str">
        <f>_xlfn.XLOOKUP(Logs_Reseau6[[#This Row],[Province]],Clients_Churn[Province_Client],Clients_Churn[ID_Client],"Aucun")</f>
        <v>Aucun</v>
      </c>
      <c r="H66" t="str">
        <f>_xlfn.XLOOKUP(Logs_Reseau6[[#This Row],[Cell_ID]],Registre[ID_Antenne],Registre[Technologie],"Rien à signaler")</f>
        <v>Rien à signaler</v>
      </c>
      <c r="I66" t="str">
        <f>_xlfn.XLOOKUP(Logs_Reseau6[[#This Row],[Cell_ID]],Registre[ID_Antenne],Registre[Equipementier],"Non Trouvée")</f>
        <v>Non Trouvée</v>
      </c>
      <c r="J66" t="str">
        <f>_xlfn.XLOOKUP(Logs_Reseau6[[#This Row],[Id_Client]],Clients_Churn[ID_Client],Clients_Churn[Type_Forfait],"Pas d'information")</f>
        <v>Pas d'information</v>
      </c>
      <c r="K66" s="5" t="str">
        <f>IF(Logs_Reseau6[[#This Row],[Type_Forfait]]="Pro Monde","B2B","B2C")</f>
        <v>B2C</v>
      </c>
      <c r="L66" s="5" t="str">
        <f>_xlfn.XLOOKUP(Logs_Reseau6[[#This Row],[Id_Client]],Clients_Churn[ID_Client],Clients_Churn[Duree_Cumulee_Panne_Min],"Non Trouvée")</f>
        <v>Non Trouvée</v>
      </c>
      <c r="M66" s="5" t="str">
        <f>_xlfn.XLOOKUP(Logs_Reseau6[[#This Row],[Id_Client]],Clients_Churn[ID_Client],Clients_Churn[Anciennete_Mois],"Rien à signaler")</f>
        <v>Rien à signaler</v>
      </c>
      <c r="N66" s="5" t="e">
        <f>Logs_Reseau6[[#This Row],[Anciennette]]/24</f>
        <v>#VALUE!</v>
      </c>
      <c r="O66" s="5" t="e">
        <f>Logs_Reseau6[[#This Row],[Duree_Cumulée_Panne]]/1440</f>
        <v>#VALUE!</v>
      </c>
      <c r="P6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7" spans="1:16" hidden="1" x14ac:dyDescent="0.25">
      <c r="A67" s="2">
        <v>45203</v>
      </c>
      <c r="B67" s="1">
        <v>0.95833333333333337</v>
      </c>
      <c r="C67" t="s">
        <v>1584</v>
      </c>
      <c r="D67">
        <v>65</v>
      </c>
      <c r="E67" t="s">
        <v>1305</v>
      </c>
      <c r="F67" t="str">
        <f>_xlfn.XLOOKUP(Logs_Reseau6[[#This Row],[Cell_ID]],Registre[ID_Antenne],Registre[Province_RDC],"Non Trouvée")</f>
        <v>Non Trouvée</v>
      </c>
      <c r="G67" t="str">
        <f>_xlfn.XLOOKUP(Logs_Reseau6[[#This Row],[Province]],Clients_Churn[Province_Client],Clients_Churn[ID_Client],"Aucun")</f>
        <v>Aucun</v>
      </c>
      <c r="H67" t="str">
        <f>_xlfn.XLOOKUP(Logs_Reseau6[[#This Row],[Cell_ID]],Registre[ID_Antenne],Registre[Technologie],"Rien à signaler")</f>
        <v>Rien à signaler</v>
      </c>
      <c r="I67" t="str">
        <f>_xlfn.XLOOKUP(Logs_Reseau6[[#This Row],[Cell_ID]],Registre[ID_Antenne],Registre[Equipementier],"Non Trouvée")</f>
        <v>Non Trouvée</v>
      </c>
      <c r="J67" t="str">
        <f>_xlfn.XLOOKUP(Logs_Reseau6[[#This Row],[Id_Client]],Clients_Churn[ID_Client],Clients_Churn[Type_Forfait],"Pas d'information")</f>
        <v>Pas d'information</v>
      </c>
      <c r="K67" s="5" t="str">
        <f>IF(Logs_Reseau6[[#This Row],[Type_Forfait]]="Pro Monde","B2B","B2C")</f>
        <v>B2C</v>
      </c>
      <c r="L67" s="5" t="str">
        <f>_xlfn.XLOOKUP(Logs_Reseau6[[#This Row],[Id_Client]],Clients_Churn[ID_Client],Clients_Churn[Duree_Cumulee_Panne_Min],"Non Trouvée")</f>
        <v>Non Trouvée</v>
      </c>
      <c r="M67" s="5" t="str">
        <f>_xlfn.XLOOKUP(Logs_Reseau6[[#This Row],[Id_Client]],Clients_Churn[ID_Client],Clients_Churn[Anciennete_Mois],"Rien à signaler")</f>
        <v>Rien à signaler</v>
      </c>
      <c r="N67" s="5" t="e">
        <f>Logs_Reseau6[[#This Row],[Anciennette]]/24</f>
        <v>#VALUE!</v>
      </c>
      <c r="O67" s="5" t="e">
        <f>Logs_Reseau6[[#This Row],[Duree_Cumulée_Panne]]/1440</f>
        <v>#VALUE!</v>
      </c>
      <c r="P6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8" spans="1:16" hidden="1" x14ac:dyDescent="0.25">
      <c r="A68" s="2">
        <v>45209</v>
      </c>
      <c r="B68" s="1">
        <v>0.17430555555555555</v>
      </c>
      <c r="C68" t="s">
        <v>1566</v>
      </c>
      <c r="D68">
        <v>5</v>
      </c>
      <c r="E68" t="s">
        <v>1300</v>
      </c>
      <c r="F68" t="str">
        <f>_xlfn.XLOOKUP(Logs_Reseau6[[#This Row],[Cell_ID]],Registre[ID_Antenne],Registre[Province_RDC],"Non Trouvée")</f>
        <v>Non Trouvée</v>
      </c>
      <c r="G68" t="str">
        <f>_xlfn.XLOOKUP(Logs_Reseau6[[#This Row],[Province]],Clients_Churn[Province_Client],Clients_Churn[ID_Client],"Aucun")</f>
        <v>Aucun</v>
      </c>
      <c r="H68" t="str">
        <f>_xlfn.XLOOKUP(Logs_Reseau6[[#This Row],[Cell_ID]],Registre[ID_Antenne],Registre[Technologie],"Rien à signaler")</f>
        <v>Rien à signaler</v>
      </c>
      <c r="I68" t="str">
        <f>_xlfn.XLOOKUP(Logs_Reseau6[[#This Row],[Cell_ID]],Registre[ID_Antenne],Registre[Equipementier],"Non Trouvée")</f>
        <v>Non Trouvée</v>
      </c>
      <c r="J68" t="str">
        <f>_xlfn.XLOOKUP(Logs_Reseau6[[#This Row],[Id_Client]],Clients_Churn[ID_Client],Clients_Churn[Type_Forfait],"Pas d'information")</f>
        <v>Pas d'information</v>
      </c>
      <c r="K68" s="5" t="str">
        <f>IF(Logs_Reseau6[[#This Row],[Type_Forfait]]="Pro Monde","B2B","B2C")</f>
        <v>B2C</v>
      </c>
      <c r="L68" s="5" t="str">
        <f>_xlfn.XLOOKUP(Logs_Reseau6[[#This Row],[Id_Client]],Clients_Churn[ID_Client],Clients_Churn[Duree_Cumulee_Panne_Min],"Non Trouvée")</f>
        <v>Non Trouvée</v>
      </c>
      <c r="M68" s="5" t="str">
        <f>_xlfn.XLOOKUP(Logs_Reseau6[[#This Row],[Id_Client]],Clients_Churn[ID_Client],Clients_Churn[Anciennete_Mois],"Rien à signaler")</f>
        <v>Rien à signaler</v>
      </c>
      <c r="N68" s="5" t="e">
        <f>Logs_Reseau6[[#This Row],[Anciennette]]/24</f>
        <v>#VALUE!</v>
      </c>
      <c r="O68" s="5" t="e">
        <f>Logs_Reseau6[[#This Row],[Duree_Cumulée_Panne]]/1440</f>
        <v>#VALUE!</v>
      </c>
      <c r="P6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9" spans="1:16" hidden="1" x14ac:dyDescent="0.25">
      <c r="A69" s="2">
        <v>45211</v>
      </c>
      <c r="B69" s="1">
        <v>0.14722222222222223</v>
      </c>
      <c r="C69" t="s">
        <v>1566</v>
      </c>
      <c r="D69">
        <v>89</v>
      </c>
      <c r="E69" t="s">
        <v>1303</v>
      </c>
      <c r="F69" t="str">
        <f>_xlfn.XLOOKUP(Logs_Reseau6[[#This Row],[Cell_ID]],Registre[ID_Antenne],Registre[Province_RDC],"Non Trouvée")</f>
        <v>Non Trouvée</v>
      </c>
      <c r="G69" t="str">
        <f>_xlfn.XLOOKUP(Logs_Reseau6[[#This Row],[Province]],Clients_Churn[Province_Client],Clients_Churn[ID_Client],"Aucun")</f>
        <v>Aucun</v>
      </c>
      <c r="H69" t="str">
        <f>_xlfn.XLOOKUP(Logs_Reseau6[[#This Row],[Cell_ID]],Registre[ID_Antenne],Registre[Technologie],"Rien à signaler")</f>
        <v>Rien à signaler</v>
      </c>
      <c r="I69" t="str">
        <f>_xlfn.XLOOKUP(Logs_Reseau6[[#This Row],[Cell_ID]],Registre[ID_Antenne],Registre[Equipementier],"Non Trouvée")</f>
        <v>Non Trouvée</v>
      </c>
      <c r="J69" t="str">
        <f>_xlfn.XLOOKUP(Logs_Reseau6[[#This Row],[Id_Client]],Clients_Churn[ID_Client],Clients_Churn[Type_Forfait],"Pas d'information")</f>
        <v>Pas d'information</v>
      </c>
      <c r="K69" s="5" t="str">
        <f>IF(Logs_Reseau6[[#This Row],[Type_Forfait]]="Pro Monde","B2B","B2C")</f>
        <v>B2C</v>
      </c>
      <c r="L69" s="5" t="str">
        <f>_xlfn.XLOOKUP(Logs_Reseau6[[#This Row],[Id_Client]],Clients_Churn[ID_Client],Clients_Churn[Duree_Cumulee_Panne_Min],"Non Trouvée")</f>
        <v>Non Trouvée</v>
      </c>
      <c r="M69" s="5" t="str">
        <f>_xlfn.XLOOKUP(Logs_Reseau6[[#This Row],[Id_Client]],Clients_Churn[ID_Client],Clients_Churn[Anciennete_Mois],"Rien à signaler")</f>
        <v>Rien à signaler</v>
      </c>
      <c r="N69" s="5" t="e">
        <f>Logs_Reseau6[[#This Row],[Anciennette]]/24</f>
        <v>#VALUE!</v>
      </c>
      <c r="O69" s="5" t="e">
        <f>Logs_Reseau6[[#This Row],[Duree_Cumulée_Panne]]/1440</f>
        <v>#VALUE!</v>
      </c>
      <c r="P6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0" spans="1:16" x14ac:dyDescent="0.25">
      <c r="A70" s="2">
        <v>45211</v>
      </c>
      <c r="B70" s="1">
        <v>6.3888888888888884E-2</v>
      </c>
      <c r="C70" t="s">
        <v>1148</v>
      </c>
      <c r="D70">
        <v>6</v>
      </c>
      <c r="E70" t="s">
        <v>1305</v>
      </c>
      <c r="F70" t="str">
        <f>_xlfn.XLOOKUP(Logs_Reseau6[[#This Row],[Cell_ID]],Registre[ID_Antenne],Registre[Province_RDC],"Non Trouvée")</f>
        <v>Kasai-Oriental</v>
      </c>
      <c r="G70" t="str">
        <f>_xlfn.XLOOKUP(Logs_Reseau6[[#This Row],[Province]],Clients_Churn[Province_Client],Clients_Churn[ID_Client],"Aucun")</f>
        <v>CLI-00107</v>
      </c>
      <c r="H70" t="str">
        <f>_xlfn.XLOOKUP(Logs_Reseau6[[#This Row],[Cell_ID]],Registre[ID_Antenne],Registre[Technologie],"Rien à signaler")</f>
        <v>5G</v>
      </c>
      <c r="I70" t="str">
        <f>_xlfn.XLOOKUP(Logs_Reseau6[[#This Row],[Cell_ID]],Registre[ID_Antenne],Registre[Equipementier],"Non Trouvée")</f>
        <v>Huawei</v>
      </c>
      <c r="J70" t="str">
        <f>_xlfn.XLOOKUP(Logs_Reseau6[[#This Row],[Id_Client]],Clients_Churn[ID_Client],Clients_Churn[Type_Forfait],"Pas d'information")</f>
        <v>Premium 5G 150Go</v>
      </c>
      <c r="K70" s="5" t="str">
        <f>IF(Logs_Reseau6[[#This Row],[Type_Forfait]]="Pro Monde","B2B","B2C")</f>
        <v>B2C</v>
      </c>
      <c r="L70" s="5">
        <f>_xlfn.XLOOKUP(Logs_Reseau6[[#This Row],[Id_Client]],Clients_Churn[ID_Client],Clients_Churn[Duree_Cumulee_Panne_Min],"Non Trouvée")</f>
        <v>88</v>
      </c>
      <c r="M70" s="5">
        <f>_xlfn.XLOOKUP(Logs_Reseau6[[#This Row],[Id_Client]],Clients_Churn[ID_Client],Clients_Churn[Anciennete_Mois],"Rien à signaler")</f>
        <v>82</v>
      </c>
      <c r="N70" s="11">
        <f>Logs_Reseau6[[#This Row],[Anciennette]]/24</f>
        <v>3.4166666666666665</v>
      </c>
      <c r="O70" s="1">
        <f>Logs_Reseau6[[#This Row],[Duree_Cumulée_Panne]]/1440</f>
        <v>6.1111111111111109E-2</v>
      </c>
      <c r="P7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1" spans="1:16" hidden="1" x14ac:dyDescent="0.25">
      <c r="A71" s="2">
        <v>45221</v>
      </c>
      <c r="B71" s="1">
        <v>0.48194444444444445</v>
      </c>
      <c r="C71" t="s">
        <v>1424</v>
      </c>
      <c r="D71">
        <v>80</v>
      </c>
      <c r="E71" t="s">
        <v>1305</v>
      </c>
      <c r="F71" t="str">
        <f>_xlfn.XLOOKUP(Logs_Reseau6[[#This Row],[Cell_ID]],Registre[ID_Antenne],Registre[Province_RDC],"Non Trouvée")</f>
        <v>Non Trouvée</v>
      </c>
      <c r="G71" t="str">
        <f>_xlfn.XLOOKUP(Logs_Reseau6[[#This Row],[Province]],Clients_Churn[Province_Client],Clients_Churn[ID_Client],"Aucun")</f>
        <v>Aucun</v>
      </c>
      <c r="H71" t="str">
        <f>_xlfn.XLOOKUP(Logs_Reseau6[[#This Row],[Cell_ID]],Registre[ID_Antenne],Registre[Technologie],"Rien à signaler")</f>
        <v>Rien à signaler</v>
      </c>
      <c r="I71" t="str">
        <f>_xlfn.XLOOKUP(Logs_Reseau6[[#This Row],[Cell_ID]],Registre[ID_Antenne],Registre[Equipementier],"Non Trouvée")</f>
        <v>Non Trouvée</v>
      </c>
      <c r="J71" t="str">
        <f>_xlfn.XLOOKUP(Logs_Reseau6[[#This Row],[Id_Client]],Clients_Churn[ID_Client],Clients_Churn[Type_Forfait],"Pas d'information")</f>
        <v>Pas d'information</v>
      </c>
      <c r="K71" s="5" t="str">
        <f>IF(Logs_Reseau6[[#This Row],[Type_Forfait]]="Pro Monde","B2B","B2C")</f>
        <v>B2C</v>
      </c>
      <c r="L71" s="5" t="str">
        <f>_xlfn.XLOOKUP(Logs_Reseau6[[#This Row],[Id_Client]],Clients_Churn[ID_Client],Clients_Churn[Duree_Cumulee_Panne_Min],"Non Trouvée")</f>
        <v>Non Trouvée</v>
      </c>
      <c r="M71" s="5" t="str">
        <f>_xlfn.XLOOKUP(Logs_Reseau6[[#This Row],[Id_Client]],Clients_Churn[ID_Client],Clients_Churn[Anciennete_Mois],"Rien à signaler")</f>
        <v>Rien à signaler</v>
      </c>
      <c r="N71" s="5" t="e">
        <f>Logs_Reseau6[[#This Row],[Anciennette]]/24</f>
        <v>#VALUE!</v>
      </c>
      <c r="O71" s="5" t="e">
        <f>Logs_Reseau6[[#This Row],[Duree_Cumulée_Panne]]/1440</f>
        <v>#VALUE!</v>
      </c>
      <c r="P7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2" spans="1:16" hidden="1" x14ac:dyDescent="0.25">
      <c r="A72" s="2">
        <v>45212</v>
      </c>
      <c r="B72" s="1">
        <v>0.87986111111111109</v>
      </c>
      <c r="C72" t="s">
        <v>1460</v>
      </c>
      <c r="D72">
        <v>99</v>
      </c>
      <c r="E72" t="s">
        <v>1300</v>
      </c>
      <c r="F72" t="str">
        <f>_xlfn.XLOOKUP(Logs_Reseau6[[#This Row],[Cell_ID]],Registre[ID_Antenne],Registre[Province_RDC],"Non Trouvée")</f>
        <v>Non Trouvée</v>
      </c>
      <c r="G72" t="str">
        <f>_xlfn.XLOOKUP(Logs_Reseau6[[#This Row],[Province]],Clients_Churn[Province_Client],Clients_Churn[ID_Client],"Aucun")</f>
        <v>Aucun</v>
      </c>
      <c r="H72" t="str">
        <f>_xlfn.XLOOKUP(Logs_Reseau6[[#This Row],[Cell_ID]],Registre[ID_Antenne],Registre[Technologie],"Rien à signaler")</f>
        <v>Rien à signaler</v>
      </c>
      <c r="I72" t="str">
        <f>_xlfn.XLOOKUP(Logs_Reseau6[[#This Row],[Cell_ID]],Registre[ID_Antenne],Registre[Equipementier],"Non Trouvée")</f>
        <v>Non Trouvée</v>
      </c>
      <c r="J72" t="str">
        <f>_xlfn.XLOOKUP(Logs_Reseau6[[#This Row],[Id_Client]],Clients_Churn[ID_Client],Clients_Churn[Type_Forfait],"Pas d'information")</f>
        <v>Pas d'information</v>
      </c>
      <c r="K72" s="5" t="str">
        <f>IF(Logs_Reseau6[[#This Row],[Type_Forfait]]="Pro Monde","B2B","B2C")</f>
        <v>B2C</v>
      </c>
      <c r="L72" s="5" t="str">
        <f>_xlfn.XLOOKUP(Logs_Reseau6[[#This Row],[Id_Client]],Clients_Churn[ID_Client],Clients_Churn[Duree_Cumulee_Panne_Min],"Non Trouvée")</f>
        <v>Non Trouvée</v>
      </c>
      <c r="M72" s="5" t="str">
        <f>_xlfn.XLOOKUP(Logs_Reseau6[[#This Row],[Id_Client]],Clients_Churn[ID_Client],Clients_Churn[Anciennete_Mois],"Rien à signaler")</f>
        <v>Rien à signaler</v>
      </c>
      <c r="N72" s="5" t="e">
        <f>Logs_Reseau6[[#This Row],[Anciennette]]/24</f>
        <v>#VALUE!</v>
      </c>
      <c r="O72" s="5" t="e">
        <f>Logs_Reseau6[[#This Row],[Duree_Cumulée_Panne]]/1440</f>
        <v>#VALUE!</v>
      </c>
      <c r="P7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3" spans="1:16" hidden="1" x14ac:dyDescent="0.25">
      <c r="A73" s="2">
        <v>45220</v>
      </c>
      <c r="B73" s="1">
        <v>0.26250000000000001</v>
      </c>
      <c r="C73" t="s">
        <v>1460</v>
      </c>
      <c r="D73">
        <v>96</v>
      </c>
      <c r="E73" t="s">
        <v>1300</v>
      </c>
      <c r="F73" t="str">
        <f>_xlfn.XLOOKUP(Logs_Reseau6[[#This Row],[Cell_ID]],Registre[ID_Antenne],Registre[Province_RDC],"Non Trouvée")</f>
        <v>Non Trouvée</v>
      </c>
      <c r="G73" t="str">
        <f>_xlfn.XLOOKUP(Logs_Reseau6[[#This Row],[Province]],Clients_Churn[Province_Client],Clients_Churn[ID_Client],"Aucun")</f>
        <v>Aucun</v>
      </c>
      <c r="H73" t="str">
        <f>_xlfn.XLOOKUP(Logs_Reseau6[[#This Row],[Cell_ID]],Registre[ID_Antenne],Registre[Technologie],"Rien à signaler")</f>
        <v>Rien à signaler</v>
      </c>
      <c r="I73" t="str">
        <f>_xlfn.XLOOKUP(Logs_Reseau6[[#This Row],[Cell_ID]],Registre[ID_Antenne],Registre[Equipementier],"Non Trouvée")</f>
        <v>Non Trouvée</v>
      </c>
      <c r="J73" t="str">
        <f>_xlfn.XLOOKUP(Logs_Reseau6[[#This Row],[Id_Client]],Clients_Churn[ID_Client],Clients_Churn[Type_Forfait],"Pas d'information")</f>
        <v>Pas d'information</v>
      </c>
      <c r="K73" s="5" t="str">
        <f>IF(Logs_Reseau6[[#This Row],[Type_Forfait]]="Pro Monde","B2B","B2C")</f>
        <v>B2C</v>
      </c>
      <c r="L73" s="5" t="str">
        <f>_xlfn.XLOOKUP(Logs_Reseau6[[#This Row],[Id_Client]],Clients_Churn[ID_Client],Clients_Churn[Duree_Cumulee_Panne_Min],"Non Trouvée")</f>
        <v>Non Trouvée</v>
      </c>
      <c r="M73" s="5" t="str">
        <f>_xlfn.XLOOKUP(Logs_Reseau6[[#This Row],[Id_Client]],Clients_Churn[ID_Client],Clients_Churn[Anciennete_Mois],"Rien à signaler")</f>
        <v>Rien à signaler</v>
      </c>
      <c r="N73" s="5" t="e">
        <f>Logs_Reseau6[[#This Row],[Anciennette]]/24</f>
        <v>#VALUE!</v>
      </c>
      <c r="O73" s="5" t="e">
        <f>Logs_Reseau6[[#This Row],[Duree_Cumulée_Panne]]/1440</f>
        <v>#VALUE!</v>
      </c>
      <c r="P7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4" spans="1:16" x14ac:dyDescent="0.25">
      <c r="A74" s="2">
        <v>45207</v>
      </c>
      <c r="B74" s="1">
        <v>0.70138888888888884</v>
      </c>
      <c r="C74" t="s">
        <v>1232</v>
      </c>
      <c r="D74">
        <v>27</v>
      </c>
      <c r="E74" t="s">
        <v>1305</v>
      </c>
      <c r="F74" t="str">
        <f>_xlfn.XLOOKUP(Logs_Reseau6[[#This Row],[Cell_ID]],Registre[ID_Antenne],Registre[Province_RDC],"Non Trouvée")</f>
        <v>Sankuru</v>
      </c>
      <c r="G74" t="str">
        <f>_xlfn.XLOOKUP(Logs_Reseau6[[#This Row],[Province]],Clients_Churn[Province_Client],Clients_Churn[ID_Client],"Aucun")</f>
        <v>CLI-00197</v>
      </c>
      <c r="H74" t="str">
        <f>_xlfn.XLOOKUP(Logs_Reseau6[[#This Row],[Cell_ID]],Registre[ID_Antenne],Registre[Technologie],"Rien à signaler")</f>
        <v>4G</v>
      </c>
      <c r="I74" t="str">
        <f>_xlfn.XLOOKUP(Logs_Reseau6[[#This Row],[Cell_ID]],Registre[ID_Antenne],Registre[Equipementier],"Non Trouvée")</f>
        <v>Nokia</v>
      </c>
      <c r="J74" t="str">
        <f>_xlfn.XLOOKUP(Logs_Reseau6[[#This Row],[Id_Client]],Clients_Churn[ID_Client],Clients_Churn[Type_Forfait],"Pas d'information")</f>
        <v>Illimité 50Go</v>
      </c>
      <c r="K74" s="5" t="str">
        <f>IF(Logs_Reseau6[[#This Row],[Type_Forfait]]="Pro Monde","B2B","B2C")</f>
        <v>B2C</v>
      </c>
      <c r="L74" s="5">
        <f>_xlfn.XLOOKUP(Logs_Reseau6[[#This Row],[Id_Client]],Clients_Churn[ID_Client],Clients_Churn[Duree_Cumulee_Panne_Min],"Non Trouvée")</f>
        <v>84</v>
      </c>
      <c r="M74" s="5">
        <f>_xlfn.XLOOKUP(Logs_Reseau6[[#This Row],[Id_Client]],Clients_Churn[ID_Client],Clients_Churn[Anciennete_Mois],"Rien à signaler")</f>
        <v>109</v>
      </c>
      <c r="N74" s="11">
        <f>Logs_Reseau6[[#This Row],[Anciennette]]/24</f>
        <v>4.541666666666667</v>
      </c>
      <c r="O74" s="1">
        <f>Logs_Reseau6[[#This Row],[Duree_Cumulée_Panne]]/1440</f>
        <v>5.8333333333333334E-2</v>
      </c>
      <c r="P7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5" spans="1:16" x14ac:dyDescent="0.25">
      <c r="A75" s="2">
        <v>45209</v>
      </c>
      <c r="B75" s="1">
        <v>0.55833333333333335</v>
      </c>
      <c r="C75" t="s">
        <v>1022</v>
      </c>
      <c r="D75">
        <v>66</v>
      </c>
      <c r="E75" t="s">
        <v>1303</v>
      </c>
      <c r="F75" t="str">
        <f>_xlfn.XLOOKUP(Logs_Reseau6[[#This Row],[Cell_ID]],Registre[ID_Antenne],Registre[Province_RDC],"Non Trouvée")</f>
        <v>Ituri</v>
      </c>
      <c r="G75" t="str">
        <f>_xlfn.XLOOKUP(Logs_Reseau6[[#This Row],[Province]],Clients_Churn[Province_Client],Clients_Churn[ID_Client],"Aucun")</f>
        <v>CLI-00041</v>
      </c>
      <c r="H75" t="str">
        <f>_xlfn.XLOOKUP(Logs_Reseau6[[#This Row],[Cell_ID]],Registre[ID_Antenne],Registre[Technologie],"Rien à signaler")</f>
        <v>4G</v>
      </c>
      <c r="I75" t="str">
        <f>_xlfn.XLOOKUP(Logs_Reseau6[[#This Row],[Cell_ID]],Registre[ID_Antenne],Registre[Equipementier],"Non Trouvée")</f>
        <v>Huawei</v>
      </c>
      <c r="J75" t="str">
        <f>_xlfn.XLOOKUP(Logs_Reseau6[[#This Row],[Id_Client]],Clients_Churn[ID_Client],Clients_Churn[Type_Forfait],"Pas d'information")</f>
        <v>Pro Monde</v>
      </c>
      <c r="K75" s="5" t="str">
        <f>IF(Logs_Reseau6[[#This Row],[Type_Forfait]]="Pro Monde","B2B","B2C")</f>
        <v>B2B</v>
      </c>
      <c r="L75" s="5">
        <f>_xlfn.XLOOKUP(Logs_Reseau6[[#This Row],[Id_Client]],Clients_Churn[ID_Client],Clients_Churn[Duree_Cumulee_Panne_Min],"Non Trouvée")</f>
        <v>105</v>
      </c>
      <c r="M75" s="5">
        <f>_xlfn.XLOOKUP(Logs_Reseau6[[#This Row],[Id_Client]],Clients_Churn[ID_Client],Clients_Churn[Anciennete_Mois],"Rien à signaler")</f>
        <v>103</v>
      </c>
      <c r="N75" s="11">
        <f>Logs_Reseau6[[#This Row],[Anciennette]]/24</f>
        <v>4.291666666666667</v>
      </c>
      <c r="O75" s="1">
        <f>Logs_Reseau6[[#This Row],[Duree_Cumulée_Panne]]/1440</f>
        <v>7.2916666666666671E-2</v>
      </c>
      <c r="P7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6" spans="1:16" hidden="1" x14ac:dyDescent="0.25">
      <c r="A76" s="2">
        <v>45221</v>
      </c>
      <c r="B76" s="1">
        <v>0.58333333333333337</v>
      </c>
      <c r="C76" t="s">
        <v>1549</v>
      </c>
      <c r="D76">
        <v>106</v>
      </c>
      <c r="E76" t="s">
        <v>1305</v>
      </c>
      <c r="F76" t="str">
        <f>_xlfn.XLOOKUP(Logs_Reseau6[[#This Row],[Cell_ID]],Registre[ID_Antenne],Registre[Province_RDC],"Non Trouvée")</f>
        <v>Non Trouvée</v>
      </c>
      <c r="G76" t="str">
        <f>_xlfn.XLOOKUP(Logs_Reseau6[[#This Row],[Province]],Clients_Churn[Province_Client],Clients_Churn[ID_Client],"Aucun")</f>
        <v>Aucun</v>
      </c>
      <c r="H76" t="str">
        <f>_xlfn.XLOOKUP(Logs_Reseau6[[#This Row],[Cell_ID]],Registre[ID_Antenne],Registre[Technologie],"Rien à signaler")</f>
        <v>Rien à signaler</v>
      </c>
      <c r="I76" t="str">
        <f>_xlfn.XLOOKUP(Logs_Reseau6[[#This Row],[Cell_ID]],Registre[ID_Antenne],Registre[Equipementier],"Non Trouvée")</f>
        <v>Non Trouvée</v>
      </c>
      <c r="J76" t="str">
        <f>_xlfn.XLOOKUP(Logs_Reseau6[[#This Row],[Id_Client]],Clients_Churn[ID_Client],Clients_Churn[Type_Forfait],"Pas d'information")</f>
        <v>Pas d'information</v>
      </c>
      <c r="K76" s="5" t="str">
        <f>IF(Logs_Reseau6[[#This Row],[Type_Forfait]]="Pro Monde","B2B","B2C")</f>
        <v>B2C</v>
      </c>
      <c r="L76" s="5" t="str">
        <f>_xlfn.XLOOKUP(Logs_Reseau6[[#This Row],[Id_Client]],Clients_Churn[ID_Client],Clients_Churn[Duree_Cumulee_Panne_Min],"Non Trouvée")</f>
        <v>Non Trouvée</v>
      </c>
      <c r="M76" s="5" t="str">
        <f>_xlfn.XLOOKUP(Logs_Reseau6[[#This Row],[Id_Client]],Clients_Churn[ID_Client],Clients_Churn[Anciennete_Mois],"Rien à signaler")</f>
        <v>Rien à signaler</v>
      </c>
      <c r="N76" s="5" t="e">
        <f>Logs_Reseau6[[#This Row],[Anciennette]]/24</f>
        <v>#VALUE!</v>
      </c>
      <c r="O76" s="5" t="e">
        <f>Logs_Reseau6[[#This Row],[Duree_Cumulée_Panne]]/1440</f>
        <v>#VALUE!</v>
      </c>
      <c r="P7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7" spans="1:16" x14ac:dyDescent="0.25">
      <c r="A77" s="2">
        <v>45208</v>
      </c>
      <c r="B77" s="1">
        <v>0.55833333333333335</v>
      </c>
      <c r="C77" t="s">
        <v>1212</v>
      </c>
      <c r="D77">
        <v>44</v>
      </c>
      <c r="E77" t="s">
        <v>1305</v>
      </c>
      <c r="F77" t="str">
        <f>_xlfn.XLOOKUP(Logs_Reseau6[[#This Row],[Cell_ID]],Registre[ID_Antenne],Registre[Province_RDC],"Non Trouvée")</f>
        <v>Kasai-Central</v>
      </c>
      <c r="G77" t="str">
        <f>_xlfn.XLOOKUP(Logs_Reseau6[[#This Row],[Province]],Clients_Churn[Province_Client],Clients_Churn[ID_Client],"Aucun")</f>
        <v>CLI-00060</v>
      </c>
      <c r="H77" t="str">
        <f>_xlfn.XLOOKUP(Logs_Reseau6[[#This Row],[Cell_ID]],Registre[ID_Antenne],Registre[Technologie],"Rien à signaler")</f>
        <v>5G</v>
      </c>
      <c r="I77" t="str">
        <f>_xlfn.XLOOKUP(Logs_Reseau6[[#This Row],[Cell_ID]],Registre[ID_Antenne],Registre[Equipementier],"Non Trouvée")</f>
        <v>Huawei</v>
      </c>
      <c r="J77" t="str">
        <f>_xlfn.XLOOKUP(Logs_Reseau6[[#This Row],[Id_Client]],Clients_Churn[ID_Client],Clients_Churn[Type_Forfait],"Pas d'information")</f>
        <v>Pro Monde</v>
      </c>
      <c r="K77" s="5" t="str">
        <f>IF(Logs_Reseau6[[#This Row],[Type_Forfait]]="Pro Monde","B2B","B2C")</f>
        <v>B2B</v>
      </c>
      <c r="L77" s="5">
        <f>_xlfn.XLOOKUP(Logs_Reseau6[[#This Row],[Id_Client]],Clients_Churn[ID_Client],Clients_Churn[Duree_Cumulee_Panne_Min],"Non Trouvée")</f>
        <v>160</v>
      </c>
      <c r="M77" s="5">
        <f>_xlfn.XLOOKUP(Logs_Reseau6[[#This Row],[Id_Client]],Clients_Churn[ID_Client],Clients_Churn[Anciennete_Mois],"Rien à signaler")</f>
        <v>72</v>
      </c>
      <c r="N77" s="11">
        <f>Logs_Reseau6[[#This Row],[Anciennette]]/24</f>
        <v>3</v>
      </c>
      <c r="O77" s="1">
        <f>Logs_Reseau6[[#This Row],[Duree_Cumulée_Panne]]/1440</f>
        <v>0.1111111111111111</v>
      </c>
      <c r="P7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8" spans="1:16" x14ac:dyDescent="0.25">
      <c r="A78" s="2">
        <v>45225</v>
      </c>
      <c r="B78" s="1">
        <v>0.22083333333333333</v>
      </c>
      <c r="C78" t="s">
        <v>1212</v>
      </c>
      <c r="D78">
        <v>104</v>
      </c>
      <c r="E78" t="s">
        <v>1303</v>
      </c>
      <c r="F78" t="str">
        <f>_xlfn.XLOOKUP(Logs_Reseau6[[#This Row],[Cell_ID]],Registre[ID_Antenne],Registre[Province_RDC],"Non Trouvée")</f>
        <v>Kasai-Central</v>
      </c>
      <c r="G78" t="str">
        <f>_xlfn.XLOOKUP(Logs_Reseau6[[#This Row],[Province]],Clients_Churn[Province_Client],Clients_Churn[ID_Client],"Aucun")</f>
        <v>CLI-00060</v>
      </c>
      <c r="H78" t="str">
        <f>_xlfn.XLOOKUP(Logs_Reseau6[[#This Row],[Cell_ID]],Registre[ID_Antenne],Registre[Technologie],"Rien à signaler")</f>
        <v>5G</v>
      </c>
      <c r="I78" t="str">
        <f>_xlfn.XLOOKUP(Logs_Reseau6[[#This Row],[Cell_ID]],Registre[ID_Antenne],Registre[Equipementier],"Non Trouvée")</f>
        <v>Huawei</v>
      </c>
      <c r="J78" t="str">
        <f>_xlfn.XLOOKUP(Logs_Reseau6[[#This Row],[Id_Client]],Clients_Churn[ID_Client],Clients_Churn[Type_Forfait],"Pas d'information")</f>
        <v>Pro Monde</v>
      </c>
      <c r="K78" s="5" t="str">
        <f>IF(Logs_Reseau6[[#This Row],[Type_Forfait]]="Pro Monde","B2B","B2C")</f>
        <v>B2B</v>
      </c>
      <c r="L78" s="5">
        <f>_xlfn.XLOOKUP(Logs_Reseau6[[#This Row],[Id_Client]],Clients_Churn[ID_Client],Clients_Churn[Duree_Cumulee_Panne_Min],"Non Trouvée")</f>
        <v>160</v>
      </c>
      <c r="M78" s="5">
        <f>_xlfn.XLOOKUP(Logs_Reseau6[[#This Row],[Id_Client]],Clients_Churn[ID_Client],Clients_Churn[Anciennete_Mois],"Rien à signaler")</f>
        <v>72</v>
      </c>
      <c r="N78" s="11">
        <f>Logs_Reseau6[[#This Row],[Anciennette]]/24</f>
        <v>3</v>
      </c>
      <c r="O78" s="1">
        <f>Logs_Reseau6[[#This Row],[Duree_Cumulée_Panne]]/1440</f>
        <v>0.1111111111111111</v>
      </c>
      <c r="P7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9" spans="1:16" hidden="1" x14ac:dyDescent="0.25">
      <c r="A79" s="2">
        <v>45204</v>
      </c>
      <c r="B79" s="1">
        <v>0.57013888888888886</v>
      </c>
      <c r="C79" t="s">
        <v>1420</v>
      </c>
      <c r="D79">
        <v>13</v>
      </c>
      <c r="E79" t="s">
        <v>1305</v>
      </c>
      <c r="F79" t="str">
        <f>_xlfn.XLOOKUP(Logs_Reseau6[[#This Row],[Cell_ID]],Registre[ID_Antenne],Registre[Province_RDC],"Non Trouvée")</f>
        <v>Non Trouvée</v>
      </c>
      <c r="G79" t="str">
        <f>_xlfn.XLOOKUP(Logs_Reseau6[[#This Row],[Province]],Clients_Churn[Province_Client],Clients_Churn[ID_Client],"Aucun")</f>
        <v>Aucun</v>
      </c>
      <c r="H79" t="str">
        <f>_xlfn.XLOOKUP(Logs_Reseau6[[#This Row],[Cell_ID]],Registre[ID_Antenne],Registre[Technologie],"Rien à signaler")</f>
        <v>Rien à signaler</v>
      </c>
      <c r="I79" t="str">
        <f>_xlfn.XLOOKUP(Logs_Reseau6[[#This Row],[Cell_ID]],Registre[ID_Antenne],Registre[Equipementier],"Non Trouvée")</f>
        <v>Non Trouvée</v>
      </c>
      <c r="J79" t="str">
        <f>_xlfn.XLOOKUP(Logs_Reseau6[[#This Row],[Id_Client]],Clients_Churn[ID_Client],Clients_Churn[Type_Forfait],"Pas d'information")</f>
        <v>Pas d'information</v>
      </c>
      <c r="K79" s="5" t="str">
        <f>IF(Logs_Reseau6[[#This Row],[Type_Forfait]]="Pro Monde","B2B","B2C")</f>
        <v>B2C</v>
      </c>
      <c r="L79" s="5" t="str">
        <f>_xlfn.XLOOKUP(Logs_Reseau6[[#This Row],[Id_Client]],Clients_Churn[ID_Client],Clients_Churn[Duree_Cumulee_Panne_Min],"Non Trouvée")</f>
        <v>Non Trouvée</v>
      </c>
      <c r="M79" s="5" t="str">
        <f>_xlfn.XLOOKUP(Logs_Reseau6[[#This Row],[Id_Client]],Clients_Churn[ID_Client],Clients_Churn[Anciennete_Mois],"Rien à signaler")</f>
        <v>Rien à signaler</v>
      </c>
      <c r="N79" s="5" t="e">
        <f>Logs_Reseau6[[#This Row],[Anciennette]]/24</f>
        <v>#VALUE!</v>
      </c>
      <c r="O79" s="5" t="e">
        <f>Logs_Reseau6[[#This Row],[Duree_Cumulée_Panne]]/1440</f>
        <v>#VALUE!</v>
      </c>
      <c r="P7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0" spans="1:16" hidden="1" x14ac:dyDescent="0.25">
      <c r="A80" s="2">
        <v>45210</v>
      </c>
      <c r="B80" s="1">
        <v>0.30972222222222223</v>
      </c>
      <c r="C80" t="s">
        <v>1455</v>
      </c>
      <c r="D80">
        <v>47</v>
      </c>
      <c r="E80" t="s">
        <v>1303</v>
      </c>
      <c r="F80" t="str">
        <f>_xlfn.XLOOKUP(Logs_Reseau6[[#This Row],[Cell_ID]],Registre[ID_Antenne],Registre[Province_RDC],"Non Trouvée")</f>
        <v>Non Trouvée</v>
      </c>
      <c r="G80" t="str">
        <f>_xlfn.XLOOKUP(Logs_Reseau6[[#This Row],[Province]],Clients_Churn[Province_Client],Clients_Churn[ID_Client],"Aucun")</f>
        <v>Aucun</v>
      </c>
      <c r="H80" t="str">
        <f>_xlfn.XLOOKUP(Logs_Reseau6[[#This Row],[Cell_ID]],Registre[ID_Antenne],Registre[Technologie],"Rien à signaler")</f>
        <v>Rien à signaler</v>
      </c>
      <c r="I80" t="str">
        <f>_xlfn.XLOOKUP(Logs_Reseau6[[#This Row],[Cell_ID]],Registre[ID_Antenne],Registre[Equipementier],"Non Trouvée")</f>
        <v>Non Trouvée</v>
      </c>
      <c r="J80" t="str">
        <f>_xlfn.XLOOKUP(Logs_Reseau6[[#This Row],[Id_Client]],Clients_Churn[ID_Client],Clients_Churn[Type_Forfait],"Pas d'information")</f>
        <v>Pas d'information</v>
      </c>
      <c r="K80" s="5" t="str">
        <f>IF(Logs_Reseau6[[#This Row],[Type_Forfait]]="Pro Monde","B2B","B2C")</f>
        <v>B2C</v>
      </c>
      <c r="L80" s="5" t="str">
        <f>_xlfn.XLOOKUP(Logs_Reseau6[[#This Row],[Id_Client]],Clients_Churn[ID_Client],Clients_Churn[Duree_Cumulee_Panne_Min],"Non Trouvée")</f>
        <v>Non Trouvée</v>
      </c>
      <c r="M80" s="5" t="str">
        <f>_xlfn.XLOOKUP(Logs_Reseau6[[#This Row],[Id_Client]],Clients_Churn[ID_Client],Clients_Churn[Anciennete_Mois],"Rien à signaler")</f>
        <v>Rien à signaler</v>
      </c>
      <c r="N80" s="5" t="e">
        <f>Logs_Reseau6[[#This Row],[Anciennette]]/24</f>
        <v>#VALUE!</v>
      </c>
      <c r="O80" s="5" t="e">
        <f>Logs_Reseau6[[#This Row],[Duree_Cumulée_Panne]]/1440</f>
        <v>#VALUE!</v>
      </c>
      <c r="P8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1" spans="1:16" hidden="1" x14ac:dyDescent="0.25">
      <c r="A81" s="2">
        <v>45212</v>
      </c>
      <c r="B81" s="1">
        <v>0.62638888888888888</v>
      </c>
      <c r="C81" t="s">
        <v>1455</v>
      </c>
      <c r="D81">
        <v>107</v>
      </c>
      <c r="E81" t="s">
        <v>1303</v>
      </c>
      <c r="F81" t="str">
        <f>_xlfn.XLOOKUP(Logs_Reseau6[[#This Row],[Cell_ID]],Registre[ID_Antenne],Registre[Province_RDC],"Non Trouvée")</f>
        <v>Non Trouvée</v>
      </c>
      <c r="G81" t="str">
        <f>_xlfn.XLOOKUP(Logs_Reseau6[[#This Row],[Province]],Clients_Churn[Province_Client],Clients_Churn[ID_Client],"Aucun")</f>
        <v>Aucun</v>
      </c>
      <c r="H81" t="str">
        <f>_xlfn.XLOOKUP(Logs_Reseau6[[#This Row],[Cell_ID]],Registre[ID_Antenne],Registre[Technologie],"Rien à signaler")</f>
        <v>Rien à signaler</v>
      </c>
      <c r="I81" t="str">
        <f>_xlfn.XLOOKUP(Logs_Reseau6[[#This Row],[Cell_ID]],Registre[ID_Antenne],Registre[Equipementier],"Non Trouvée")</f>
        <v>Non Trouvée</v>
      </c>
      <c r="J81" t="str">
        <f>_xlfn.XLOOKUP(Logs_Reseau6[[#This Row],[Id_Client]],Clients_Churn[ID_Client],Clients_Churn[Type_Forfait],"Pas d'information")</f>
        <v>Pas d'information</v>
      </c>
      <c r="K81" s="5" t="str">
        <f>IF(Logs_Reseau6[[#This Row],[Type_Forfait]]="Pro Monde","B2B","B2C")</f>
        <v>B2C</v>
      </c>
      <c r="L81" s="5" t="str">
        <f>_xlfn.XLOOKUP(Logs_Reseau6[[#This Row],[Id_Client]],Clients_Churn[ID_Client],Clients_Churn[Duree_Cumulee_Panne_Min],"Non Trouvée")</f>
        <v>Non Trouvée</v>
      </c>
      <c r="M81" s="5" t="str">
        <f>_xlfn.XLOOKUP(Logs_Reseau6[[#This Row],[Id_Client]],Clients_Churn[ID_Client],Clients_Churn[Anciennete_Mois],"Rien à signaler")</f>
        <v>Rien à signaler</v>
      </c>
      <c r="N81" s="5" t="e">
        <f>Logs_Reseau6[[#This Row],[Anciennette]]/24</f>
        <v>#VALUE!</v>
      </c>
      <c r="O81" s="5" t="e">
        <f>Logs_Reseau6[[#This Row],[Duree_Cumulée_Panne]]/1440</f>
        <v>#VALUE!</v>
      </c>
      <c r="P8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2" spans="1:16" x14ac:dyDescent="0.25">
      <c r="A82" s="2">
        <v>45216</v>
      </c>
      <c r="B82" s="1">
        <v>0.67361111111111116</v>
      </c>
      <c r="C82" t="s">
        <v>814</v>
      </c>
      <c r="D82">
        <v>117</v>
      </c>
      <c r="E82" t="s">
        <v>1300</v>
      </c>
      <c r="F82" t="str">
        <f>_xlfn.XLOOKUP(Logs_Reseau6[[#This Row],[Cell_ID]],Registre[ID_Antenne],Registre[Province_RDC],"Non Trouvée")</f>
        <v>Sud-Ubangi</v>
      </c>
      <c r="G82" t="str">
        <f>_xlfn.XLOOKUP(Logs_Reseau6[[#This Row],[Province]],Clients_Churn[Province_Client],Clients_Churn[ID_Client],"Aucun")</f>
        <v>CLI-00070</v>
      </c>
      <c r="H82" t="str">
        <f>_xlfn.XLOOKUP(Logs_Reseau6[[#This Row],[Cell_ID]],Registre[ID_Antenne],Registre[Technologie],"Rien à signaler")</f>
        <v>5G</v>
      </c>
      <c r="I82" t="str">
        <f>_xlfn.XLOOKUP(Logs_Reseau6[[#This Row],[Cell_ID]],Registre[ID_Antenne],Registre[Equipementier],"Non Trouvée")</f>
        <v>Ericsson</v>
      </c>
      <c r="J82" t="str">
        <f>_xlfn.XLOOKUP(Logs_Reseau6[[#This Row],[Id_Client]],Clients_Churn[ID_Client],Clients_Churn[Type_Forfait],"Pas d'information")</f>
        <v>Illimité 50Go</v>
      </c>
      <c r="K82" s="5" t="str">
        <f>IF(Logs_Reseau6[[#This Row],[Type_Forfait]]="Pro Monde","B2B","B2C")</f>
        <v>B2C</v>
      </c>
      <c r="L82" s="5">
        <f>_xlfn.XLOOKUP(Logs_Reseau6[[#This Row],[Id_Client]],Clients_Churn[ID_Client],Clients_Churn[Duree_Cumulee_Panne_Min],"Non Trouvée")</f>
        <v>119</v>
      </c>
      <c r="M82" s="5">
        <f>_xlfn.XLOOKUP(Logs_Reseau6[[#This Row],[Id_Client]],Clients_Churn[ID_Client],Clients_Churn[Anciennete_Mois],"Rien à signaler")</f>
        <v>52</v>
      </c>
      <c r="N82" s="11">
        <f>Logs_Reseau6[[#This Row],[Anciennette]]/24</f>
        <v>2.1666666666666665</v>
      </c>
      <c r="O82" s="1">
        <f>Logs_Reseau6[[#This Row],[Duree_Cumulée_Panne]]/1440</f>
        <v>8.2638888888888887E-2</v>
      </c>
      <c r="P8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3" spans="1:16" x14ac:dyDescent="0.25">
      <c r="A83" s="2">
        <v>45221</v>
      </c>
      <c r="B83" s="1">
        <v>0.37638888888888888</v>
      </c>
      <c r="C83" t="s">
        <v>812</v>
      </c>
      <c r="D83">
        <v>59</v>
      </c>
      <c r="E83" t="s">
        <v>1305</v>
      </c>
      <c r="F83" t="str">
        <f>_xlfn.XLOOKUP(Logs_Reseau6[[#This Row],[Cell_ID]],Registre[ID_Antenne],Registre[Province_RDC],"Non Trouvée")</f>
        <v>Maniema</v>
      </c>
      <c r="G83" t="str">
        <f>_xlfn.XLOOKUP(Logs_Reseau6[[#This Row],[Province]],Clients_Churn[Province_Client],Clients_Churn[ID_Client],"Aucun")</f>
        <v>CLI-00039</v>
      </c>
      <c r="H83" t="str">
        <f>_xlfn.XLOOKUP(Logs_Reseau6[[#This Row],[Cell_ID]],Registre[ID_Antenne],Registre[Technologie],"Rien à signaler")</f>
        <v>5G</v>
      </c>
      <c r="I83" t="str">
        <f>_xlfn.XLOOKUP(Logs_Reseau6[[#This Row],[Cell_ID]],Registre[ID_Antenne],Registre[Equipementier],"Non Trouvée")</f>
        <v>Ericsson</v>
      </c>
      <c r="J83" t="str">
        <f>_xlfn.XLOOKUP(Logs_Reseau6[[#This Row],[Id_Client]],Clients_Churn[ID_Client],Clients_Churn[Type_Forfait],"Pas d'information")</f>
        <v>Pro Monde</v>
      </c>
      <c r="K83" s="5" t="str">
        <f>IF(Logs_Reseau6[[#This Row],[Type_Forfait]]="Pro Monde","B2B","B2C")</f>
        <v>B2B</v>
      </c>
      <c r="L83" s="5">
        <f>_xlfn.XLOOKUP(Logs_Reseau6[[#This Row],[Id_Client]],Clients_Churn[ID_Client],Clients_Churn[Duree_Cumulee_Panne_Min],"Non Trouvée")</f>
        <v>31</v>
      </c>
      <c r="M83" s="5">
        <f>_xlfn.XLOOKUP(Logs_Reseau6[[#This Row],[Id_Client]],Clients_Churn[ID_Client],Clients_Churn[Anciennete_Mois],"Rien à signaler")</f>
        <v>119</v>
      </c>
      <c r="N83" s="11">
        <f>Logs_Reseau6[[#This Row],[Anciennette]]/24</f>
        <v>4.958333333333333</v>
      </c>
      <c r="O83" s="1">
        <f>Logs_Reseau6[[#This Row],[Duree_Cumulée_Panne]]/1440</f>
        <v>2.1527777777777778E-2</v>
      </c>
      <c r="P8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4" spans="1:16" x14ac:dyDescent="0.25">
      <c r="A84" s="2">
        <v>45206</v>
      </c>
      <c r="B84" s="1">
        <v>0.1673611111111111</v>
      </c>
      <c r="C84" t="s">
        <v>921</v>
      </c>
      <c r="D84">
        <v>64</v>
      </c>
      <c r="E84" t="s">
        <v>1303</v>
      </c>
      <c r="F84" t="str">
        <f>_xlfn.XLOOKUP(Logs_Reseau6[[#This Row],[Cell_ID]],Registre[ID_Antenne],Registre[Province_RDC],"Non Trouvée")</f>
        <v>Ituri</v>
      </c>
      <c r="G84" t="str">
        <f>_xlfn.XLOOKUP(Logs_Reseau6[[#This Row],[Province]],Clients_Churn[Province_Client],Clients_Churn[ID_Client],"Aucun")</f>
        <v>CLI-00041</v>
      </c>
      <c r="H84" t="str">
        <f>_xlfn.XLOOKUP(Logs_Reseau6[[#This Row],[Cell_ID]],Registre[ID_Antenne],Registre[Technologie],"Rien à signaler")</f>
        <v>4G</v>
      </c>
      <c r="I84" t="str">
        <f>_xlfn.XLOOKUP(Logs_Reseau6[[#This Row],[Cell_ID]],Registre[ID_Antenne],Registre[Equipementier],"Non Trouvée")</f>
        <v>Huawei</v>
      </c>
      <c r="J84" t="str">
        <f>_xlfn.XLOOKUP(Logs_Reseau6[[#This Row],[Id_Client]],Clients_Churn[ID_Client],Clients_Churn[Type_Forfait],"Pas d'information")</f>
        <v>Pro Monde</v>
      </c>
      <c r="K84" s="5" t="str">
        <f>IF(Logs_Reseau6[[#This Row],[Type_Forfait]]="Pro Monde","B2B","B2C")</f>
        <v>B2B</v>
      </c>
      <c r="L84" s="5">
        <f>_xlfn.XLOOKUP(Logs_Reseau6[[#This Row],[Id_Client]],Clients_Churn[ID_Client],Clients_Churn[Duree_Cumulee_Panne_Min],"Non Trouvée")</f>
        <v>105</v>
      </c>
      <c r="M84" s="5">
        <f>_xlfn.XLOOKUP(Logs_Reseau6[[#This Row],[Id_Client]],Clients_Churn[ID_Client],Clients_Churn[Anciennete_Mois],"Rien à signaler")</f>
        <v>103</v>
      </c>
      <c r="N84" s="11">
        <f>Logs_Reseau6[[#This Row],[Anciennette]]/24</f>
        <v>4.291666666666667</v>
      </c>
      <c r="O84" s="1">
        <f>Logs_Reseau6[[#This Row],[Duree_Cumulée_Panne]]/1440</f>
        <v>7.2916666666666671E-2</v>
      </c>
      <c r="P8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5" spans="1:16" x14ac:dyDescent="0.25">
      <c r="A85" s="2">
        <v>45202</v>
      </c>
      <c r="B85" s="1">
        <v>4.791666666666667E-2</v>
      </c>
      <c r="C85" t="s">
        <v>1269</v>
      </c>
      <c r="D85">
        <v>115</v>
      </c>
      <c r="E85" t="s">
        <v>1303</v>
      </c>
      <c r="F85" t="str">
        <f>_xlfn.XLOOKUP(Logs_Reseau6[[#This Row],[Cell_ID]],Registre[ID_Antenne],Registre[Province_RDC],"Non Trouvée")</f>
        <v>Tshuapa</v>
      </c>
      <c r="G85" t="str">
        <f>_xlfn.XLOOKUP(Logs_Reseau6[[#This Row],[Province]],Clients_Churn[Province_Client],Clients_Churn[ID_Client],"Aucun")</f>
        <v>CLI-00033</v>
      </c>
      <c r="H85" t="str">
        <f>_xlfn.XLOOKUP(Logs_Reseau6[[#This Row],[Cell_ID]],Registre[ID_Antenne],Registre[Technologie],"Rien à signaler")</f>
        <v>4G</v>
      </c>
      <c r="I85" t="str">
        <f>_xlfn.XLOOKUP(Logs_Reseau6[[#This Row],[Cell_ID]],Registre[ID_Antenne],Registre[Equipementier],"Non Trouvée")</f>
        <v>ZTE</v>
      </c>
      <c r="J85" t="str">
        <f>_xlfn.XLOOKUP(Logs_Reseau6[[#This Row],[Id_Client]],Clients_Churn[ID_Client],Clients_Churn[Type_Forfait],"Pas d'information")</f>
        <v>Premium 5G 150Go</v>
      </c>
      <c r="K85" s="5" t="str">
        <f>IF(Logs_Reseau6[[#This Row],[Type_Forfait]]="Pro Monde","B2B","B2C")</f>
        <v>B2C</v>
      </c>
      <c r="L85" s="5">
        <f>_xlfn.XLOOKUP(Logs_Reseau6[[#This Row],[Id_Client]],Clients_Churn[ID_Client],Clients_Churn[Duree_Cumulee_Panne_Min],"Non Trouvée")</f>
        <v>201</v>
      </c>
      <c r="M85" s="5">
        <f>_xlfn.XLOOKUP(Logs_Reseau6[[#This Row],[Id_Client]],Clients_Churn[ID_Client],Clients_Churn[Anciennete_Mois],"Rien à signaler")</f>
        <v>2</v>
      </c>
      <c r="N85" s="11">
        <f>Logs_Reseau6[[#This Row],[Anciennette]]/24</f>
        <v>8.3333333333333329E-2</v>
      </c>
      <c r="O85" s="1">
        <f>Logs_Reseau6[[#This Row],[Duree_Cumulée_Panne]]/1440</f>
        <v>0.13958333333333334</v>
      </c>
      <c r="P8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6" spans="1:16" x14ac:dyDescent="0.25">
      <c r="A86" s="2">
        <v>45219</v>
      </c>
      <c r="B86" s="1">
        <v>0.65625</v>
      </c>
      <c r="C86" t="s">
        <v>1269</v>
      </c>
      <c r="D86">
        <v>118</v>
      </c>
      <c r="E86" t="s">
        <v>1303</v>
      </c>
      <c r="F86" t="str">
        <f>_xlfn.XLOOKUP(Logs_Reseau6[[#This Row],[Cell_ID]],Registre[ID_Antenne],Registre[Province_RDC],"Non Trouvée")</f>
        <v>Tshuapa</v>
      </c>
      <c r="G86" t="str">
        <f>_xlfn.XLOOKUP(Logs_Reseau6[[#This Row],[Province]],Clients_Churn[Province_Client],Clients_Churn[ID_Client],"Aucun")</f>
        <v>CLI-00033</v>
      </c>
      <c r="H86" t="str">
        <f>_xlfn.XLOOKUP(Logs_Reseau6[[#This Row],[Cell_ID]],Registre[ID_Antenne],Registre[Technologie],"Rien à signaler")</f>
        <v>4G</v>
      </c>
      <c r="I86" t="str">
        <f>_xlfn.XLOOKUP(Logs_Reseau6[[#This Row],[Cell_ID]],Registre[ID_Antenne],Registre[Equipementier],"Non Trouvée")</f>
        <v>ZTE</v>
      </c>
      <c r="J86" t="str">
        <f>_xlfn.XLOOKUP(Logs_Reseau6[[#This Row],[Id_Client]],Clients_Churn[ID_Client],Clients_Churn[Type_Forfait],"Pas d'information")</f>
        <v>Premium 5G 150Go</v>
      </c>
      <c r="K86" s="5" t="str">
        <f>IF(Logs_Reseau6[[#This Row],[Type_Forfait]]="Pro Monde","B2B","B2C")</f>
        <v>B2C</v>
      </c>
      <c r="L86" s="5">
        <f>_xlfn.XLOOKUP(Logs_Reseau6[[#This Row],[Id_Client]],Clients_Churn[ID_Client],Clients_Churn[Duree_Cumulee_Panne_Min],"Non Trouvée")</f>
        <v>201</v>
      </c>
      <c r="M86" s="5">
        <f>_xlfn.XLOOKUP(Logs_Reseau6[[#This Row],[Id_Client]],Clients_Churn[ID_Client],Clients_Churn[Anciennete_Mois],"Rien à signaler")</f>
        <v>2</v>
      </c>
      <c r="N86" s="11">
        <f>Logs_Reseau6[[#This Row],[Anciennette]]/24</f>
        <v>8.3333333333333329E-2</v>
      </c>
      <c r="O86" s="1">
        <f>Logs_Reseau6[[#This Row],[Duree_Cumulée_Panne]]/1440</f>
        <v>0.13958333333333334</v>
      </c>
      <c r="P8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7" spans="1:16" x14ac:dyDescent="0.25">
      <c r="A87" s="2">
        <v>45225</v>
      </c>
      <c r="B87" s="1">
        <v>0.97916666666666663</v>
      </c>
      <c r="C87" t="s">
        <v>1269</v>
      </c>
      <c r="D87">
        <v>6</v>
      </c>
      <c r="E87" t="s">
        <v>1300</v>
      </c>
      <c r="F87" t="str">
        <f>_xlfn.XLOOKUP(Logs_Reseau6[[#This Row],[Cell_ID]],Registre[ID_Antenne],Registre[Province_RDC],"Non Trouvée")</f>
        <v>Tshuapa</v>
      </c>
      <c r="G87" t="str">
        <f>_xlfn.XLOOKUP(Logs_Reseau6[[#This Row],[Province]],Clients_Churn[Province_Client],Clients_Churn[ID_Client],"Aucun")</f>
        <v>CLI-00033</v>
      </c>
      <c r="H87" t="str">
        <f>_xlfn.XLOOKUP(Logs_Reseau6[[#This Row],[Cell_ID]],Registre[ID_Antenne],Registre[Technologie],"Rien à signaler")</f>
        <v>4G</v>
      </c>
      <c r="I87" t="str">
        <f>_xlfn.XLOOKUP(Logs_Reseau6[[#This Row],[Cell_ID]],Registre[ID_Antenne],Registre[Equipementier],"Non Trouvée")</f>
        <v>ZTE</v>
      </c>
      <c r="J87" t="str">
        <f>_xlfn.XLOOKUP(Logs_Reseau6[[#This Row],[Id_Client]],Clients_Churn[ID_Client],Clients_Churn[Type_Forfait],"Pas d'information")</f>
        <v>Premium 5G 150Go</v>
      </c>
      <c r="K87" s="5" t="str">
        <f>IF(Logs_Reseau6[[#This Row],[Type_Forfait]]="Pro Monde","B2B","B2C")</f>
        <v>B2C</v>
      </c>
      <c r="L87" s="5">
        <f>_xlfn.XLOOKUP(Logs_Reseau6[[#This Row],[Id_Client]],Clients_Churn[ID_Client],Clients_Churn[Duree_Cumulee_Panne_Min],"Non Trouvée")</f>
        <v>201</v>
      </c>
      <c r="M87" s="5">
        <f>_xlfn.XLOOKUP(Logs_Reseau6[[#This Row],[Id_Client]],Clients_Churn[ID_Client],Clients_Churn[Anciennete_Mois],"Rien à signaler")</f>
        <v>2</v>
      </c>
      <c r="N87" s="11">
        <f>Logs_Reseau6[[#This Row],[Anciennette]]/24</f>
        <v>8.3333333333333329E-2</v>
      </c>
      <c r="O87" s="1">
        <f>Logs_Reseau6[[#This Row],[Duree_Cumulée_Panne]]/1440</f>
        <v>0.13958333333333334</v>
      </c>
      <c r="P8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8" spans="1:16" hidden="1" x14ac:dyDescent="0.25">
      <c r="A88" s="2">
        <v>45213</v>
      </c>
      <c r="B88" s="1">
        <v>0.3347222222222222</v>
      </c>
      <c r="C88" t="s">
        <v>1421</v>
      </c>
      <c r="D88">
        <v>62</v>
      </c>
      <c r="E88" t="s">
        <v>1300</v>
      </c>
      <c r="F88" t="str">
        <f>_xlfn.XLOOKUP(Logs_Reseau6[[#This Row],[Cell_ID]],Registre[ID_Antenne],Registre[Province_RDC],"Non Trouvée")</f>
        <v>Non Trouvée</v>
      </c>
      <c r="G88" t="str">
        <f>_xlfn.XLOOKUP(Logs_Reseau6[[#This Row],[Province]],Clients_Churn[Province_Client],Clients_Churn[ID_Client],"Aucun")</f>
        <v>Aucun</v>
      </c>
      <c r="H88" t="str">
        <f>_xlfn.XLOOKUP(Logs_Reseau6[[#This Row],[Cell_ID]],Registre[ID_Antenne],Registre[Technologie],"Rien à signaler")</f>
        <v>Rien à signaler</v>
      </c>
      <c r="I88" t="str">
        <f>_xlfn.XLOOKUP(Logs_Reseau6[[#This Row],[Cell_ID]],Registre[ID_Antenne],Registre[Equipementier],"Non Trouvée")</f>
        <v>Non Trouvée</v>
      </c>
      <c r="J88" t="str">
        <f>_xlfn.XLOOKUP(Logs_Reseau6[[#This Row],[Id_Client]],Clients_Churn[ID_Client],Clients_Churn[Type_Forfait],"Pas d'information")</f>
        <v>Pas d'information</v>
      </c>
      <c r="K88" s="5" t="str">
        <f>IF(Logs_Reseau6[[#This Row],[Type_Forfait]]="Pro Monde","B2B","B2C")</f>
        <v>B2C</v>
      </c>
      <c r="L88" s="5" t="str">
        <f>_xlfn.XLOOKUP(Logs_Reseau6[[#This Row],[Id_Client]],Clients_Churn[ID_Client],Clients_Churn[Duree_Cumulee_Panne_Min],"Non Trouvée")</f>
        <v>Non Trouvée</v>
      </c>
      <c r="M88" s="5" t="str">
        <f>_xlfn.XLOOKUP(Logs_Reseau6[[#This Row],[Id_Client]],Clients_Churn[ID_Client],Clients_Churn[Anciennete_Mois],"Rien à signaler")</f>
        <v>Rien à signaler</v>
      </c>
      <c r="N88" s="5" t="e">
        <f>Logs_Reseau6[[#This Row],[Anciennette]]/24</f>
        <v>#VALUE!</v>
      </c>
      <c r="O88" s="5" t="e">
        <f>Logs_Reseau6[[#This Row],[Duree_Cumulée_Panne]]/1440</f>
        <v>#VALUE!</v>
      </c>
      <c r="P8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9" spans="1:16" hidden="1" x14ac:dyDescent="0.25">
      <c r="A89" s="2">
        <v>45226</v>
      </c>
      <c r="B89" s="1">
        <v>0.65694444444444444</v>
      </c>
      <c r="C89" t="s">
        <v>1421</v>
      </c>
      <c r="D89">
        <v>7</v>
      </c>
      <c r="E89" t="s">
        <v>1300</v>
      </c>
      <c r="F89" t="str">
        <f>_xlfn.XLOOKUP(Logs_Reseau6[[#This Row],[Cell_ID]],Registre[ID_Antenne],Registre[Province_RDC],"Non Trouvée")</f>
        <v>Non Trouvée</v>
      </c>
      <c r="G89" t="str">
        <f>_xlfn.XLOOKUP(Logs_Reseau6[[#This Row],[Province]],Clients_Churn[Province_Client],Clients_Churn[ID_Client],"Aucun")</f>
        <v>Aucun</v>
      </c>
      <c r="H89" t="str">
        <f>_xlfn.XLOOKUP(Logs_Reseau6[[#This Row],[Cell_ID]],Registre[ID_Antenne],Registre[Technologie],"Rien à signaler")</f>
        <v>Rien à signaler</v>
      </c>
      <c r="I89" t="str">
        <f>_xlfn.XLOOKUP(Logs_Reseau6[[#This Row],[Cell_ID]],Registre[ID_Antenne],Registre[Equipementier],"Non Trouvée")</f>
        <v>Non Trouvée</v>
      </c>
      <c r="J89" t="str">
        <f>_xlfn.XLOOKUP(Logs_Reseau6[[#This Row],[Id_Client]],Clients_Churn[ID_Client],Clients_Churn[Type_Forfait],"Pas d'information")</f>
        <v>Pas d'information</v>
      </c>
      <c r="K89" s="5" t="str">
        <f>IF(Logs_Reseau6[[#This Row],[Type_Forfait]]="Pro Monde","B2B","B2C")</f>
        <v>B2C</v>
      </c>
      <c r="L89" s="5" t="str">
        <f>_xlfn.XLOOKUP(Logs_Reseau6[[#This Row],[Id_Client]],Clients_Churn[ID_Client],Clients_Churn[Duree_Cumulee_Panne_Min],"Non Trouvée")</f>
        <v>Non Trouvée</v>
      </c>
      <c r="M89" s="5" t="str">
        <f>_xlfn.XLOOKUP(Logs_Reseau6[[#This Row],[Id_Client]],Clients_Churn[ID_Client],Clients_Churn[Anciennete_Mois],"Rien à signaler")</f>
        <v>Rien à signaler</v>
      </c>
      <c r="N89" s="5" t="e">
        <f>Logs_Reseau6[[#This Row],[Anciennette]]/24</f>
        <v>#VALUE!</v>
      </c>
      <c r="O89" s="5" t="e">
        <f>Logs_Reseau6[[#This Row],[Duree_Cumulée_Panne]]/1440</f>
        <v>#VALUE!</v>
      </c>
      <c r="P8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0" spans="1:16" x14ac:dyDescent="0.25">
      <c r="A90" s="2">
        <v>45225</v>
      </c>
      <c r="B90" s="1">
        <v>0.14722222222222223</v>
      </c>
      <c r="C90" t="s">
        <v>1075</v>
      </c>
      <c r="D90">
        <v>44</v>
      </c>
      <c r="E90" t="s">
        <v>1300</v>
      </c>
      <c r="F90" t="str">
        <f>_xlfn.XLOOKUP(Logs_Reseau6[[#This Row],[Cell_ID]],Registre[ID_Antenne],Registre[Province_RDC],"Non Trouvée")</f>
        <v>Sud-Kivu</v>
      </c>
      <c r="G90" t="str">
        <f>_xlfn.XLOOKUP(Logs_Reseau6[[#This Row],[Province]],Clients_Churn[Province_Client],Clients_Churn[ID_Client],"Aucun")</f>
        <v>CLI-00054</v>
      </c>
      <c r="H90" t="str">
        <f>_xlfn.XLOOKUP(Logs_Reseau6[[#This Row],[Cell_ID]],Registre[ID_Antenne],Registre[Technologie],"Rien à signaler")</f>
        <v>3G</v>
      </c>
      <c r="I90" t="str">
        <f>_xlfn.XLOOKUP(Logs_Reseau6[[#This Row],[Cell_ID]],Registre[ID_Antenne],Registre[Equipementier],"Non Trouvée")</f>
        <v>Ericsson</v>
      </c>
      <c r="J90" t="str">
        <f>_xlfn.XLOOKUP(Logs_Reseau6[[#This Row],[Id_Client]],Clients_Churn[ID_Client],Clients_Churn[Type_Forfait],"Pas d'information")</f>
        <v>Bloqué 5Go</v>
      </c>
      <c r="K90" s="5" t="str">
        <f>IF(Logs_Reseau6[[#This Row],[Type_Forfait]]="Pro Monde","B2B","B2C")</f>
        <v>B2C</v>
      </c>
      <c r="L90" s="5">
        <f>_xlfn.XLOOKUP(Logs_Reseau6[[#This Row],[Id_Client]],Clients_Churn[ID_Client],Clients_Churn[Duree_Cumulee_Panne_Min],"Non Trouvée")</f>
        <v>40</v>
      </c>
      <c r="M90" s="5">
        <f>_xlfn.XLOOKUP(Logs_Reseau6[[#This Row],[Id_Client]],Clients_Churn[ID_Client],Clients_Churn[Anciennete_Mois],"Rien à signaler")</f>
        <v>34</v>
      </c>
      <c r="N90" s="11">
        <f>Logs_Reseau6[[#This Row],[Anciennette]]/24</f>
        <v>1.4166666666666667</v>
      </c>
      <c r="O90" s="1">
        <f>Logs_Reseau6[[#This Row],[Duree_Cumulée_Panne]]/1440</f>
        <v>2.7777777777777776E-2</v>
      </c>
      <c r="P9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1" spans="1:16" hidden="1" x14ac:dyDescent="0.25">
      <c r="A91" s="2">
        <v>45203</v>
      </c>
      <c r="B91" s="1">
        <v>0.32430555555555557</v>
      </c>
      <c r="C91" t="s">
        <v>1560</v>
      </c>
      <c r="D91">
        <v>34</v>
      </c>
      <c r="E91" t="s">
        <v>1300</v>
      </c>
      <c r="F91" t="str">
        <f>_xlfn.XLOOKUP(Logs_Reseau6[[#This Row],[Cell_ID]],Registre[ID_Antenne],Registre[Province_RDC],"Non Trouvée")</f>
        <v>Non Trouvée</v>
      </c>
      <c r="G91" t="str">
        <f>_xlfn.XLOOKUP(Logs_Reseau6[[#This Row],[Province]],Clients_Churn[Province_Client],Clients_Churn[ID_Client],"Aucun")</f>
        <v>Aucun</v>
      </c>
      <c r="H91" t="str">
        <f>_xlfn.XLOOKUP(Logs_Reseau6[[#This Row],[Cell_ID]],Registre[ID_Antenne],Registre[Technologie],"Rien à signaler")</f>
        <v>Rien à signaler</v>
      </c>
      <c r="I91" t="str">
        <f>_xlfn.XLOOKUP(Logs_Reseau6[[#This Row],[Cell_ID]],Registre[ID_Antenne],Registre[Equipementier],"Non Trouvée")</f>
        <v>Non Trouvée</v>
      </c>
      <c r="J91" t="str">
        <f>_xlfn.XLOOKUP(Logs_Reseau6[[#This Row],[Id_Client]],Clients_Churn[ID_Client],Clients_Churn[Type_Forfait],"Pas d'information")</f>
        <v>Pas d'information</v>
      </c>
      <c r="K91" s="5" t="str">
        <f>IF(Logs_Reseau6[[#This Row],[Type_Forfait]]="Pro Monde","B2B","B2C")</f>
        <v>B2C</v>
      </c>
      <c r="L91" s="5" t="str">
        <f>_xlfn.XLOOKUP(Logs_Reseau6[[#This Row],[Id_Client]],Clients_Churn[ID_Client],Clients_Churn[Duree_Cumulee_Panne_Min],"Non Trouvée")</f>
        <v>Non Trouvée</v>
      </c>
      <c r="M91" s="5" t="str">
        <f>_xlfn.XLOOKUP(Logs_Reseau6[[#This Row],[Id_Client]],Clients_Churn[ID_Client],Clients_Churn[Anciennete_Mois],"Rien à signaler")</f>
        <v>Rien à signaler</v>
      </c>
      <c r="N91" s="5" t="e">
        <f>Logs_Reseau6[[#This Row],[Anciennette]]/24</f>
        <v>#VALUE!</v>
      </c>
      <c r="O91" s="5" t="e">
        <f>Logs_Reseau6[[#This Row],[Duree_Cumulée_Panne]]/1440</f>
        <v>#VALUE!</v>
      </c>
      <c r="P9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2" spans="1:16" x14ac:dyDescent="0.25">
      <c r="A92" s="2">
        <v>45210</v>
      </c>
      <c r="B92" s="1">
        <v>0.45</v>
      </c>
      <c r="C92" t="s">
        <v>997</v>
      </c>
      <c r="D92">
        <v>66</v>
      </c>
      <c r="E92" t="s">
        <v>1300</v>
      </c>
      <c r="F92" t="str">
        <f>_xlfn.XLOOKUP(Logs_Reseau6[[#This Row],[Cell_ID]],Registre[ID_Antenne],Registre[Province_RDC],"Non Trouvée")</f>
        <v>Lualaba</v>
      </c>
      <c r="G92" t="str">
        <f>_xlfn.XLOOKUP(Logs_Reseau6[[#This Row],[Province]],Clients_Churn[Province_Client],Clients_Churn[ID_Client],"Aucun")</f>
        <v>CLI-00334</v>
      </c>
      <c r="H92" t="str">
        <f>_xlfn.XLOOKUP(Logs_Reseau6[[#This Row],[Cell_ID]],Registre[ID_Antenne],Registre[Technologie],"Rien à signaler")</f>
        <v>4G</v>
      </c>
      <c r="I92" t="str">
        <f>_xlfn.XLOOKUP(Logs_Reseau6[[#This Row],[Cell_ID]],Registre[ID_Antenne],Registre[Equipementier],"Non Trouvée")</f>
        <v>Ericsson</v>
      </c>
      <c r="J92" t="str">
        <f>_xlfn.XLOOKUP(Logs_Reseau6[[#This Row],[Id_Client]],Clients_Churn[ID_Client],Clients_Churn[Type_Forfait],"Pas d'information")</f>
        <v>Pro Monde</v>
      </c>
      <c r="K92" s="5" t="str">
        <f>IF(Logs_Reseau6[[#This Row],[Type_Forfait]]="Pro Monde","B2B","B2C")</f>
        <v>B2B</v>
      </c>
      <c r="L92" s="5">
        <f>_xlfn.XLOOKUP(Logs_Reseau6[[#This Row],[Id_Client]],Clients_Churn[ID_Client],Clients_Churn[Duree_Cumulee_Panne_Min],"Non Trouvée")</f>
        <v>214</v>
      </c>
      <c r="M92" s="5">
        <f>_xlfn.XLOOKUP(Logs_Reseau6[[#This Row],[Id_Client]],Clients_Churn[ID_Client],Clients_Churn[Anciennete_Mois],"Rien à signaler")</f>
        <v>16</v>
      </c>
      <c r="N92" s="11">
        <f>Logs_Reseau6[[#This Row],[Anciennette]]/24</f>
        <v>0.66666666666666663</v>
      </c>
      <c r="O92" s="1">
        <f>Logs_Reseau6[[#This Row],[Duree_Cumulée_Panne]]/1440</f>
        <v>0.14861111111111111</v>
      </c>
      <c r="P9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3" spans="1:16" x14ac:dyDescent="0.25">
      <c r="A93" s="2">
        <v>45220</v>
      </c>
      <c r="B93" s="1">
        <v>0.75416666666666665</v>
      </c>
      <c r="C93" t="s">
        <v>997</v>
      </c>
      <c r="D93">
        <v>85</v>
      </c>
      <c r="E93" t="s">
        <v>1300</v>
      </c>
      <c r="F93" t="str">
        <f>_xlfn.XLOOKUP(Logs_Reseau6[[#This Row],[Cell_ID]],Registre[ID_Antenne],Registre[Province_RDC],"Non Trouvée")</f>
        <v>Lualaba</v>
      </c>
      <c r="G93" t="str">
        <f>_xlfn.XLOOKUP(Logs_Reseau6[[#This Row],[Province]],Clients_Churn[Province_Client],Clients_Churn[ID_Client],"Aucun")</f>
        <v>CLI-00334</v>
      </c>
      <c r="H93" t="str">
        <f>_xlfn.XLOOKUP(Logs_Reseau6[[#This Row],[Cell_ID]],Registre[ID_Antenne],Registre[Technologie],"Rien à signaler")</f>
        <v>4G</v>
      </c>
      <c r="I93" t="str">
        <f>_xlfn.XLOOKUP(Logs_Reseau6[[#This Row],[Cell_ID]],Registre[ID_Antenne],Registre[Equipementier],"Non Trouvée")</f>
        <v>Ericsson</v>
      </c>
      <c r="J93" t="str">
        <f>_xlfn.XLOOKUP(Logs_Reseau6[[#This Row],[Id_Client]],Clients_Churn[ID_Client],Clients_Churn[Type_Forfait],"Pas d'information")</f>
        <v>Pro Monde</v>
      </c>
      <c r="K93" s="5" t="str">
        <f>IF(Logs_Reseau6[[#This Row],[Type_Forfait]]="Pro Monde","B2B","B2C")</f>
        <v>B2B</v>
      </c>
      <c r="L93" s="5">
        <f>_xlfn.XLOOKUP(Logs_Reseau6[[#This Row],[Id_Client]],Clients_Churn[ID_Client],Clients_Churn[Duree_Cumulee_Panne_Min],"Non Trouvée")</f>
        <v>214</v>
      </c>
      <c r="M93" s="5">
        <f>_xlfn.XLOOKUP(Logs_Reseau6[[#This Row],[Id_Client]],Clients_Churn[ID_Client],Clients_Churn[Anciennete_Mois],"Rien à signaler")</f>
        <v>16</v>
      </c>
      <c r="N93" s="11">
        <f>Logs_Reseau6[[#This Row],[Anciennette]]/24</f>
        <v>0.66666666666666663</v>
      </c>
      <c r="O93" s="1">
        <f>Logs_Reseau6[[#This Row],[Duree_Cumulée_Panne]]/1440</f>
        <v>0.14861111111111111</v>
      </c>
      <c r="P9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4" spans="1:16" x14ac:dyDescent="0.25">
      <c r="A94" s="2">
        <v>45212</v>
      </c>
      <c r="B94" s="1">
        <v>0.56805555555555554</v>
      </c>
      <c r="C94" t="s">
        <v>1296</v>
      </c>
      <c r="D94">
        <v>42</v>
      </c>
      <c r="E94" t="s">
        <v>1303</v>
      </c>
      <c r="F94" t="str">
        <f>_xlfn.XLOOKUP(Logs_Reseau6[[#This Row],[Cell_ID]],Registre[ID_Antenne],Registre[Province_RDC],"Non Trouvée")</f>
        <v>Kasai-Central</v>
      </c>
      <c r="G94" t="str">
        <f>_xlfn.XLOOKUP(Logs_Reseau6[[#This Row],[Province]],Clients_Churn[Province_Client],Clients_Churn[ID_Client],"Aucun")</f>
        <v>CLI-00060</v>
      </c>
      <c r="H94" t="str">
        <f>_xlfn.XLOOKUP(Logs_Reseau6[[#This Row],[Cell_ID]],Registre[ID_Antenne],Registre[Technologie],"Rien à signaler")</f>
        <v>3G</v>
      </c>
      <c r="I94" t="str">
        <f>_xlfn.XLOOKUP(Logs_Reseau6[[#This Row],[Cell_ID]],Registre[ID_Antenne],Registre[Equipementier],"Non Trouvée")</f>
        <v>Nokia</v>
      </c>
      <c r="J94" t="str">
        <f>_xlfn.XLOOKUP(Logs_Reseau6[[#This Row],[Id_Client]],Clients_Churn[ID_Client],Clients_Churn[Type_Forfait],"Pas d'information")</f>
        <v>Pro Monde</v>
      </c>
      <c r="K94" s="5" t="str">
        <f>IF(Logs_Reseau6[[#This Row],[Type_Forfait]]="Pro Monde","B2B","B2C")</f>
        <v>B2B</v>
      </c>
      <c r="L94" s="5">
        <f>_xlfn.XLOOKUP(Logs_Reseau6[[#This Row],[Id_Client]],Clients_Churn[ID_Client],Clients_Churn[Duree_Cumulee_Panne_Min],"Non Trouvée")</f>
        <v>160</v>
      </c>
      <c r="M94" s="5">
        <f>_xlfn.XLOOKUP(Logs_Reseau6[[#This Row],[Id_Client]],Clients_Churn[ID_Client],Clients_Churn[Anciennete_Mois],"Rien à signaler")</f>
        <v>72</v>
      </c>
      <c r="N94" s="11">
        <f>Logs_Reseau6[[#This Row],[Anciennette]]/24</f>
        <v>3</v>
      </c>
      <c r="O94" s="1">
        <f>Logs_Reseau6[[#This Row],[Duree_Cumulée_Panne]]/1440</f>
        <v>0.1111111111111111</v>
      </c>
      <c r="P9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5" spans="1:16" x14ac:dyDescent="0.25">
      <c r="A95" s="2">
        <v>45205</v>
      </c>
      <c r="B95" s="1">
        <v>0.19166666666666668</v>
      </c>
      <c r="C95" t="s">
        <v>1147</v>
      </c>
      <c r="D95">
        <v>34</v>
      </c>
      <c r="E95" t="s">
        <v>1300</v>
      </c>
      <c r="F95" t="str">
        <f>_xlfn.XLOOKUP(Logs_Reseau6[[#This Row],[Cell_ID]],Registre[ID_Antenne],Registre[Province_RDC],"Non Trouvée")</f>
        <v>Sankuru</v>
      </c>
      <c r="G95" t="str">
        <f>_xlfn.XLOOKUP(Logs_Reseau6[[#This Row],[Province]],Clients_Churn[Province_Client],Clients_Churn[ID_Client],"Aucun")</f>
        <v>CLI-00197</v>
      </c>
      <c r="H95" t="str">
        <f>_xlfn.XLOOKUP(Logs_Reseau6[[#This Row],[Cell_ID]],Registre[ID_Antenne],Registre[Technologie],"Rien à signaler")</f>
        <v>3G</v>
      </c>
      <c r="I95" t="str">
        <f>_xlfn.XLOOKUP(Logs_Reseau6[[#This Row],[Cell_ID]],Registre[ID_Antenne],Registre[Equipementier],"Non Trouvée")</f>
        <v>ZTE</v>
      </c>
      <c r="J95" t="str">
        <f>_xlfn.XLOOKUP(Logs_Reseau6[[#This Row],[Id_Client]],Clients_Churn[ID_Client],Clients_Churn[Type_Forfait],"Pas d'information")</f>
        <v>Illimité 50Go</v>
      </c>
      <c r="K95" s="5" t="str">
        <f>IF(Logs_Reseau6[[#This Row],[Type_Forfait]]="Pro Monde","B2B","B2C")</f>
        <v>B2C</v>
      </c>
      <c r="L95" s="5">
        <f>_xlfn.XLOOKUP(Logs_Reseau6[[#This Row],[Id_Client]],Clients_Churn[ID_Client],Clients_Churn[Duree_Cumulee_Panne_Min],"Non Trouvée")</f>
        <v>84</v>
      </c>
      <c r="M95" s="5">
        <f>_xlfn.XLOOKUP(Logs_Reseau6[[#This Row],[Id_Client]],Clients_Churn[ID_Client],Clients_Churn[Anciennete_Mois],"Rien à signaler")</f>
        <v>109</v>
      </c>
      <c r="N95" s="11">
        <f>Logs_Reseau6[[#This Row],[Anciennette]]/24</f>
        <v>4.541666666666667</v>
      </c>
      <c r="O95" s="1">
        <f>Logs_Reseau6[[#This Row],[Duree_Cumulée_Panne]]/1440</f>
        <v>5.8333333333333334E-2</v>
      </c>
      <c r="P9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6" spans="1:16" hidden="1" x14ac:dyDescent="0.25">
      <c r="A96" s="2">
        <v>45219</v>
      </c>
      <c r="B96" s="1">
        <v>0.6333333333333333</v>
      </c>
      <c r="C96" t="s">
        <v>1491</v>
      </c>
      <c r="D96">
        <v>18</v>
      </c>
      <c r="E96" t="s">
        <v>1305</v>
      </c>
      <c r="F96" t="str">
        <f>_xlfn.XLOOKUP(Logs_Reseau6[[#This Row],[Cell_ID]],Registre[ID_Antenne],Registre[Province_RDC],"Non Trouvée")</f>
        <v>Non Trouvée</v>
      </c>
      <c r="G96" t="str">
        <f>_xlfn.XLOOKUP(Logs_Reseau6[[#This Row],[Province]],Clients_Churn[Province_Client],Clients_Churn[ID_Client],"Aucun")</f>
        <v>Aucun</v>
      </c>
      <c r="H96" t="str">
        <f>_xlfn.XLOOKUP(Logs_Reseau6[[#This Row],[Cell_ID]],Registre[ID_Antenne],Registre[Technologie],"Rien à signaler")</f>
        <v>Rien à signaler</v>
      </c>
      <c r="I96" t="str">
        <f>_xlfn.XLOOKUP(Logs_Reseau6[[#This Row],[Cell_ID]],Registre[ID_Antenne],Registre[Equipementier],"Non Trouvée")</f>
        <v>Non Trouvée</v>
      </c>
      <c r="J96" t="str">
        <f>_xlfn.XLOOKUP(Logs_Reseau6[[#This Row],[Id_Client]],Clients_Churn[ID_Client],Clients_Churn[Type_Forfait],"Pas d'information")</f>
        <v>Pas d'information</v>
      </c>
      <c r="K96" s="5" t="str">
        <f>IF(Logs_Reseau6[[#This Row],[Type_Forfait]]="Pro Monde","B2B","B2C")</f>
        <v>B2C</v>
      </c>
      <c r="L96" s="5" t="str">
        <f>_xlfn.XLOOKUP(Logs_Reseau6[[#This Row],[Id_Client]],Clients_Churn[ID_Client],Clients_Churn[Duree_Cumulee_Panne_Min],"Non Trouvée")</f>
        <v>Non Trouvée</v>
      </c>
      <c r="M96" s="5" t="str">
        <f>_xlfn.XLOOKUP(Logs_Reseau6[[#This Row],[Id_Client]],Clients_Churn[ID_Client],Clients_Churn[Anciennete_Mois],"Rien à signaler")</f>
        <v>Rien à signaler</v>
      </c>
      <c r="N96" s="5" t="e">
        <f>Logs_Reseau6[[#This Row],[Anciennette]]/24</f>
        <v>#VALUE!</v>
      </c>
      <c r="O96" s="5" t="e">
        <f>Logs_Reseau6[[#This Row],[Duree_Cumulée_Panne]]/1440</f>
        <v>#VALUE!</v>
      </c>
      <c r="P9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7" spans="1:16" x14ac:dyDescent="0.25">
      <c r="A97" s="2">
        <v>45204</v>
      </c>
      <c r="B97" s="1">
        <v>0.55000000000000004</v>
      </c>
      <c r="C97" t="s">
        <v>852</v>
      </c>
      <c r="D97">
        <v>113</v>
      </c>
      <c r="E97" t="s">
        <v>1303</v>
      </c>
      <c r="F97" t="str">
        <f>_xlfn.XLOOKUP(Logs_Reseau6[[#This Row],[Cell_ID]],Registre[ID_Antenne],Registre[Province_RDC],"Non Trouvée")</f>
        <v>Kongo-Central</v>
      </c>
      <c r="G97" t="str">
        <f>_xlfn.XLOOKUP(Logs_Reseau6[[#This Row],[Province]],Clients_Churn[Province_Client],Clients_Churn[ID_Client],"Aucun")</f>
        <v>CLI-00012</v>
      </c>
      <c r="H97" t="str">
        <f>_xlfn.XLOOKUP(Logs_Reseau6[[#This Row],[Cell_ID]],Registre[ID_Antenne],Registre[Technologie],"Rien à signaler")</f>
        <v>4G</v>
      </c>
      <c r="I97" t="str">
        <f>_xlfn.XLOOKUP(Logs_Reseau6[[#This Row],[Cell_ID]],Registre[ID_Antenne],Registre[Equipementier],"Non Trouvée")</f>
        <v>Huawei</v>
      </c>
      <c r="J97" t="str">
        <f>_xlfn.XLOOKUP(Logs_Reseau6[[#This Row],[Id_Client]],Clients_Churn[ID_Client],Clients_Churn[Type_Forfait],"Pas d'information")</f>
        <v>Illimité 50Go</v>
      </c>
      <c r="K97" s="5" t="str">
        <f>IF(Logs_Reseau6[[#This Row],[Type_Forfait]]="Pro Monde","B2B","B2C")</f>
        <v>B2C</v>
      </c>
      <c r="L97" s="5">
        <f>_xlfn.XLOOKUP(Logs_Reseau6[[#This Row],[Id_Client]],Clients_Churn[ID_Client],Clients_Churn[Duree_Cumulee_Panne_Min],"Non Trouvée")</f>
        <v>172</v>
      </c>
      <c r="M97" s="5">
        <f>_xlfn.XLOOKUP(Logs_Reseau6[[#This Row],[Id_Client]],Clients_Churn[ID_Client],Clients_Churn[Anciennete_Mois],"Rien à signaler")</f>
        <v>105</v>
      </c>
      <c r="N97" s="11">
        <f>Logs_Reseau6[[#This Row],[Anciennette]]/24</f>
        <v>4.375</v>
      </c>
      <c r="O97" s="1">
        <f>Logs_Reseau6[[#This Row],[Duree_Cumulée_Panne]]/1440</f>
        <v>0.11944444444444445</v>
      </c>
      <c r="P9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8" spans="1:16" x14ac:dyDescent="0.25">
      <c r="A98" s="2">
        <v>45204</v>
      </c>
      <c r="B98" s="1">
        <v>0.23749999999999999</v>
      </c>
      <c r="C98" t="s">
        <v>852</v>
      </c>
      <c r="D98">
        <v>21</v>
      </c>
      <c r="E98" t="s">
        <v>1303</v>
      </c>
      <c r="F98" t="str">
        <f>_xlfn.XLOOKUP(Logs_Reseau6[[#This Row],[Cell_ID]],Registre[ID_Antenne],Registre[Province_RDC],"Non Trouvée")</f>
        <v>Kongo-Central</v>
      </c>
      <c r="G98" t="str">
        <f>_xlfn.XLOOKUP(Logs_Reseau6[[#This Row],[Province]],Clients_Churn[Province_Client],Clients_Churn[ID_Client],"Aucun")</f>
        <v>CLI-00012</v>
      </c>
      <c r="H98" t="str">
        <f>_xlfn.XLOOKUP(Logs_Reseau6[[#This Row],[Cell_ID]],Registre[ID_Antenne],Registre[Technologie],"Rien à signaler")</f>
        <v>4G</v>
      </c>
      <c r="I98" t="str">
        <f>_xlfn.XLOOKUP(Logs_Reseau6[[#This Row],[Cell_ID]],Registre[ID_Antenne],Registre[Equipementier],"Non Trouvée")</f>
        <v>Huawei</v>
      </c>
      <c r="J98" t="str">
        <f>_xlfn.XLOOKUP(Logs_Reseau6[[#This Row],[Id_Client]],Clients_Churn[ID_Client],Clients_Churn[Type_Forfait],"Pas d'information")</f>
        <v>Illimité 50Go</v>
      </c>
      <c r="K98" s="5" t="str">
        <f>IF(Logs_Reseau6[[#This Row],[Type_Forfait]]="Pro Monde","B2B","B2C")</f>
        <v>B2C</v>
      </c>
      <c r="L98" s="5">
        <f>_xlfn.XLOOKUP(Logs_Reseau6[[#This Row],[Id_Client]],Clients_Churn[ID_Client],Clients_Churn[Duree_Cumulee_Panne_Min],"Non Trouvée")</f>
        <v>172</v>
      </c>
      <c r="M98" s="5">
        <f>_xlfn.XLOOKUP(Logs_Reseau6[[#This Row],[Id_Client]],Clients_Churn[ID_Client],Clients_Churn[Anciennete_Mois],"Rien à signaler")</f>
        <v>105</v>
      </c>
      <c r="N98" s="11">
        <f>Logs_Reseau6[[#This Row],[Anciennette]]/24</f>
        <v>4.375</v>
      </c>
      <c r="O98" s="1">
        <f>Logs_Reseau6[[#This Row],[Duree_Cumulée_Panne]]/1440</f>
        <v>0.11944444444444445</v>
      </c>
      <c r="P9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9" spans="1:16" x14ac:dyDescent="0.25">
      <c r="A99" s="2">
        <v>45222</v>
      </c>
      <c r="B99" s="1">
        <v>0.66319444444444442</v>
      </c>
      <c r="C99" t="s">
        <v>852</v>
      </c>
      <c r="D99">
        <v>6</v>
      </c>
      <c r="E99" t="s">
        <v>1305</v>
      </c>
      <c r="F99" t="str">
        <f>_xlfn.XLOOKUP(Logs_Reseau6[[#This Row],[Cell_ID]],Registre[ID_Antenne],Registre[Province_RDC],"Non Trouvée")</f>
        <v>Kongo-Central</v>
      </c>
      <c r="G99" t="str">
        <f>_xlfn.XLOOKUP(Logs_Reseau6[[#This Row],[Province]],Clients_Churn[Province_Client],Clients_Churn[ID_Client],"Aucun")</f>
        <v>CLI-00012</v>
      </c>
      <c r="H99" t="str">
        <f>_xlfn.XLOOKUP(Logs_Reseau6[[#This Row],[Cell_ID]],Registre[ID_Antenne],Registre[Technologie],"Rien à signaler")</f>
        <v>4G</v>
      </c>
      <c r="I99" t="str">
        <f>_xlfn.XLOOKUP(Logs_Reseau6[[#This Row],[Cell_ID]],Registre[ID_Antenne],Registre[Equipementier],"Non Trouvée")</f>
        <v>Huawei</v>
      </c>
      <c r="J99" t="str">
        <f>_xlfn.XLOOKUP(Logs_Reseau6[[#This Row],[Id_Client]],Clients_Churn[ID_Client],Clients_Churn[Type_Forfait],"Pas d'information")</f>
        <v>Illimité 50Go</v>
      </c>
      <c r="K99" s="5" t="str">
        <f>IF(Logs_Reseau6[[#This Row],[Type_Forfait]]="Pro Monde","B2B","B2C")</f>
        <v>B2C</v>
      </c>
      <c r="L99" s="5">
        <f>_xlfn.XLOOKUP(Logs_Reseau6[[#This Row],[Id_Client]],Clients_Churn[ID_Client],Clients_Churn[Duree_Cumulee_Panne_Min],"Non Trouvée")</f>
        <v>172</v>
      </c>
      <c r="M99" s="5">
        <f>_xlfn.XLOOKUP(Logs_Reseau6[[#This Row],[Id_Client]],Clients_Churn[ID_Client],Clients_Churn[Anciennete_Mois],"Rien à signaler")</f>
        <v>105</v>
      </c>
      <c r="N99" s="11">
        <f>Logs_Reseau6[[#This Row],[Anciennette]]/24</f>
        <v>4.375</v>
      </c>
      <c r="O99" s="1">
        <f>Logs_Reseau6[[#This Row],[Duree_Cumulée_Panne]]/1440</f>
        <v>0.11944444444444445</v>
      </c>
      <c r="P9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0" spans="1:16" x14ac:dyDescent="0.25">
      <c r="A100" s="2">
        <v>45226</v>
      </c>
      <c r="B100" s="1">
        <v>0.53055555555555556</v>
      </c>
      <c r="C100" t="s">
        <v>1142</v>
      </c>
      <c r="D100">
        <v>101</v>
      </c>
      <c r="E100" t="s">
        <v>1305</v>
      </c>
      <c r="F100" t="str">
        <f>_xlfn.XLOOKUP(Logs_Reseau6[[#This Row],[Cell_ID]],Registre[ID_Antenne],Registre[Province_RDC],"Non Trouvée")</f>
        <v>Maniema</v>
      </c>
      <c r="G100" t="str">
        <f>_xlfn.XLOOKUP(Logs_Reseau6[[#This Row],[Province]],Clients_Churn[Province_Client],Clients_Churn[ID_Client],"Aucun")</f>
        <v>CLI-00039</v>
      </c>
      <c r="H100" t="str">
        <f>_xlfn.XLOOKUP(Logs_Reseau6[[#This Row],[Cell_ID]],Registre[ID_Antenne],Registre[Technologie],"Rien à signaler")</f>
        <v>4G</v>
      </c>
      <c r="I100" t="str">
        <f>_xlfn.XLOOKUP(Logs_Reseau6[[#This Row],[Cell_ID]],Registre[ID_Antenne],Registre[Equipementier],"Non Trouvée")</f>
        <v>Nokia</v>
      </c>
      <c r="J100" t="str">
        <f>_xlfn.XLOOKUP(Logs_Reseau6[[#This Row],[Id_Client]],Clients_Churn[ID_Client],Clients_Churn[Type_Forfait],"Pas d'information")</f>
        <v>Pro Monde</v>
      </c>
      <c r="K100" s="5" t="str">
        <f>IF(Logs_Reseau6[[#This Row],[Type_Forfait]]="Pro Monde","B2B","B2C")</f>
        <v>B2B</v>
      </c>
      <c r="L100" s="5">
        <f>_xlfn.XLOOKUP(Logs_Reseau6[[#This Row],[Id_Client]],Clients_Churn[ID_Client],Clients_Churn[Duree_Cumulee_Panne_Min],"Non Trouvée")</f>
        <v>31</v>
      </c>
      <c r="M100" s="5">
        <f>_xlfn.XLOOKUP(Logs_Reseau6[[#This Row],[Id_Client]],Clients_Churn[ID_Client],Clients_Churn[Anciennete_Mois],"Rien à signaler")</f>
        <v>119</v>
      </c>
      <c r="N100" s="11">
        <f>Logs_Reseau6[[#This Row],[Anciennette]]/24</f>
        <v>4.958333333333333</v>
      </c>
      <c r="O100" s="1">
        <f>Logs_Reseau6[[#This Row],[Duree_Cumulée_Panne]]/1440</f>
        <v>2.1527777777777778E-2</v>
      </c>
      <c r="P10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1" spans="1:16" hidden="1" x14ac:dyDescent="0.25">
      <c r="A101" s="2">
        <v>45206</v>
      </c>
      <c r="B101" s="1">
        <v>0.27361111111111114</v>
      </c>
      <c r="C101" t="s">
        <v>1332</v>
      </c>
      <c r="D101">
        <v>117</v>
      </c>
      <c r="E101" t="s">
        <v>1305</v>
      </c>
      <c r="F101" t="str">
        <f>_xlfn.XLOOKUP(Logs_Reseau6[[#This Row],[Cell_ID]],Registre[ID_Antenne],Registre[Province_RDC],"Non Trouvée")</f>
        <v>Non Trouvée</v>
      </c>
      <c r="G101" t="str">
        <f>_xlfn.XLOOKUP(Logs_Reseau6[[#This Row],[Province]],Clients_Churn[Province_Client],Clients_Churn[ID_Client],"Aucun")</f>
        <v>Aucun</v>
      </c>
      <c r="H101" t="str">
        <f>_xlfn.XLOOKUP(Logs_Reseau6[[#This Row],[Cell_ID]],Registre[ID_Antenne],Registre[Technologie],"Rien à signaler")</f>
        <v>Rien à signaler</v>
      </c>
      <c r="I101" t="str">
        <f>_xlfn.XLOOKUP(Logs_Reseau6[[#This Row],[Cell_ID]],Registre[ID_Antenne],Registre[Equipementier],"Non Trouvée")</f>
        <v>Non Trouvée</v>
      </c>
      <c r="J101" t="str">
        <f>_xlfn.XLOOKUP(Logs_Reseau6[[#This Row],[Id_Client]],Clients_Churn[ID_Client],Clients_Churn[Type_Forfait],"Pas d'information")</f>
        <v>Pas d'information</v>
      </c>
      <c r="K101" s="5" t="str">
        <f>IF(Logs_Reseau6[[#This Row],[Type_Forfait]]="Pro Monde","B2B","B2C")</f>
        <v>B2C</v>
      </c>
      <c r="L101" s="5" t="str">
        <f>_xlfn.XLOOKUP(Logs_Reseau6[[#This Row],[Id_Client]],Clients_Churn[ID_Client],Clients_Churn[Duree_Cumulee_Panne_Min],"Non Trouvée")</f>
        <v>Non Trouvée</v>
      </c>
      <c r="M101" s="5" t="str">
        <f>_xlfn.XLOOKUP(Logs_Reseau6[[#This Row],[Id_Client]],Clients_Churn[ID_Client],Clients_Churn[Anciennete_Mois],"Rien à signaler")</f>
        <v>Rien à signaler</v>
      </c>
      <c r="N101" s="5" t="e">
        <f>Logs_Reseau6[[#This Row],[Anciennette]]/24</f>
        <v>#VALUE!</v>
      </c>
      <c r="O101" s="5" t="e">
        <f>Logs_Reseau6[[#This Row],[Duree_Cumulée_Panne]]/1440</f>
        <v>#VALUE!</v>
      </c>
      <c r="P10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2" spans="1:16" x14ac:dyDescent="0.25">
      <c r="A102" s="2">
        <v>45203</v>
      </c>
      <c r="B102" s="1">
        <v>0.22152777777777777</v>
      </c>
      <c r="C102" t="s">
        <v>1045</v>
      </c>
      <c r="D102">
        <v>101</v>
      </c>
      <c r="E102" t="s">
        <v>1300</v>
      </c>
      <c r="F102" t="str">
        <f>_xlfn.XLOOKUP(Logs_Reseau6[[#This Row],[Cell_ID]],Registre[ID_Antenne],Registre[Province_RDC],"Non Trouvée")</f>
        <v>Tshopo</v>
      </c>
      <c r="G102" t="str">
        <f>_xlfn.XLOOKUP(Logs_Reseau6[[#This Row],[Province]],Clients_Churn[Province_Client],Clients_Churn[ID_Client],"Aucun")</f>
        <v>CLI-00100</v>
      </c>
      <c r="H102" t="str">
        <f>_xlfn.XLOOKUP(Logs_Reseau6[[#This Row],[Cell_ID]],Registre[ID_Antenne],Registre[Technologie],"Rien à signaler")</f>
        <v>3G</v>
      </c>
      <c r="I102" t="str">
        <f>_xlfn.XLOOKUP(Logs_Reseau6[[#This Row],[Cell_ID]],Registre[ID_Antenne],Registre[Equipementier],"Non Trouvée")</f>
        <v>ZTE</v>
      </c>
      <c r="J102" t="str">
        <f>_xlfn.XLOOKUP(Logs_Reseau6[[#This Row],[Id_Client]],Clients_Churn[ID_Client],Clients_Churn[Type_Forfait],"Pas d'information")</f>
        <v>Bloqué 5Go</v>
      </c>
      <c r="K102" s="5" t="str">
        <f>IF(Logs_Reseau6[[#This Row],[Type_Forfait]]="Pro Monde","B2B","B2C")</f>
        <v>B2C</v>
      </c>
      <c r="L102" s="5">
        <f>_xlfn.XLOOKUP(Logs_Reseau6[[#This Row],[Id_Client]],Clients_Churn[ID_Client],Clients_Churn[Duree_Cumulee_Panne_Min],"Non Trouvée")</f>
        <v>388</v>
      </c>
      <c r="M102" s="5">
        <f>_xlfn.XLOOKUP(Logs_Reseau6[[#This Row],[Id_Client]],Clients_Churn[ID_Client],Clients_Churn[Anciennete_Mois],"Rien à signaler")</f>
        <v>74</v>
      </c>
      <c r="N102" s="11">
        <f>Logs_Reseau6[[#This Row],[Anciennette]]/24</f>
        <v>3.0833333333333335</v>
      </c>
      <c r="O102" s="1">
        <f>Logs_Reseau6[[#This Row],[Duree_Cumulée_Panne]]/1440</f>
        <v>0.26944444444444443</v>
      </c>
      <c r="P10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3" spans="1:16" x14ac:dyDescent="0.25">
      <c r="A103" s="2">
        <v>45226</v>
      </c>
      <c r="B103" s="1">
        <v>0.96944444444444444</v>
      </c>
      <c r="C103" t="s">
        <v>1045</v>
      </c>
      <c r="D103">
        <v>68</v>
      </c>
      <c r="E103" t="s">
        <v>1300</v>
      </c>
      <c r="F103" t="str">
        <f>_xlfn.XLOOKUP(Logs_Reseau6[[#This Row],[Cell_ID]],Registre[ID_Antenne],Registre[Province_RDC],"Non Trouvée")</f>
        <v>Tshopo</v>
      </c>
      <c r="G103" t="str">
        <f>_xlfn.XLOOKUP(Logs_Reseau6[[#This Row],[Province]],Clients_Churn[Province_Client],Clients_Churn[ID_Client],"Aucun")</f>
        <v>CLI-00100</v>
      </c>
      <c r="H103" t="str">
        <f>_xlfn.XLOOKUP(Logs_Reseau6[[#This Row],[Cell_ID]],Registre[ID_Antenne],Registre[Technologie],"Rien à signaler")</f>
        <v>3G</v>
      </c>
      <c r="I103" t="str">
        <f>_xlfn.XLOOKUP(Logs_Reseau6[[#This Row],[Cell_ID]],Registre[ID_Antenne],Registre[Equipementier],"Non Trouvée")</f>
        <v>ZTE</v>
      </c>
      <c r="J103" t="str">
        <f>_xlfn.XLOOKUP(Logs_Reseau6[[#This Row],[Id_Client]],Clients_Churn[ID_Client],Clients_Churn[Type_Forfait],"Pas d'information")</f>
        <v>Bloqué 5Go</v>
      </c>
      <c r="K103" s="5" t="str">
        <f>IF(Logs_Reseau6[[#This Row],[Type_Forfait]]="Pro Monde","B2B","B2C")</f>
        <v>B2C</v>
      </c>
      <c r="L103" s="5">
        <f>_xlfn.XLOOKUP(Logs_Reseau6[[#This Row],[Id_Client]],Clients_Churn[ID_Client],Clients_Churn[Duree_Cumulee_Panne_Min],"Non Trouvée")</f>
        <v>388</v>
      </c>
      <c r="M103" s="5">
        <f>_xlfn.XLOOKUP(Logs_Reseau6[[#This Row],[Id_Client]],Clients_Churn[ID_Client],Clients_Churn[Anciennete_Mois],"Rien à signaler")</f>
        <v>74</v>
      </c>
      <c r="N103" s="11">
        <f>Logs_Reseau6[[#This Row],[Anciennette]]/24</f>
        <v>3.0833333333333335</v>
      </c>
      <c r="O103" s="1">
        <f>Logs_Reseau6[[#This Row],[Duree_Cumulée_Panne]]/1440</f>
        <v>0.26944444444444443</v>
      </c>
      <c r="P10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4" spans="1:16" hidden="1" x14ac:dyDescent="0.25">
      <c r="A104" s="2">
        <v>45227</v>
      </c>
      <c r="B104" s="1">
        <v>1.0416666666666666E-2</v>
      </c>
      <c r="C104" t="s">
        <v>1562</v>
      </c>
      <c r="D104">
        <v>49</v>
      </c>
      <c r="E104" t="s">
        <v>1305</v>
      </c>
      <c r="F104" t="str">
        <f>_xlfn.XLOOKUP(Logs_Reseau6[[#This Row],[Cell_ID]],Registre[ID_Antenne],Registre[Province_RDC],"Non Trouvée")</f>
        <v>Non Trouvée</v>
      </c>
      <c r="G104" t="str">
        <f>_xlfn.XLOOKUP(Logs_Reseau6[[#This Row],[Province]],Clients_Churn[Province_Client],Clients_Churn[ID_Client],"Aucun")</f>
        <v>Aucun</v>
      </c>
      <c r="H104" t="str">
        <f>_xlfn.XLOOKUP(Logs_Reseau6[[#This Row],[Cell_ID]],Registre[ID_Antenne],Registre[Technologie],"Rien à signaler")</f>
        <v>Rien à signaler</v>
      </c>
      <c r="I104" t="str">
        <f>_xlfn.XLOOKUP(Logs_Reseau6[[#This Row],[Cell_ID]],Registre[ID_Antenne],Registre[Equipementier],"Non Trouvée")</f>
        <v>Non Trouvée</v>
      </c>
      <c r="J104" t="str">
        <f>_xlfn.XLOOKUP(Logs_Reseau6[[#This Row],[Id_Client]],Clients_Churn[ID_Client],Clients_Churn[Type_Forfait],"Pas d'information")</f>
        <v>Pas d'information</v>
      </c>
      <c r="K104" s="5" t="str">
        <f>IF(Logs_Reseau6[[#This Row],[Type_Forfait]]="Pro Monde","B2B","B2C")</f>
        <v>B2C</v>
      </c>
      <c r="L104" s="5" t="str">
        <f>_xlfn.XLOOKUP(Logs_Reseau6[[#This Row],[Id_Client]],Clients_Churn[ID_Client],Clients_Churn[Duree_Cumulee_Panne_Min],"Non Trouvée")</f>
        <v>Non Trouvée</v>
      </c>
      <c r="M104" s="5" t="str">
        <f>_xlfn.XLOOKUP(Logs_Reseau6[[#This Row],[Id_Client]],Clients_Churn[ID_Client],Clients_Churn[Anciennete_Mois],"Rien à signaler")</f>
        <v>Rien à signaler</v>
      </c>
      <c r="N104" s="5" t="e">
        <f>Logs_Reseau6[[#This Row],[Anciennette]]/24</f>
        <v>#VALUE!</v>
      </c>
      <c r="O104" s="5" t="e">
        <f>Logs_Reseau6[[#This Row],[Duree_Cumulée_Panne]]/1440</f>
        <v>#VALUE!</v>
      </c>
      <c r="P10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5" spans="1:16" x14ac:dyDescent="0.25">
      <c r="A105" s="2">
        <v>45215</v>
      </c>
      <c r="B105" s="1">
        <v>0.28819444444444442</v>
      </c>
      <c r="C105" t="s">
        <v>1036</v>
      </c>
      <c r="D105">
        <v>109</v>
      </c>
      <c r="E105" t="s">
        <v>1300</v>
      </c>
      <c r="F105" t="str">
        <f>_xlfn.XLOOKUP(Logs_Reseau6[[#This Row],[Cell_ID]],Registre[ID_Antenne],Registre[Province_RDC],"Non Trouvée")</f>
        <v>Kongo-Central</v>
      </c>
      <c r="G105" t="str">
        <f>_xlfn.XLOOKUP(Logs_Reseau6[[#This Row],[Province]],Clients_Churn[Province_Client],Clients_Churn[ID_Client],"Aucun")</f>
        <v>CLI-00012</v>
      </c>
      <c r="H105" t="str">
        <f>_xlfn.XLOOKUP(Logs_Reseau6[[#This Row],[Cell_ID]],Registre[ID_Antenne],Registre[Technologie],"Rien à signaler")</f>
        <v>5G</v>
      </c>
      <c r="I105" t="str">
        <f>_xlfn.XLOOKUP(Logs_Reseau6[[#This Row],[Cell_ID]],Registre[ID_Antenne],Registre[Equipementier],"Non Trouvée")</f>
        <v>ZTE</v>
      </c>
      <c r="J105" t="str">
        <f>_xlfn.XLOOKUP(Logs_Reseau6[[#This Row],[Id_Client]],Clients_Churn[ID_Client],Clients_Churn[Type_Forfait],"Pas d'information")</f>
        <v>Illimité 50Go</v>
      </c>
      <c r="K105" s="5" t="str">
        <f>IF(Logs_Reseau6[[#This Row],[Type_Forfait]]="Pro Monde","B2B","B2C")</f>
        <v>B2C</v>
      </c>
      <c r="L105" s="5">
        <f>_xlfn.XLOOKUP(Logs_Reseau6[[#This Row],[Id_Client]],Clients_Churn[ID_Client],Clients_Churn[Duree_Cumulee_Panne_Min],"Non Trouvée")</f>
        <v>172</v>
      </c>
      <c r="M105" s="5">
        <f>_xlfn.XLOOKUP(Logs_Reseau6[[#This Row],[Id_Client]],Clients_Churn[ID_Client],Clients_Churn[Anciennete_Mois],"Rien à signaler")</f>
        <v>105</v>
      </c>
      <c r="N105" s="11">
        <f>Logs_Reseau6[[#This Row],[Anciennette]]/24</f>
        <v>4.375</v>
      </c>
      <c r="O105" s="1">
        <f>Logs_Reseau6[[#This Row],[Duree_Cumulée_Panne]]/1440</f>
        <v>0.11944444444444445</v>
      </c>
      <c r="P10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6" spans="1:16" hidden="1" x14ac:dyDescent="0.25">
      <c r="A106" s="2">
        <v>45215</v>
      </c>
      <c r="B106" s="1">
        <v>4.7222222222222221E-2</v>
      </c>
      <c r="C106" t="s">
        <v>1400</v>
      </c>
      <c r="D106">
        <v>35</v>
      </c>
      <c r="E106" t="s">
        <v>1300</v>
      </c>
      <c r="F106" t="str">
        <f>_xlfn.XLOOKUP(Logs_Reseau6[[#This Row],[Cell_ID]],Registre[ID_Antenne],Registre[Province_RDC],"Non Trouvée")</f>
        <v>Non Trouvée</v>
      </c>
      <c r="G106" t="str">
        <f>_xlfn.XLOOKUP(Logs_Reseau6[[#This Row],[Province]],Clients_Churn[Province_Client],Clients_Churn[ID_Client],"Aucun")</f>
        <v>Aucun</v>
      </c>
      <c r="H106" t="str">
        <f>_xlfn.XLOOKUP(Logs_Reseau6[[#This Row],[Cell_ID]],Registre[ID_Antenne],Registre[Technologie],"Rien à signaler")</f>
        <v>Rien à signaler</v>
      </c>
      <c r="I106" t="str">
        <f>_xlfn.XLOOKUP(Logs_Reseau6[[#This Row],[Cell_ID]],Registre[ID_Antenne],Registre[Equipementier],"Non Trouvée")</f>
        <v>Non Trouvée</v>
      </c>
      <c r="J106" t="str">
        <f>_xlfn.XLOOKUP(Logs_Reseau6[[#This Row],[Id_Client]],Clients_Churn[ID_Client],Clients_Churn[Type_Forfait],"Pas d'information")</f>
        <v>Pas d'information</v>
      </c>
      <c r="K106" s="5" t="str">
        <f>IF(Logs_Reseau6[[#This Row],[Type_Forfait]]="Pro Monde","B2B","B2C")</f>
        <v>B2C</v>
      </c>
      <c r="L106" s="5" t="str">
        <f>_xlfn.XLOOKUP(Logs_Reseau6[[#This Row],[Id_Client]],Clients_Churn[ID_Client],Clients_Churn[Duree_Cumulee_Panne_Min],"Non Trouvée")</f>
        <v>Non Trouvée</v>
      </c>
      <c r="M106" s="5" t="str">
        <f>_xlfn.XLOOKUP(Logs_Reseau6[[#This Row],[Id_Client]],Clients_Churn[ID_Client],Clients_Churn[Anciennete_Mois],"Rien à signaler")</f>
        <v>Rien à signaler</v>
      </c>
      <c r="N106" s="5" t="e">
        <f>Logs_Reseau6[[#This Row],[Anciennette]]/24</f>
        <v>#VALUE!</v>
      </c>
      <c r="O106" s="5" t="e">
        <f>Logs_Reseau6[[#This Row],[Duree_Cumulée_Panne]]/1440</f>
        <v>#VALUE!</v>
      </c>
      <c r="P10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7" spans="1:16" hidden="1" x14ac:dyDescent="0.25">
      <c r="A107" s="2">
        <v>45222</v>
      </c>
      <c r="B107" s="1">
        <v>0.94444444444444442</v>
      </c>
      <c r="C107" t="s">
        <v>1400</v>
      </c>
      <c r="D107">
        <v>87</v>
      </c>
      <c r="E107" t="s">
        <v>1303</v>
      </c>
      <c r="F107" t="str">
        <f>_xlfn.XLOOKUP(Logs_Reseau6[[#This Row],[Cell_ID]],Registre[ID_Antenne],Registre[Province_RDC],"Non Trouvée")</f>
        <v>Non Trouvée</v>
      </c>
      <c r="G107" t="str">
        <f>_xlfn.XLOOKUP(Logs_Reseau6[[#This Row],[Province]],Clients_Churn[Province_Client],Clients_Churn[ID_Client],"Aucun")</f>
        <v>Aucun</v>
      </c>
      <c r="H107" t="str">
        <f>_xlfn.XLOOKUP(Logs_Reseau6[[#This Row],[Cell_ID]],Registre[ID_Antenne],Registre[Technologie],"Rien à signaler")</f>
        <v>Rien à signaler</v>
      </c>
      <c r="I107" t="str">
        <f>_xlfn.XLOOKUP(Logs_Reseau6[[#This Row],[Cell_ID]],Registre[ID_Antenne],Registre[Equipementier],"Non Trouvée")</f>
        <v>Non Trouvée</v>
      </c>
      <c r="J107" t="str">
        <f>_xlfn.XLOOKUP(Logs_Reseau6[[#This Row],[Id_Client]],Clients_Churn[ID_Client],Clients_Churn[Type_Forfait],"Pas d'information")</f>
        <v>Pas d'information</v>
      </c>
      <c r="K107" s="5" t="str">
        <f>IF(Logs_Reseau6[[#This Row],[Type_Forfait]]="Pro Monde","B2B","B2C")</f>
        <v>B2C</v>
      </c>
      <c r="L107" s="5" t="str">
        <f>_xlfn.XLOOKUP(Logs_Reseau6[[#This Row],[Id_Client]],Clients_Churn[ID_Client],Clients_Churn[Duree_Cumulee_Panne_Min],"Non Trouvée")</f>
        <v>Non Trouvée</v>
      </c>
      <c r="M107" s="5" t="str">
        <f>_xlfn.XLOOKUP(Logs_Reseau6[[#This Row],[Id_Client]],Clients_Churn[ID_Client],Clients_Churn[Anciennete_Mois],"Rien à signaler")</f>
        <v>Rien à signaler</v>
      </c>
      <c r="N107" s="5" t="e">
        <f>Logs_Reseau6[[#This Row],[Anciennette]]/24</f>
        <v>#VALUE!</v>
      </c>
      <c r="O107" s="5" t="e">
        <f>Logs_Reseau6[[#This Row],[Duree_Cumulée_Panne]]/1440</f>
        <v>#VALUE!</v>
      </c>
      <c r="P10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8" spans="1:16" hidden="1" x14ac:dyDescent="0.25">
      <c r="A108" s="2">
        <v>45229</v>
      </c>
      <c r="B108" s="1">
        <v>0.80138888888888893</v>
      </c>
      <c r="C108" t="s">
        <v>1400</v>
      </c>
      <c r="D108">
        <v>89</v>
      </c>
      <c r="E108" t="s">
        <v>1300</v>
      </c>
      <c r="F108" t="str">
        <f>_xlfn.XLOOKUP(Logs_Reseau6[[#This Row],[Cell_ID]],Registre[ID_Antenne],Registre[Province_RDC],"Non Trouvée")</f>
        <v>Non Trouvée</v>
      </c>
      <c r="G108" t="str">
        <f>_xlfn.XLOOKUP(Logs_Reseau6[[#This Row],[Province]],Clients_Churn[Province_Client],Clients_Churn[ID_Client],"Aucun")</f>
        <v>Aucun</v>
      </c>
      <c r="H108" t="str">
        <f>_xlfn.XLOOKUP(Logs_Reseau6[[#This Row],[Cell_ID]],Registre[ID_Antenne],Registre[Technologie],"Rien à signaler")</f>
        <v>Rien à signaler</v>
      </c>
      <c r="I108" t="str">
        <f>_xlfn.XLOOKUP(Logs_Reseau6[[#This Row],[Cell_ID]],Registre[ID_Antenne],Registre[Equipementier],"Non Trouvée")</f>
        <v>Non Trouvée</v>
      </c>
      <c r="J108" t="str">
        <f>_xlfn.XLOOKUP(Logs_Reseau6[[#This Row],[Id_Client]],Clients_Churn[ID_Client],Clients_Churn[Type_Forfait],"Pas d'information")</f>
        <v>Pas d'information</v>
      </c>
      <c r="K108" s="5" t="str">
        <f>IF(Logs_Reseau6[[#This Row],[Type_Forfait]]="Pro Monde","B2B","B2C")</f>
        <v>B2C</v>
      </c>
      <c r="L108" s="5" t="str">
        <f>_xlfn.XLOOKUP(Logs_Reseau6[[#This Row],[Id_Client]],Clients_Churn[ID_Client],Clients_Churn[Duree_Cumulee_Panne_Min],"Non Trouvée")</f>
        <v>Non Trouvée</v>
      </c>
      <c r="M108" s="5" t="str">
        <f>_xlfn.XLOOKUP(Logs_Reseau6[[#This Row],[Id_Client]],Clients_Churn[ID_Client],Clients_Churn[Anciennete_Mois],"Rien à signaler")</f>
        <v>Rien à signaler</v>
      </c>
      <c r="N108" s="5" t="e">
        <f>Logs_Reseau6[[#This Row],[Anciennette]]/24</f>
        <v>#VALUE!</v>
      </c>
      <c r="O108" s="5" t="e">
        <f>Logs_Reseau6[[#This Row],[Duree_Cumulée_Panne]]/1440</f>
        <v>#VALUE!</v>
      </c>
      <c r="P10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9" spans="1:16" x14ac:dyDescent="0.25">
      <c r="A109" s="2">
        <v>45223</v>
      </c>
      <c r="B109" s="1">
        <v>0.7944444444444444</v>
      </c>
      <c r="C109" t="s">
        <v>1069</v>
      </c>
      <c r="D109">
        <v>97</v>
      </c>
      <c r="E109" t="s">
        <v>1300</v>
      </c>
      <c r="F109" t="str">
        <f>_xlfn.XLOOKUP(Logs_Reseau6[[#This Row],[Cell_ID]],Registre[ID_Antenne],Registre[Province_RDC],"Non Trouvée")</f>
        <v>Haut-Uele</v>
      </c>
      <c r="G109" t="str">
        <f>_xlfn.XLOOKUP(Logs_Reseau6[[#This Row],[Province]],Clients_Churn[Province_Client],Clients_Churn[ID_Client],"Aucun")</f>
        <v>CLI-00055</v>
      </c>
      <c r="H109" t="str">
        <f>_xlfn.XLOOKUP(Logs_Reseau6[[#This Row],[Cell_ID]],Registre[ID_Antenne],Registre[Technologie],"Rien à signaler")</f>
        <v>4G</v>
      </c>
      <c r="I109" t="str">
        <f>_xlfn.XLOOKUP(Logs_Reseau6[[#This Row],[Cell_ID]],Registre[ID_Antenne],Registre[Equipementier],"Non Trouvée")</f>
        <v>Nokia</v>
      </c>
      <c r="J109" t="str">
        <f>_xlfn.XLOOKUP(Logs_Reseau6[[#This Row],[Id_Client]],Clients_Churn[ID_Client],Clients_Churn[Type_Forfait],"Pas d'information")</f>
        <v>Pro Monde</v>
      </c>
      <c r="K109" s="5" t="str">
        <f>IF(Logs_Reseau6[[#This Row],[Type_Forfait]]="Pro Monde","B2B","B2C")</f>
        <v>B2B</v>
      </c>
      <c r="L109" s="5">
        <f>_xlfn.XLOOKUP(Logs_Reseau6[[#This Row],[Id_Client]],Clients_Churn[ID_Client],Clients_Churn[Duree_Cumulee_Panne_Min],"Non Trouvée")</f>
        <v>206</v>
      </c>
      <c r="M109" s="5">
        <f>_xlfn.XLOOKUP(Logs_Reseau6[[#This Row],[Id_Client]],Clients_Churn[ID_Client],Clients_Churn[Anciennete_Mois],"Rien à signaler")</f>
        <v>6</v>
      </c>
      <c r="N109" s="11">
        <f>Logs_Reseau6[[#This Row],[Anciennette]]/24</f>
        <v>0.25</v>
      </c>
      <c r="O109" s="1">
        <f>Logs_Reseau6[[#This Row],[Duree_Cumulée_Panne]]/1440</f>
        <v>0.14305555555555555</v>
      </c>
      <c r="P10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10" spans="1:16" hidden="1" x14ac:dyDescent="0.25">
      <c r="A110" s="2">
        <v>45227</v>
      </c>
      <c r="B110" s="1">
        <v>5.5555555555555558E-3</v>
      </c>
      <c r="C110" t="s">
        <v>1428</v>
      </c>
      <c r="D110">
        <v>66</v>
      </c>
      <c r="E110" t="s">
        <v>1305</v>
      </c>
      <c r="F110" t="str">
        <f>_xlfn.XLOOKUP(Logs_Reseau6[[#This Row],[Cell_ID]],Registre[ID_Antenne],Registre[Province_RDC],"Non Trouvée")</f>
        <v>Non Trouvée</v>
      </c>
      <c r="G110" t="str">
        <f>_xlfn.XLOOKUP(Logs_Reseau6[[#This Row],[Province]],Clients_Churn[Province_Client],Clients_Churn[ID_Client],"Aucun")</f>
        <v>Aucun</v>
      </c>
      <c r="H110" t="str">
        <f>_xlfn.XLOOKUP(Logs_Reseau6[[#This Row],[Cell_ID]],Registre[ID_Antenne],Registre[Technologie],"Rien à signaler")</f>
        <v>Rien à signaler</v>
      </c>
      <c r="I110" t="str">
        <f>_xlfn.XLOOKUP(Logs_Reseau6[[#This Row],[Cell_ID]],Registre[ID_Antenne],Registre[Equipementier],"Non Trouvée")</f>
        <v>Non Trouvée</v>
      </c>
      <c r="J110" t="str">
        <f>_xlfn.XLOOKUP(Logs_Reseau6[[#This Row],[Id_Client]],Clients_Churn[ID_Client],Clients_Churn[Type_Forfait],"Pas d'information")</f>
        <v>Pas d'information</v>
      </c>
      <c r="K110" s="5" t="str">
        <f>IF(Logs_Reseau6[[#This Row],[Type_Forfait]]="Pro Monde","B2B","B2C")</f>
        <v>B2C</v>
      </c>
      <c r="L110" s="5" t="str">
        <f>_xlfn.XLOOKUP(Logs_Reseau6[[#This Row],[Id_Client]],Clients_Churn[ID_Client],Clients_Churn[Duree_Cumulee_Panne_Min],"Non Trouvée")</f>
        <v>Non Trouvée</v>
      </c>
      <c r="M110" s="5" t="str">
        <f>_xlfn.XLOOKUP(Logs_Reseau6[[#This Row],[Id_Client]],Clients_Churn[ID_Client],Clients_Churn[Anciennete_Mois],"Rien à signaler")</f>
        <v>Rien à signaler</v>
      </c>
      <c r="N110" s="5" t="e">
        <f>Logs_Reseau6[[#This Row],[Anciennette]]/24</f>
        <v>#VALUE!</v>
      </c>
      <c r="O110" s="5" t="e">
        <f>Logs_Reseau6[[#This Row],[Duree_Cumulée_Panne]]/1440</f>
        <v>#VALUE!</v>
      </c>
      <c r="P11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11" spans="1:16" x14ac:dyDescent="0.25">
      <c r="A111" s="2">
        <v>45210</v>
      </c>
      <c r="B111" s="1">
        <v>0.70347222222222228</v>
      </c>
      <c r="C111" t="s">
        <v>1130</v>
      </c>
      <c r="D111">
        <v>20</v>
      </c>
      <c r="E111" t="s">
        <v>1300</v>
      </c>
      <c r="F111" t="str">
        <f>_xlfn.XLOOKUP(Logs_Reseau6[[#This Row],[Cell_ID]],Registre[ID_Antenne],Registre[Province_RDC],"Non Trouvée")</f>
        <v>Equateur</v>
      </c>
      <c r="G111" t="str">
        <f>_xlfn.XLOOKUP(Logs_Reseau6[[#This Row],[Province]],Clients_Churn[Province_Client],Clients_Churn[ID_Client],"Aucun")</f>
        <v>CLI-00091</v>
      </c>
      <c r="H111" t="str">
        <f>_xlfn.XLOOKUP(Logs_Reseau6[[#This Row],[Cell_ID]],Registre[ID_Antenne],Registre[Technologie],"Rien à signaler")</f>
        <v>5G</v>
      </c>
      <c r="I111" t="str">
        <f>_xlfn.XLOOKUP(Logs_Reseau6[[#This Row],[Cell_ID]],Registre[ID_Antenne],Registre[Equipementier],"Non Trouvée")</f>
        <v>Huawei</v>
      </c>
      <c r="J111" t="str">
        <f>_xlfn.XLOOKUP(Logs_Reseau6[[#This Row],[Id_Client]],Clients_Churn[ID_Client],Clients_Churn[Type_Forfait],"Pas d'information")</f>
        <v>Bloqué 5Go</v>
      </c>
      <c r="K111" s="5" t="str">
        <f>IF(Logs_Reseau6[[#This Row],[Type_Forfait]]="Pro Monde","B2B","B2C")</f>
        <v>B2C</v>
      </c>
      <c r="L111" s="5">
        <f>_xlfn.XLOOKUP(Logs_Reseau6[[#This Row],[Id_Client]],Clients_Churn[ID_Client],Clients_Churn[Duree_Cumulee_Panne_Min],"Non Trouvée")</f>
        <v>435</v>
      </c>
      <c r="M111" s="5">
        <f>_xlfn.XLOOKUP(Logs_Reseau6[[#This Row],[Id_Client]],Clients_Churn[ID_Client],Clients_Churn[Anciennete_Mois],"Rien à signaler")</f>
        <v>50</v>
      </c>
      <c r="N111" s="11">
        <f>Logs_Reseau6[[#This Row],[Anciennette]]/24</f>
        <v>2.0833333333333335</v>
      </c>
      <c r="O111" s="1">
        <f>Logs_Reseau6[[#This Row],[Duree_Cumulée_Panne]]/1440</f>
        <v>0.30208333333333331</v>
      </c>
      <c r="P11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12" spans="1:16" x14ac:dyDescent="0.25">
      <c r="A112" s="2">
        <v>45213</v>
      </c>
      <c r="B112" s="1">
        <v>0.7631944444444444</v>
      </c>
      <c r="C112" t="s">
        <v>1130</v>
      </c>
      <c r="D112">
        <v>119</v>
      </c>
      <c r="E112" t="s">
        <v>1305</v>
      </c>
      <c r="F112" t="str">
        <f>_xlfn.XLOOKUP(Logs_Reseau6[[#This Row],[Cell_ID]],Registre[ID_Antenne],Registre[Province_RDC],"Non Trouvée")</f>
        <v>Equateur</v>
      </c>
      <c r="G112" t="str">
        <f>_xlfn.XLOOKUP(Logs_Reseau6[[#This Row],[Province]],Clients_Churn[Province_Client],Clients_Churn[ID_Client],"Aucun")</f>
        <v>CLI-00091</v>
      </c>
      <c r="H112" t="str">
        <f>_xlfn.XLOOKUP(Logs_Reseau6[[#This Row],[Cell_ID]],Registre[ID_Antenne],Registre[Technologie],"Rien à signaler")</f>
        <v>5G</v>
      </c>
      <c r="I112" t="str">
        <f>_xlfn.XLOOKUP(Logs_Reseau6[[#This Row],[Cell_ID]],Registre[ID_Antenne],Registre[Equipementier],"Non Trouvée")</f>
        <v>Huawei</v>
      </c>
      <c r="J112" t="str">
        <f>_xlfn.XLOOKUP(Logs_Reseau6[[#This Row],[Id_Client]],Clients_Churn[ID_Client],Clients_Churn[Type_Forfait],"Pas d'information")</f>
        <v>Bloqué 5Go</v>
      </c>
      <c r="K112" s="5" t="str">
        <f>IF(Logs_Reseau6[[#This Row],[Type_Forfait]]="Pro Monde","B2B","B2C")</f>
        <v>B2C</v>
      </c>
      <c r="L112" s="5">
        <f>_xlfn.XLOOKUP(Logs_Reseau6[[#This Row],[Id_Client]],Clients_Churn[ID_Client],Clients_Churn[Duree_Cumulee_Panne_Min],"Non Trouvée")</f>
        <v>435</v>
      </c>
      <c r="M112" s="5">
        <f>_xlfn.XLOOKUP(Logs_Reseau6[[#This Row],[Id_Client]],Clients_Churn[ID_Client],Clients_Churn[Anciennete_Mois],"Rien à signaler")</f>
        <v>50</v>
      </c>
      <c r="N112" s="11">
        <f>Logs_Reseau6[[#This Row],[Anciennette]]/24</f>
        <v>2.0833333333333335</v>
      </c>
      <c r="O112" s="1">
        <f>Logs_Reseau6[[#This Row],[Duree_Cumulée_Panne]]/1440</f>
        <v>0.30208333333333331</v>
      </c>
      <c r="P11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13" spans="1:16" x14ac:dyDescent="0.25">
      <c r="A113" s="2">
        <v>45230</v>
      </c>
      <c r="B113" s="1">
        <v>0.83958333333333335</v>
      </c>
      <c r="C113" t="s">
        <v>1130</v>
      </c>
      <c r="D113">
        <v>83</v>
      </c>
      <c r="E113" t="s">
        <v>1305</v>
      </c>
      <c r="F113" t="str">
        <f>_xlfn.XLOOKUP(Logs_Reseau6[[#This Row],[Cell_ID]],Registre[ID_Antenne],Registre[Province_RDC],"Non Trouvée")</f>
        <v>Equateur</v>
      </c>
      <c r="G113" t="str">
        <f>_xlfn.XLOOKUP(Logs_Reseau6[[#This Row],[Province]],Clients_Churn[Province_Client],Clients_Churn[ID_Client],"Aucun")</f>
        <v>CLI-00091</v>
      </c>
      <c r="H113" t="str">
        <f>_xlfn.XLOOKUP(Logs_Reseau6[[#This Row],[Cell_ID]],Registre[ID_Antenne],Registre[Technologie],"Rien à signaler")</f>
        <v>5G</v>
      </c>
      <c r="I113" t="str">
        <f>_xlfn.XLOOKUP(Logs_Reseau6[[#This Row],[Cell_ID]],Registre[ID_Antenne],Registre[Equipementier],"Non Trouvée")</f>
        <v>Huawei</v>
      </c>
      <c r="J113" t="str">
        <f>_xlfn.XLOOKUP(Logs_Reseau6[[#This Row],[Id_Client]],Clients_Churn[ID_Client],Clients_Churn[Type_Forfait],"Pas d'information")</f>
        <v>Bloqué 5Go</v>
      </c>
      <c r="K113" s="5" t="str">
        <f>IF(Logs_Reseau6[[#This Row],[Type_Forfait]]="Pro Monde","B2B","B2C")</f>
        <v>B2C</v>
      </c>
      <c r="L113" s="5">
        <f>_xlfn.XLOOKUP(Logs_Reseau6[[#This Row],[Id_Client]],Clients_Churn[ID_Client],Clients_Churn[Duree_Cumulee_Panne_Min],"Non Trouvée")</f>
        <v>435</v>
      </c>
      <c r="M113" s="5">
        <f>_xlfn.XLOOKUP(Logs_Reseau6[[#This Row],[Id_Client]],Clients_Churn[ID_Client],Clients_Churn[Anciennete_Mois],"Rien à signaler")</f>
        <v>50</v>
      </c>
      <c r="N113" s="11">
        <f>Logs_Reseau6[[#This Row],[Anciennette]]/24</f>
        <v>2.0833333333333335</v>
      </c>
      <c r="O113" s="1">
        <f>Logs_Reseau6[[#This Row],[Duree_Cumulée_Panne]]/1440</f>
        <v>0.30208333333333331</v>
      </c>
      <c r="P11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14" spans="1:16" hidden="1" x14ac:dyDescent="0.25">
      <c r="A114" s="2">
        <v>45225</v>
      </c>
      <c r="B114" s="1">
        <v>8.8888888888888892E-2</v>
      </c>
      <c r="C114" t="s">
        <v>1607</v>
      </c>
      <c r="D114">
        <v>51</v>
      </c>
      <c r="E114" t="s">
        <v>1300</v>
      </c>
      <c r="F114" t="str">
        <f>_xlfn.XLOOKUP(Logs_Reseau6[[#This Row],[Cell_ID]],Registre[ID_Antenne],Registre[Province_RDC],"Non Trouvée")</f>
        <v>Non Trouvée</v>
      </c>
      <c r="G114" t="str">
        <f>_xlfn.XLOOKUP(Logs_Reseau6[[#This Row],[Province]],Clients_Churn[Province_Client],Clients_Churn[ID_Client],"Aucun")</f>
        <v>Aucun</v>
      </c>
      <c r="H114" t="str">
        <f>_xlfn.XLOOKUP(Logs_Reseau6[[#This Row],[Cell_ID]],Registre[ID_Antenne],Registre[Technologie],"Rien à signaler")</f>
        <v>Rien à signaler</v>
      </c>
      <c r="I114" t="str">
        <f>_xlfn.XLOOKUP(Logs_Reseau6[[#This Row],[Cell_ID]],Registre[ID_Antenne],Registre[Equipementier],"Non Trouvée")</f>
        <v>Non Trouvée</v>
      </c>
      <c r="J114" t="str">
        <f>_xlfn.XLOOKUP(Logs_Reseau6[[#This Row],[Id_Client]],Clients_Churn[ID_Client],Clients_Churn[Type_Forfait],"Pas d'information")</f>
        <v>Pas d'information</v>
      </c>
      <c r="K114" s="5" t="str">
        <f>IF(Logs_Reseau6[[#This Row],[Type_Forfait]]="Pro Monde","B2B","B2C")</f>
        <v>B2C</v>
      </c>
      <c r="L114" s="5" t="str">
        <f>_xlfn.XLOOKUP(Logs_Reseau6[[#This Row],[Id_Client]],Clients_Churn[ID_Client],Clients_Churn[Duree_Cumulee_Panne_Min],"Non Trouvée")</f>
        <v>Non Trouvée</v>
      </c>
      <c r="M114" s="5" t="str">
        <f>_xlfn.XLOOKUP(Logs_Reseau6[[#This Row],[Id_Client]],Clients_Churn[ID_Client],Clients_Churn[Anciennete_Mois],"Rien à signaler")</f>
        <v>Rien à signaler</v>
      </c>
      <c r="N114" s="5" t="e">
        <f>Logs_Reseau6[[#This Row],[Anciennette]]/24</f>
        <v>#VALUE!</v>
      </c>
      <c r="O114" s="5" t="e">
        <f>Logs_Reseau6[[#This Row],[Duree_Cumulée_Panne]]/1440</f>
        <v>#VALUE!</v>
      </c>
      <c r="P11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15" spans="1:16" hidden="1" x14ac:dyDescent="0.25">
      <c r="A115" s="2">
        <v>45214</v>
      </c>
      <c r="B115" s="1">
        <v>0.1361111111111111</v>
      </c>
      <c r="C115" t="s">
        <v>1537</v>
      </c>
      <c r="D115">
        <v>92</v>
      </c>
      <c r="E115" t="s">
        <v>1300</v>
      </c>
      <c r="F115" t="str">
        <f>_xlfn.XLOOKUP(Logs_Reseau6[[#This Row],[Cell_ID]],Registre[ID_Antenne],Registre[Province_RDC],"Non Trouvée")</f>
        <v>Non Trouvée</v>
      </c>
      <c r="G115" t="str">
        <f>_xlfn.XLOOKUP(Logs_Reseau6[[#This Row],[Province]],Clients_Churn[Province_Client],Clients_Churn[ID_Client],"Aucun")</f>
        <v>Aucun</v>
      </c>
      <c r="H115" t="str">
        <f>_xlfn.XLOOKUP(Logs_Reseau6[[#This Row],[Cell_ID]],Registre[ID_Antenne],Registre[Technologie],"Rien à signaler")</f>
        <v>Rien à signaler</v>
      </c>
      <c r="I115" t="str">
        <f>_xlfn.XLOOKUP(Logs_Reseau6[[#This Row],[Cell_ID]],Registre[ID_Antenne],Registre[Equipementier],"Non Trouvée")</f>
        <v>Non Trouvée</v>
      </c>
      <c r="J115" t="str">
        <f>_xlfn.XLOOKUP(Logs_Reseau6[[#This Row],[Id_Client]],Clients_Churn[ID_Client],Clients_Churn[Type_Forfait],"Pas d'information")</f>
        <v>Pas d'information</v>
      </c>
      <c r="K115" s="5" t="str">
        <f>IF(Logs_Reseau6[[#This Row],[Type_Forfait]]="Pro Monde","B2B","B2C")</f>
        <v>B2C</v>
      </c>
      <c r="L115" s="5" t="str">
        <f>_xlfn.XLOOKUP(Logs_Reseau6[[#This Row],[Id_Client]],Clients_Churn[ID_Client],Clients_Churn[Duree_Cumulee_Panne_Min],"Non Trouvée")</f>
        <v>Non Trouvée</v>
      </c>
      <c r="M115" s="5" t="str">
        <f>_xlfn.XLOOKUP(Logs_Reseau6[[#This Row],[Id_Client]],Clients_Churn[ID_Client],Clients_Churn[Anciennete_Mois],"Rien à signaler")</f>
        <v>Rien à signaler</v>
      </c>
      <c r="N115" s="5" t="e">
        <f>Logs_Reseau6[[#This Row],[Anciennette]]/24</f>
        <v>#VALUE!</v>
      </c>
      <c r="O115" s="5" t="e">
        <f>Logs_Reseau6[[#This Row],[Duree_Cumulée_Panne]]/1440</f>
        <v>#VALUE!</v>
      </c>
      <c r="P11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16" spans="1:16" hidden="1" x14ac:dyDescent="0.25">
      <c r="A116" s="2">
        <v>45219</v>
      </c>
      <c r="B116" s="1">
        <v>0.82152777777777775</v>
      </c>
      <c r="C116" t="s">
        <v>1537</v>
      </c>
      <c r="D116">
        <v>31</v>
      </c>
      <c r="E116" t="s">
        <v>1303</v>
      </c>
      <c r="F116" t="str">
        <f>_xlfn.XLOOKUP(Logs_Reseau6[[#This Row],[Cell_ID]],Registre[ID_Antenne],Registre[Province_RDC],"Non Trouvée")</f>
        <v>Non Trouvée</v>
      </c>
      <c r="G116" t="str">
        <f>_xlfn.XLOOKUP(Logs_Reseau6[[#This Row],[Province]],Clients_Churn[Province_Client],Clients_Churn[ID_Client],"Aucun")</f>
        <v>Aucun</v>
      </c>
      <c r="H116" t="str">
        <f>_xlfn.XLOOKUP(Logs_Reseau6[[#This Row],[Cell_ID]],Registre[ID_Antenne],Registre[Technologie],"Rien à signaler")</f>
        <v>Rien à signaler</v>
      </c>
      <c r="I116" t="str">
        <f>_xlfn.XLOOKUP(Logs_Reseau6[[#This Row],[Cell_ID]],Registre[ID_Antenne],Registre[Equipementier],"Non Trouvée")</f>
        <v>Non Trouvée</v>
      </c>
      <c r="J116" t="str">
        <f>_xlfn.XLOOKUP(Logs_Reseau6[[#This Row],[Id_Client]],Clients_Churn[ID_Client],Clients_Churn[Type_Forfait],"Pas d'information")</f>
        <v>Pas d'information</v>
      </c>
      <c r="K116" s="5" t="str">
        <f>IF(Logs_Reseau6[[#This Row],[Type_Forfait]]="Pro Monde","B2B","B2C")</f>
        <v>B2C</v>
      </c>
      <c r="L116" s="5" t="str">
        <f>_xlfn.XLOOKUP(Logs_Reseau6[[#This Row],[Id_Client]],Clients_Churn[ID_Client],Clients_Churn[Duree_Cumulee_Panne_Min],"Non Trouvée")</f>
        <v>Non Trouvée</v>
      </c>
      <c r="M116" s="5" t="str">
        <f>_xlfn.XLOOKUP(Logs_Reseau6[[#This Row],[Id_Client]],Clients_Churn[ID_Client],Clients_Churn[Anciennete_Mois],"Rien à signaler")</f>
        <v>Rien à signaler</v>
      </c>
      <c r="N116" s="5" t="e">
        <f>Logs_Reseau6[[#This Row],[Anciennette]]/24</f>
        <v>#VALUE!</v>
      </c>
      <c r="O116" s="5" t="e">
        <f>Logs_Reseau6[[#This Row],[Duree_Cumulée_Panne]]/1440</f>
        <v>#VALUE!</v>
      </c>
      <c r="P11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17" spans="1:16" x14ac:dyDescent="0.25">
      <c r="A117" s="2">
        <v>45203</v>
      </c>
      <c r="B117" s="1">
        <v>4.1666666666666664E-2</v>
      </c>
      <c r="C117" t="s">
        <v>901</v>
      </c>
      <c r="D117">
        <v>69</v>
      </c>
      <c r="E117" t="s">
        <v>1305</v>
      </c>
      <c r="F117" t="str">
        <f>_xlfn.XLOOKUP(Logs_Reseau6[[#This Row],[Cell_ID]],Registre[ID_Antenne],Registre[Province_RDC],"Non Trouvée")</f>
        <v>Bas-Uele</v>
      </c>
      <c r="G117" t="str">
        <f>_xlfn.XLOOKUP(Logs_Reseau6[[#This Row],[Province]],Clients_Churn[Province_Client],Clients_Churn[ID_Client],"Aucun")</f>
        <v>CLI-00029</v>
      </c>
      <c r="H117" t="str">
        <f>_xlfn.XLOOKUP(Logs_Reseau6[[#This Row],[Cell_ID]],Registre[ID_Antenne],Registre[Technologie],"Rien à signaler")</f>
        <v>4G</v>
      </c>
      <c r="I117" t="str">
        <f>_xlfn.XLOOKUP(Logs_Reseau6[[#This Row],[Cell_ID]],Registre[ID_Antenne],Registre[Equipementier],"Non Trouvée")</f>
        <v>Huawei</v>
      </c>
      <c r="J117" t="str">
        <f>_xlfn.XLOOKUP(Logs_Reseau6[[#This Row],[Id_Client]],Clients_Churn[ID_Client],Clients_Churn[Type_Forfait],"Pas d'information")</f>
        <v>Pro Monde</v>
      </c>
      <c r="K117" s="5" t="str">
        <f>IF(Logs_Reseau6[[#This Row],[Type_Forfait]]="Pro Monde","B2B","B2C")</f>
        <v>B2B</v>
      </c>
      <c r="L117" s="5">
        <f>_xlfn.XLOOKUP(Logs_Reseau6[[#This Row],[Id_Client]],Clients_Churn[ID_Client],Clients_Churn[Duree_Cumulee_Panne_Min],"Non Trouvée")</f>
        <v>344</v>
      </c>
      <c r="M117" s="5">
        <f>_xlfn.XLOOKUP(Logs_Reseau6[[#This Row],[Id_Client]],Clients_Churn[ID_Client],Clients_Churn[Anciennete_Mois],"Rien à signaler")</f>
        <v>119</v>
      </c>
      <c r="N117" s="11">
        <f>Logs_Reseau6[[#This Row],[Anciennette]]/24</f>
        <v>4.958333333333333</v>
      </c>
      <c r="O117" s="1">
        <f>Logs_Reseau6[[#This Row],[Duree_Cumulée_Panne]]/1440</f>
        <v>0.2388888888888889</v>
      </c>
      <c r="P11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18" spans="1:16" x14ac:dyDescent="0.25">
      <c r="A118" s="2">
        <v>45220</v>
      </c>
      <c r="B118" s="1">
        <v>0.89375000000000004</v>
      </c>
      <c r="C118" t="s">
        <v>901</v>
      </c>
      <c r="D118">
        <v>101</v>
      </c>
      <c r="E118" t="s">
        <v>1305</v>
      </c>
      <c r="F118" t="str">
        <f>_xlfn.XLOOKUP(Logs_Reseau6[[#This Row],[Cell_ID]],Registre[ID_Antenne],Registre[Province_RDC],"Non Trouvée")</f>
        <v>Bas-Uele</v>
      </c>
      <c r="G118" t="str">
        <f>_xlfn.XLOOKUP(Logs_Reseau6[[#This Row],[Province]],Clients_Churn[Province_Client],Clients_Churn[ID_Client],"Aucun")</f>
        <v>CLI-00029</v>
      </c>
      <c r="H118" t="str">
        <f>_xlfn.XLOOKUP(Logs_Reseau6[[#This Row],[Cell_ID]],Registre[ID_Antenne],Registre[Technologie],"Rien à signaler")</f>
        <v>4G</v>
      </c>
      <c r="I118" t="str">
        <f>_xlfn.XLOOKUP(Logs_Reseau6[[#This Row],[Cell_ID]],Registre[ID_Antenne],Registre[Equipementier],"Non Trouvée")</f>
        <v>Huawei</v>
      </c>
      <c r="J118" t="str">
        <f>_xlfn.XLOOKUP(Logs_Reseau6[[#This Row],[Id_Client]],Clients_Churn[ID_Client],Clients_Churn[Type_Forfait],"Pas d'information")</f>
        <v>Pro Monde</v>
      </c>
      <c r="K118" s="5" t="str">
        <f>IF(Logs_Reseau6[[#This Row],[Type_Forfait]]="Pro Monde","B2B","B2C")</f>
        <v>B2B</v>
      </c>
      <c r="L118" s="5">
        <f>_xlfn.XLOOKUP(Logs_Reseau6[[#This Row],[Id_Client]],Clients_Churn[ID_Client],Clients_Churn[Duree_Cumulee_Panne_Min],"Non Trouvée")</f>
        <v>344</v>
      </c>
      <c r="M118" s="5">
        <f>_xlfn.XLOOKUP(Logs_Reseau6[[#This Row],[Id_Client]],Clients_Churn[ID_Client],Clients_Churn[Anciennete_Mois],"Rien à signaler")</f>
        <v>119</v>
      </c>
      <c r="N118" s="11">
        <f>Logs_Reseau6[[#This Row],[Anciennette]]/24</f>
        <v>4.958333333333333</v>
      </c>
      <c r="O118" s="1">
        <f>Logs_Reseau6[[#This Row],[Duree_Cumulée_Panne]]/1440</f>
        <v>0.2388888888888889</v>
      </c>
      <c r="P11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19" spans="1:16" hidden="1" x14ac:dyDescent="0.25">
      <c r="A119" s="2">
        <v>45211</v>
      </c>
      <c r="B119" s="1">
        <v>0.38055555555555554</v>
      </c>
      <c r="C119" t="s">
        <v>1608</v>
      </c>
      <c r="D119">
        <v>84</v>
      </c>
      <c r="E119" t="s">
        <v>1300</v>
      </c>
      <c r="F119" t="str">
        <f>_xlfn.XLOOKUP(Logs_Reseau6[[#This Row],[Cell_ID]],Registre[ID_Antenne],Registre[Province_RDC],"Non Trouvée")</f>
        <v>Non Trouvée</v>
      </c>
      <c r="G119" t="str">
        <f>_xlfn.XLOOKUP(Logs_Reseau6[[#This Row],[Province]],Clients_Churn[Province_Client],Clients_Churn[ID_Client],"Aucun")</f>
        <v>Aucun</v>
      </c>
      <c r="H119" t="str">
        <f>_xlfn.XLOOKUP(Logs_Reseau6[[#This Row],[Cell_ID]],Registre[ID_Antenne],Registre[Technologie],"Rien à signaler")</f>
        <v>Rien à signaler</v>
      </c>
      <c r="I119" t="str">
        <f>_xlfn.XLOOKUP(Logs_Reseau6[[#This Row],[Cell_ID]],Registre[ID_Antenne],Registre[Equipementier],"Non Trouvée")</f>
        <v>Non Trouvée</v>
      </c>
      <c r="J119" t="str">
        <f>_xlfn.XLOOKUP(Logs_Reseau6[[#This Row],[Id_Client]],Clients_Churn[ID_Client],Clients_Churn[Type_Forfait],"Pas d'information")</f>
        <v>Pas d'information</v>
      </c>
      <c r="K119" s="5" t="str">
        <f>IF(Logs_Reseau6[[#This Row],[Type_Forfait]]="Pro Monde","B2B","B2C")</f>
        <v>B2C</v>
      </c>
      <c r="L119" s="5" t="str">
        <f>_xlfn.XLOOKUP(Logs_Reseau6[[#This Row],[Id_Client]],Clients_Churn[ID_Client],Clients_Churn[Duree_Cumulee_Panne_Min],"Non Trouvée")</f>
        <v>Non Trouvée</v>
      </c>
      <c r="M119" s="5" t="str">
        <f>_xlfn.XLOOKUP(Logs_Reseau6[[#This Row],[Id_Client]],Clients_Churn[ID_Client],Clients_Churn[Anciennete_Mois],"Rien à signaler")</f>
        <v>Rien à signaler</v>
      </c>
      <c r="N119" s="5" t="e">
        <f>Logs_Reseau6[[#This Row],[Anciennette]]/24</f>
        <v>#VALUE!</v>
      </c>
      <c r="O119" s="5" t="e">
        <f>Logs_Reseau6[[#This Row],[Duree_Cumulée_Panne]]/1440</f>
        <v>#VALUE!</v>
      </c>
      <c r="P11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20" spans="1:16" hidden="1" x14ac:dyDescent="0.25">
      <c r="A120" s="2">
        <v>45200</v>
      </c>
      <c r="B120" s="1">
        <v>0.11597222222222223</v>
      </c>
      <c r="C120" t="s">
        <v>1310</v>
      </c>
      <c r="D120">
        <v>111</v>
      </c>
      <c r="E120" t="s">
        <v>1305</v>
      </c>
      <c r="F120" t="str">
        <f>_xlfn.XLOOKUP(Logs_Reseau6[[#This Row],[Cell_ID]],Registre[ID_Antenne],Registre[Province_RDC],"Non Trouvée")</f>
        <v>Non Trouvée</v>
      </c>
      <c r="G120" t="str">
        <f>_xlfn.XLOOKUP(Logs_Reseau6[[#This Row],[Province]],Clients_Churn[Province_Client],Clients_Churn[ID_Client],"Aucun")</f>
        <v>Aucun</v>
      </c>
      <c r="H120" t="str">
        <f>_xlfn.XLOOKUP(Logs_Reseau6[[#This Row],[Cell_ID]],Registre[ID_Antenne],Registre[Technologie],"Rien à signaler")</f>
        <v>Rien à signaler</v>
      </c>
      <c r="I120" t="str">
        <f>_xlfn.XLOOKUP(Logs_Reseau6[[#This Row],[Cell_ID]],Registre[ID_Antenne],Registre[Equipementier],"Non Trouvée")</f>
        <v>Non Trouvée</v>
      </c>
      <c r="J120" t="str">
        <f>_xlfn.XLOOKUP(Logs_Reseau6[[#This Row],[Id_Client]],Clients_Churn[ID_Client],Clients_Churn[Type_Forfait],"Pas d'information")</f>
        <v>Pas d'information</v>
      </c>
      <c r="K120" s="5" t="str">
        <f>IF(Logs_Reseau6[[#This Row],[Type_Forfait]]="Pro Monde","B2B","B2C")</f>
        <v>B2C</v>
      </c>
      <c r="L120" s="5" t="str">
        <f>_xlfn.XLOOKUP(Logs_Reseau6[[#This Row],[Id_Client]],Clients_Churn[ID_Client],Clients_Churn[Duree_Cumulee_Panne_Min],"Non Trouvée")</f>
        <v>Non Trouvée</v>
      </c>
      <c r="M120" s="5" t="str">
        <f>_xlfn.XLOOKUP(Logs_Reseau6[[#This Row],[Id_Client]],Clients_Churn[ID_Client],Clients_Churn[Anciennete_Mois],"Rien à signaler")</f>
        <v>Rien à signaler</v>
      </c>
      <c r="N120" s="5" t="e">
        <f>Logs_Reseau6[[#This Row],[Anciennette]]/24</f>
        <v>#VALUE!</v>
      </c>
      <c r="O120" s="5" t="e">
        <f>Logs_Reseau6[[#This Row],[Duree_Cumulée_Panne]]/1440</f>
        <v>#VALUE!</v>
      </c>
      <c r="P12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21" spans="1:16" hidden="1" x14ac:dyDescent="0.25">
      <c r="A121" s="2">
        <v>45225</v>
      </c>
      <c r="B121" s="1">
        <v>0.2388888888888889</v>
      </c>
      <c r="C121" t="s">
        <v>1310</v>
      </c>
      <c r="D121">
        <v>16</v>
      </c>
      <c r="E121" t="s">
        <v>1303</v>
      </c>
      <c r="F121" t="str">
        <f>_xlfn.XLOOKUP(Logs_Reseau6[[#This Row],[Cell_ID]],Registre[ID_Antenne],Registre[Province_RDC],"Non Trouvée")</f>
        <v>Non Trouvée</v>
      </c>
      <c r="G121" t="str">
        <f>_xlfn.XLOOKUP(Logs_Reseau6[[#This Row],[Province]],Clients_Churn[Province_Client],Clients_Churn[ID_Client],"Aucun")</f>
        <v>Aucun</v>
      </c>
      <c r="H121" t="str">
        <f>_xlfn.XLOOKUP(Logs_Reseau6[[#This Row],[Cell_ID]],Registre[ID_Antenne],Registre[Technologie],"Rien à signaler")</f>
        <v>Rien à signaler</v>
      </c>
      <c r="I121" t="str">
        <f>_xlfn.XLOOKUP(Logs_Reseau6[[#This Row],[Cell_ID]],Registre[ID_Antenne],Registre[Equipementier],"Non Trouvée")</f>
        <v>Non Trouvée</v>
      </c>
      <c r="J121" t="str">
        <f>_xlfn.XLOOKUP(Logs_Reseau6[[#This Row],[Id_Client]],Clients_Churn[ID_Client],Clients_Churn[Type_Forfait],"Pas d'information")</f>
        <v>Pas d'information</v>
      </c>
      <c r="K121" s="5" t="str">
        <f>IF(Logs_Reseau6[[#This Row],[Type_Forfait]]="Pro Monde","B2B","B2C")</f>
        <v>B2C</v>
      </c>
      <c r="L121" s="5" t="str">
        <f>_xlfn.XLOOKUP(Logs_Reseau6[[#This Row],[Id_Client]],Clients_Churn[ID_Client],Clients_Churn[Duree_Cumulee_Panne_Min],"Non Trouvée")</f>
        <v>Non Trouvée</v>
      </c>
      <c r="M121" s="5" t="str">
        <f>_xlfn.XLOOKUP(Logs_Reseau6[[#This Row],[Id_Client]],Clients_Churn[ID_Client],Clients_Churn[Anciennete_Mois],"Rien à signaler")</f>
        <v>Rien à signaler</v>
      </c>
      <c r="N121" s="5" t="e">
        <f>Logs_Reseau6[[#This Row],[Anciennette]]/24</f>
        <v>#VALUE!</v>
      </c>
      <c r="O121" s="5" t="e">
        <f>Logs_Reseau6[[#This Row],[Duree_Cumulée_Panne]]/1440</f>
        <v>#VALUE!</v>
      </c>
      <c r="P12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22" spans="1:16" x14ac:dyDescent="0.25">
      <c r="A122" s="2">
        <v>45225</v>
      </c>
      <c r="B122" s="1">
        <v>0.78194444444444444</v>
      </c>
      <c r="C122" t="s">
        <v>1096</v>
      </c>
      <c r="D122">
        <v>113</v>
      </c>
      <c r="E122" t="s">
        <v>1303</v>
      </c>
      <c r="F122" t="str">
        <f>_xlfn.XLOOKUP(Logs_Reseau6[[#This Row],[Cell_ID]],Registre[ID_Antenne],Registre[Province_RDC],"Non Trouvée")</f>
        <v>Tanganyika</v>
      </c>
      <c r="G122" t="str">
        <f>_xlfn.XLOOKUP(Logs_Reseau6[[#This Row],[Province]],Clients_Churn[Province_Client],Clients_Churn[ID_Client],"Aucun")</f>
        <v>CLI-00007</v>
      </c>
      <c r="H122" t="str">
        <f>_xlfn.XLOOKUP(Logs_Reseau6[[#This Row],[Cell_ID]],Registre[ID_Antenne],Registre[Technologie],"Rien à signaler")</f>
        <v>3G</v>
      </c>
      <c r="I122" t="str">
        <f>_xlfn.XLOOKUP(Logs_Reseau6[[#This Row],[Cell_ID]],Registre[ID_Antenne],Registre[Equipementier],"Non Trouvée")</f>
        <v>ZTE</v>
      </c>
      <c r="J122" t="str">
        <f>_xlfn.XLOOKUP(Logs_Reseau6[[#This Row],[Id_Client]],Clients_Churn[ID_Client],Clients_Churn[Type_Forfait],"Pas d'information")</f>
        <v>Bloqué 5Go</v>
      </c>
      <c r="K122" s="5" t="str">
        <f>IF(Logs_Reseau6[[#This Row],[Type_Forfait]]="Pro Monde","B2B","B2C")</f>
        <v>B2C</v>
      </c>
      <c r="L122" s="5">
        <f>_xlfn.XLOOKUP(Logs_Reseau6[[#This Row],[Id_Client]],Clients_Churn[ID_Client],Clients_Churn[Duree_Cumulee_Panne_Min],"Non Trouvée")</f>
        <v>112</v>
      </c>
      <c r="M122" s="5">
        <f>_xlfn.XLOOKUP(Logs_Reseau6[[#This Row],[Id_Client]],Clients_Churn[ID_Client],Clients_Churn[Anciennete_Mois],"Rien à signaler")</f>
        <v>110</v>
      </c>
      <c r="N122" s="11">
        <f>Logs_Reseau6[[#This Row],[Anciennette]]/24</f>
        <v>4.583333333333333</v>
      </c>
      <c r="O122" s="1">
        <f>Logs_Reseau6[[#This Row],[Duree_Cumulée_Panne]]/1440</f>
        <v>7.7777777777777779E-2</v>
      </c>
      <c r="P12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23" spans="1:16" hidden="1" x14ac:dyDescent="0.25">
      <c r="A123" s="2">
        <v>45207</v>
      </c>
      <c r="B123" s="1">
        <v>0.71388888888888891</v>
      </c>
      <c r="C123" t="s">
        <v>1417</v>
      </c>
      <c r="D123">
        <v>99</v>
      </c>
      <c r="E123" t="s">
        <v>1303</v>
      </c>
      <c r="F123" t="str">
        <f>_xlfn.XLOOKUP(Logs_Reseau6[[#This Row],[Cell_ID]],Registre[ID_Antenne],Registre[Province_RDC],"Non Trouvée")</f>
        <v>Non Trouvée</v>
      </c>
      <c r="G123" t="str">
        <f>_xlfn.XLOOKUP(Logs_Reseau6[[#This Row],[Province]],Clients_Churn[Province_Client],Clients_Churn[ID_Client],"Aucun")</f>
        <v>Aucun</v>
      </c>
      <c r="H123" t="str">
        <f>_xlfn.XLOOKUP(Logs_Reseau6[[#This Row],[Cell_ID]],Registre[ID_Antenne],Registre[Technologie],"Rien à signaler")</f>
        <v>Rien à signaler</v>
      </c>
      <c r="I123" t="str">
        <f>_xlfn.XLOOKUP(Logs_Reseau6[[#This Row],[Cell_ID]],Registre[ID_Antenne],Registre[Equipementier],"Non Trouvée")</f>
        <v>Non Trouvée</v>
      </c>
      <c r="J123" t="str">
        <f>_xlfn.XLOOKUP(Logs_Reseau6[[#This Row],[Id_Client]],Clients_Churn[ID_Client],Clients_Churn[Type_Forfait],"Pas d'information")</f>
        <v>Pas d'information</v>
      </c>
      <c r="K123" s="5" t="str">
        <f>IF(Logs_Reseau6[[#This Row],[Type_Forfait]]="Pro Monde","B2B","B2C")</f>
        <v>B2C</v>
      </c>
      <c r="L123" s="5" t="str">
        <f>_xlfn.XLOOKUP(Logs_Reseau6[[#This Row],[Id_Client]],Clients_Churn[ID_Client],Clients_Churn[Duree_Cumulee_Panne_Min],"Non Trouvée")</f>
        <v>Non Trouvée</v>
      </c>
      <c r="M123" s="5" t="str">
        <f>_xlfn.XLOOKUP(Logs_Reseau6[[#This Row],[Id_Client]],Clients_Churn[ID_Client],Clients_Churn[Anciennete_Mois],"Rien à signaler")</f>
        <v>Rien à signaler</v>
      </c>
      <c r="N123" s="5" t="e">
        <f>Logs_Reseau6[[#This Row],[Anciennette]]/24</f>
        <v>#VALUE!</v>
      </c>
      <c r="O123" s="5" t="e">
        <f>Logs_Reseau6[[#This Row],[Duree_Cumulée_Panne]]/1440</f>
        <v>#VALUE!</v>
      </c>
      <c r="P12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24" spans="1:16" hidden="1" x14ac:dyDescent="0.25">
      <c r="A124" s="2">
        <v>45226</v>
      </c>
      <c r="B124" s="1">
        <v>0.57430555555555551</v>
      </c>
      <c r="C124" t="s">
        <v>1417</v>
      </c>
      <c r="D124">
        <v>81</v>
      </c>
      <c r="E124" t="s">
        <v>1303</v>
      </c>
      <c r="F124" t="str">
        <f>_xlfn.XLOOKUP(Logs_Reseau6[[#This Row],[Cell_ID]],Registre[ID_Antenne],Registre[Province_RDC],"Non Trouvée")</f>
        <v>Non Trouvée</v>
      </c>
      <c r="G124" t="str">
        <f>_xlfn.XLOOKUP(Logs_Reseau6[[#This Row],[Province]],Clients_Churn[Province_Client],Clients_Churn[ID_Client],"Aucun")</f>
        <v>Aucun</v>
      </c>
      <c r="H124" t="str">
        <f>_xlfn.XLOOKUP(Logs_Reseau6[[#This Row],[Cell_ID]],Registre[ID_Antenne],Registre[Technologie],"Rien à signaler")</f>
        <v>Rien à signaler</v>
      </c>
      <c r="I124" t="str">
        <f>_xlfn.XLOOKUP(Logs_Reseau6[[#This Row],[Cell_ID]],Registre[ID_Antenne],Registre[Equipementier],"Non Trouvée")</f>
        <v>Non Trouvée</v>
      </c>
      <c r="J124" t="str">
        <f>_xlfn.XLOOKUP(Logs_Reseau6[[#This Row],[Id_Client]],Clients_Churn[ID_Client],Clients_Churn[Type_Forfait],"Pas d'information")</f>
        <v>Pas d'information</v>
      </c>
      <c r="K124" s="5" t="str">
        <f>IF(Logs_Reseau6[[#This Row],[Type_Forfait]]="Pro Monde","B2B","B2C")</f>
        <v>B2C</v>
      </c>
      <c r="L124" s="5" t="str">
        <f>_xlfn.XLOOKUP(Logs_Reseau6[[#This Row],[Id_Client]],Clients_Churn[ID_Client],Clients_Churn[Duree_Cumulee_Panne_Min],"Non Trouvée")</f>
        <v>Non Trouvée</v>
      </c>
      <c r="M124" s="5" t="str">
        <f>_xlfn.XLOOKUP(Logs_Reseau6[[#This Row],[Id_Client]],Clients_Churn[ID_Client],Clients_Churn[Anciennete_Mois],"Rien à signaler")</f>
        <v>Rien à signaler</v>
      </c>
      <c r="N124" s="5" t="e">
        <f>Logs_Reseau6[[#This Row],[Anciennette]]/24</f>
        <v>#VALUE!</v>
      </c>
      <c r="O124" s="5" t="e">
        <f>Logs_Reseau6[[#This Row],[Duree_Cumulée_Panne]]/1440</f>
        <v>#VALUE!</v>
      </c>
      <c r="P12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25" spans="1:16" hidden="1" x14ac:dyDescent="0.25">
      <c r="A125" s="2">
        <v>45201</v>
      </c>
      <c r="B125" s="1">
        <v>0.77083333333333337</v>
      </c>
      <c r="C125" t="s">
        <v>1320</v>
      </c>
      <c r="D125">
        <v>18</v>
      </c>
      <c r="E125" t="s">
        <v>1305</v>
      </c>
      <c r="F125" t="str">
        <f>_xlfn.XLOOKUP(Logs_Reseau6[[#This Row],[Cell_ID]],Registre[ID_Antenne],Registre[Province_RDC],"Non Trouvée")</f>
        <v>Non Trouvée</v>
      </c>
      <c r="G125" t="str">
        <f>_xlfn.XLOOKUP(Logs_Reseau6[[#This Row],[Province]],Clients_Churn[Province_Client],Clients_Churn[ID_Client],"Aucun")</f>
        <v>Aucun</v>
      </c>
      <c r="H125" t="str">
        <f>_xlfn.XLOOKUP(Logs_Reseau6[[#This Row],[Cell_ID]],Registre[ID_Antenne],Registre[Technologie],"Rien à signaler")</f>
        <v>Rien à signaler</v>
      </c>
      <c r="I125" t="str">
        <f>_xlfn.XLOOKUP(Logs_Reseau6[[#This Row],[Cell_ID]],Registre[ID_Antenne],Registre[Equipementier],"Non Trouvée")</f>
        <v>Non Trouvée</v>
      </c>
      <c r="J125" t="str">
        <f>_xlfn.XLOOKUP(Logs_Reseau6[[#This Row],[Id_Client]],Clients_Churn[ID_Client],Clients_Churn[Type_Forfait],"Pas d'information")</f>
        <v>Pas d'information</v>
      </c>
      <c r="K125" s="5" t="str">
        <f>IF(Logs_Reseau6[[#This Row],[Type_Forfait]]="Pro Monde","B2B","B2C")</f>
        <v>B2C</v>
      </c>
      <c r="L125" s="5" t="str">
        <f>_xlfn.XLOOKUP(Logs_Reseau6[[#This Row],[Id_Client]],Clients_Churn[ID_Client],Clients_Churn[Duree_Cumulee_Panne_Min],"Non Trouvée")</f>
        <v>Non Trouvée</v>
      </c>
      <c r="M125" s="5" t="str">
        <f>_xlfn.XLOOKUP(Logs_Reseau6[[#This Row],[Id_Client]],Clients_Churn[ID_Client],Clients_Churn[Anciennete_Mois],"Rien à signaler")</f>
        <v>Rien à signaler</v>
      </c>
      <c r="N125" s="5" t="e">
        <f>Logs_Reseau6[[#This Row],[Anciennette]]/24</f>
        <v>#VALUE!</v>
      </c>
      <c r="O125" s="5" t="e">
        <f>Logs_Reseau6[[#This Row],[Duree_Cumulée_Panne]]/1440</f>
        <v>#VALUE!</v>
      </c>
      <c r="P12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26" spans="1:16" hidden="1" x14ac:dyDescent="0.25">
      <c r="A126" s="2">
        <v>45205</v>
      </c>
      <c r="B126" s="1">
        <v>0.6</v>
      </c>
      <c r="C126" t="s">
        <v>1320</v>
      </c>
      <c r="D126">
        <v>19</v>
      </c>
      <c r="E126" t="s">
        <v>1303</v>
      </c>
      <c r="F126" t="str">
        <f>_xlfn.XLOOKUP(Logs_Reseau6[[#This Row],[Cell_ID]],Registre[ID_Antenne],Registre[Province_RDC],"Non Trouvée")</f>
        <v>Non Trouvée</v>
      </c>
      <c r="G126" t="str">
        <f>_xlfn.XLOOKUP(Logs_Reseau6[[#This Row],[Province]],Clients_Churn[Province_Client],Clients_Churn[ID_Client],"Aucun")</f>
        <v>Aucun</v>
      </c>
      <c r="H126" t="str">
        <f>_xlfn.XLOOKUP(Logs_Reseau6[[#This Row],[Cell_ID]],Registre[ID_Antenne],Registre[Technologie],"Rien à signaler")</f>
        <v>Rien à signaler</v>
      </c>
      <c r="I126" t="str">
        <f>_xlfn.XLOOKUP(Logs_Reseau6[[#This Row],[Cell_ID]],Registre[ID_Antenne],Registre[Equipementier],"Non Trouvée")</f>
        <v>Non Trouvée</v>
      </c>
      <c r="J126" t="str">
        <f>_xlfn.XLOOKUP(Logs_Reseau6[[#This Row],[Id_Client]],Clients_Churn[ID_Client],Clients_Churn[Type_Forfait],"Pas d'information")</f>
        <v>Pas d'information</v>
      </c>
      <c r="K126" s="5" t="str">
        <f>IF(Logs_Reseau6[[#This Row],[Type_Forfait]]="Pro Monde","B2B","B2C")</f>
        <v>B2C</v>
      </c>
      <c r="L126" s="5" t="str">
        <f>_xlfn.XLOOKUP(Logs_Reseau6[[#This Row],[Id_Client]],Clients_Churn[ID_Client],Clients_Churn[Duree_Cumulee_Panne_Min],"Non Trouvée")</f>
        <v>Non Trouvée</v>
      </c>
      <c r="M126" s="5" t="str">
        <f>_xlfn.XLOOKUP(Logs_Reseau6[[#This Row],[Id_Client]],Clients_Churn[ID_Client],Clients_Churn[Anciennete_Mois],"Rien à signaler")</f>
        <v>Rien à signaler</v>
      </c>
      <c r="N126" s="5" t="e">
        <f>Logs_Reseau6[[#This Row],[Anciennette]]/24</f>
        <v>#VALUE!</v>
      </c>
      <c r="O126" s="5" t="e">
        <f>Logs_Reseau6[[#This Row],[Duree_Cumulée_Panne]]/1440</f>
        <v>#VALUE!</v>
      </c>
      <c r="P12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27" spans="1:16" hidden="1" x14ac:dyDescent="0.25">
      <c r="A127" s="2">
        <v>45204</v>
      </c>
      <c r="B127" s="1">
        <v>0.68472222222222223</v>
      </c>
      <c r="C127" t="s">
        <v>1503</v>
      </c>
      <c r="D127">
        <v>92</v>
      </c>
      <c r="E127" t="s">
        <v>1300</v>
      </c>
      <c r="F127" t="str">
        <f>_xlfn.XLOOKUP(Logs_Reseau6[[#This Row],[Cell_ID]],Registre[ID_Antenne],Registre[Province_RDC],"Non Trouvée")</f>
        <v>Non Trouvée</v>
      </c>
      <c r="G127" t="str">
        <f>_xlfn.XLOOKUP(Logs_Reseau6[[#This Row],[Province]],Clients_Churn[Province_Client],Clients_Churn[ID_Client],"Aucun")</f>
        <v>Aucun</v>
      </c>
      <c r="H127" t="str">
        <f>_xlfn.XLOOKUP(Logs_Reseau6[[#This Row],[Cell_ID]],Registre[ID_Antenne],Registre[Technologie],"Rien à signaler")</f>
        <v>Rien à signaler</v>
      </c>
      <c r="I127" t="str">
        <f>_xlfn.XLOOKUP(Logs_Reseau6[[#This Row],[Cell_ID]],Registre[ID_Antenne],Registre[Equipementier],"Non Trouvée")</f>
        <v>Non Trouvée</v>
      </c>
      <c r="J127" t="str">
        <f>_xlfn.XLOOKUP(Logs_Reseau6[[#This Row],[Id_Client]],Clients_Churn[ID_Client],Clients_Churn[Type_Forfait],"Pas d'information")</f>
        <v>Pas d'information</v>
      </c>
      <c r="K127" s="5" t="str">
        <f>IF(Logs_Reseau6[[#This Row],[Type_Forfait]]="Pro Monde","B2B","B2C")</f>
        <v>B2C</v>
      </c>
      <c r="L127" s="5" t="str">
        <f>_xlfn.XLOOKUP(Logs_Reseau6[[#This Row],[Id_Client]],Clients_Churn[ID_Client],Clients_Churn[Duree_Cumulee_Panne_Min],"Non Trouvée")</f>
        <v>Non Trouvée</v>
      </c>
      <c r="M127" s="5" t="str">
        <f>_xlfn.XLOOKUP(Logs_Reseau6[[#This Row],[Id_Client]],Clients_Churn[ID_Client],Clients_Churn[Anciennete_Mois],"Rien à signaler")</f>
        <v>Rien à signaler</v>
      </c>
      <c r="N127" s="5" t="e">
        <f>Logs_Reseau6[[#This Row],[Anciennette]]/24</f>
        <v>#VALUE!</v>
      </c>
      <c r="O127" s="5" t="e">
        <f>Logs_Reseau6[[#This Row],[Duree_Cumulée_Panne]]/1440</f>
        <v>#VALUE!</v>
      </c>
      <c r="P12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28" spans="1:16" hidden="1" x14ac:dyDescent="0.25">
      <c r="A128" s="2">
        <v>45224</v>
      </c>
      <c r="B128" s="1">
        <v>0.31041666666666667</v>
      </c>
      <c r="C128" t="s">
        <v>1503</v>
      </c>
      <c r="D128">
        <v>98</v>
      </c>
      <c r="E128" t="s">
        <v>1303</v>
      </c>
      <c r="F128" t="str">
        <f>_xlfn.XLOOKUP(Logs_Reseau6[[#This Row],[Cell_ID]],Registre[ID_Antenne],Registre[Province_RDC],"Non Trouvée")</f>
        <v>Non Trouvée</v>
      </c>
      <c r="G128" t="str">
        <f>_xlfn.XLOOKUP(Logs_Reseau6[[#This Row],[Province]],Clients_Churn[Province_Client],Clients_Churn[ID_Client],"Aucun")</f>
        <v>Aucun</v>
      </c>
      <c r="H128" t="str">
        <f>_xlfn.XLOOKUP(Logs_Reseau6[[#This Row],[Cell_ID]],Registre[ID_Antenne],Registre[Technologie],"Rien à signaler")</f>
        <v>Rien à signaler</v>
      </c>
      <c r="I128" t="str">
        <f>_xlfn.XLOOKUP(Logs_Reseau6[[#This Row],[Cell_ID]],Registre[ID_Antenne],Registre[Equipementier],"Non Trouvée")</f>
        <v>Non Trouvée</v>
      </c>
      <c r="J128" t="str">
        <f>_xlfn.XLOOKUP(Logs_Reseau6[[#This Row],[Id_Client]],Clients_Churn[ID_Client],Clients_Churn[Type_Forfait],"Pas d'information")</f>
        <v>Pas d'information</v>
      </c>
      <c r="K128" s="5" t="str">
        <f>IF(Logs_Reseau6[[#This Row],[Type_Forfait]]="Pro Monde","B2B","B2C")</f>
        <v>B2C</v>
      </c>
      <c r="L128" s="5" t="str">
        <f>_xlfn.XLOOKUP(Logs_Reseau6[[#This Row],[Id_Client]],Clients_Churn[ID_Client],Clients_Churn[Duree_Cumulee_Panne_Min],"Non Trouvée")</f>
        <v>Non Trouvée</v>
      </c>
      <c r="M128" s="5" t="str">
        <f>_xlfn.XLOOKUP(Logs_Reseau6[[#This Row],[Id_Client]],Clients_Churn[ID_Client],Clients_Churn[Anciennete_Mois],"Rien à signaler")</f>
        <v>Rien à signaler</v>
      </c>
      <c r="N128" s="5" t="e">
        <f>Logs_Reseau6[[#This Row],[Anciennette]]/24</f>
        <v>#VALUE!</v>
      </c>
      <c r="O128" s="5" t="e">
        <f>Logs_Reseau6[[#This Row],[Duree_Cumulée_Panne]]/1440</f>
        <v>#VALUE!</v>
      </c>
      <c r="P12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29" spans="1:16" hidden="1" x14ac:dyDescent="0.25">
      <c r="A129" s="2">
        <v>45225</v>
      </c>
      <c r="B129" s="1">
        <v>0.92152777777777772</v>
      </c>
      <c r="C129" t="s">
        <v>1503</v>
      </c>
      <c r="D129">
        <v>45</v>
      </c>
      <c r="E129" t="s">
        <v>1300</v>
      </c>
      <c r="F129" t="str">
        <f>_xlfn.XLOOKUP(Logs_Reseau6[[#This Row],[Cell_ID]],Registre[ID_Antenne],Registre[Province_RDC],"Non Trouvée")</f>
        <v>Non Trouvée</v>
      </c>
      <c r="G129" t="str">
        <f>_xlfn.XLOOKUP(Logs_Reseau6[[#This Row],[Province]],Clients_Churn[Province_Client],Clients_Churn[ID_Client],"Aucun")</f>
        <v>Aucun</v>
      </c>
      <c r="H129" t="str">
        <f>_xlfn.XLOOKUP(Logs_Reseau6[[#This Row],[Cell_ID]],Registre[ID_Antenne],Registre[Technologie],"Rien à signaler")</f>
        <v>Rien à signaler</v>
      </c>
      <c r="I129" t="str">
        <f>_xlfn.XLOOKUP(Logs_Reseau6[[#This Row],[Cell_ID]],Registre[ID_Antenne],Registre[Equipementier],"Non Trouvée")</f>
        <v>Non Trouvée</v>
      </c>
      <c r="J129" t="str">
        <f>_xlfn.XLOOKUP(Logs_Reseau6[[#This Row],[Id_Client]],Clients_Churn[ID_Client],Clients_Churn[Type_Forfait],"Pas d'information")</f>
        <v>Pas d'information</v>
      </c>
      <c r="K129" s="5" t="str">
        <f>IF(Logs_Reseau6[[#This Row],[Type_Forfait]]="Pro Monde","B2B","B2C")</f>
        <v>B2C</v>
      </c>
      <c r="L129" s="5" t="str">
        <f>_xlfn.XLOOKUP(Logs_Reseau6[[#This Row],[Id_Client]],Clients_Churn[ID_Client],Clients_Churn[Duree_Cumulee_Panne_Min],"Non Trouvée")</f>
        <v>Non Trouvée</v>
      </c>
      <c r="M129" s="5" t="str">
        <f>_xlfn.XLOOKUP(Logs_Reseau6[[#This Row],[Id_Client]],Clients_Churn[ID_Client],Clients_Churn[Anciennete_Mois],"Rien à signaler")</f>
        <v>Rien à signaler</v>
      </c>
      <c r="N129" s="5" t="e">
        <f>Logs_Reseau6[[#This Row],[Anciennette]]/24</f>
        <v>#VALUE!</v>
      </c>
      <c r="O129" s="5" t="e">
        <f>Logs_Reseau6[[#This Row],[Duree_Cumulée_Panne]]/1440</f>
        <v>#VALUE!</v>
      </c>
      <c r="P12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30" spans="1:16" x14ac:dyDescent="0.25">
      <c r="A130" s="2">
        <v>45203</v>
      </c>
      <c r="B130" s="1">
        <v>0.91041666666666665</v>
      </c>
      <c r="C130" t="s">
        <v>960</v>
      </c>
      <c r="D130">
        <v>62</v>
      </c>
      <c r="E130" t="s">
        <v>1300</v>
      </c>
      <c r="F130" t="str">
        <f>_xlfn.XLOOKUP(Logs_Reseau6[[#This Row],[Cell_ID]],Registre[ID_Antenne],Registre[Province_RDC],"Non Trouvée")</f>
        <v>Maniema</v>
      </c>
      <c r="G130" t="str">
        <f>_xlfn.XLOOKUP(Logs_Reseau6[[#This Row],[Province]],Clients_Churn[Province_Client],Clients_Churn[ID_Client],"Aucun")</f>
        <v>CLI-00039</v>
      </c>
      <c r="H130" t="str">
        <f>_xlfn.XLOOKUP(Logs_Reseau6[[#This Row],[Cell_ID]],Registre[ID_Antenne],Registre[Technologie],"Rien à signaler")</f>
        <v>4G</v>
      </c>
      <c r="I130" t="str">
        <f>_xlfn.XLOOKUP(Logs_Reseau6[[#This Row],[Cell_ID]],Registre[ID_Antenne],Registre[Equipementier],"Non Trouvée")</f>
        <v>Nokia</v>
      </c>
      <c r="J130" t="str">
        <f>_xlfn.XLOOKUP(Logs_Reseau6[[#This Row],[Id_Client]],Clients_Churn[ID_Client],Clients_Churn[Type_Forfait],"Pas d'information")</f>
        <v>Pro Monde</v>
      </c>
      <c r="K130" s="5" t="str">
        <f>IF(Logs_Reseau6[[#This Row],[Type_Forfait]]="Pro Monde","B2B","B2C")</f>
        <v>B2B</v>
      </c>
      <c r="L130" s="5">
        <f>_xlfn.XLOOKUP(Logs_Reseau6[[#This Row],[Id_Client]],Clients_Churn[ID_Client],Clients_Churn[Duree_Cumulee_Panne_Min],"Non Trouvée")</f>
        <v>31</v>
      </c>
      <c r="M130" s="5">
        <f>_xlfn.XLOOKUP(Logs_Reseau6[[#This Row],[Id_Client]],Clients_Churn[ID_Client],Clients_Churn[Anciennete_Mois],"Rien à signaler")</f>
        <v>119</v>
      </c>
      <c r="N130" s="11">
        <f>Logs_Reseau6[[#This Row],[Anciennette]]/24</f>
        <v>4.958333333333333</v>
      </c>
      <c r="O130" s="1">
        <f>Logs_Reseau6[[#This Row],[Duree_Cumulée_Panne]]/1440</f>
        <v>2.1527777777777778E-2</v>
      </c>
      <c r="P13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31" spans="1:16" x14ac:dyDescent="0.25">
      <c r="A131" s="2">
        <v>45212</v>
      </c>
      <c r="B131" s="1">
        <v>0.41736111111111113</v>
      </c>
      <c r="C131" t="s">
        <v>960</v>
      </c>
      <c r="D131">
        <v>55</v>
      </c>
      <c r="E131" t="s">
        <v>1303</v>
      </c>
      <c r="F131" t="str">
        <f>_xlfn.XLOOKUP(Logs_Reseau6[[#This Row],[Cell_ID]],Registre[ID_Antenne],Registre[Province_RDC],"Non Trouvée")</f>
        <v>Maniema</v>
      </c>
      <c r="G131" t="str">
        <f>_xlfn.XLOOKUP(Logs_Reseau6[[#This Row],[Province]],Clients_Churn[Province_Client],Clients_Churn[ID_Client],"Aucun")</f>
        <v>CLI-00039</v>
      </c>
      <c r="H131" t="str">
        <f>_xlfn.XLOOKUP(Logs_Reseau6[[#This Row],[Cell_ID]],Registre[ID_Antenne],Registre[Technologie],"Rien à signaler")</f>
        <v>4G</v>
      </c>
      <c r="I131" t="str">
        <f>_xlfn.XLOOKUP(Logs_Reseau6[[#This Row],[Cell_ID]],Registre[ID_Antenne],Registre[Equipementier],"Non Trouvée")</f>
        <v>Nokia</v>
      </c>
      <c r="J131" t="str">
        <f>_xlfn.XLOOKUP(Logs_Reseau6[[#This Row],[Id_Client]],Clients_Churn[ID_Client],Clients_Churn[Type_Forfait],"Pas d'information")</f>
        <v>Pro Monde</v>
      </c>
      <c r="K131" s="5" t="str">
        <f>IF(Logs_Reseau6[[#This Row],[Type_Forfait]]="Pro Monde","B2B","B2C")</f>
        <v>B2B</v>
      </c>
      <c r="L131" s="5">
        <f>_xlfn.XLOOKUP(Logs_Reseau6[[#This Row],[Id_Client]],Clients_Churn[ID_Client],Clients_Churn[Duree_Cumulee_Panne_Min],"Non Trouvée")</f>
        <v>31</v>
      </c>
      <c r="M131" s="5">
        <f>_xlfn.XLOOKUP(Logs_Reseau6[[#This Row],[Id_Client]],Clients_Churn[ID_Client],Clients_Churn[Anciennete_Mois],"Rien à signaler")</f>
        <v>119</v>
      </c>
      <c r="N131" s="11">
        <f>Logs_Reseau6[[#This Row],[Anciennette]]/24</f>
        <v>4.958333333333333</v>
      </c>
      <c r="O131" s="1">
        <f>Logs_Reseau6[[#This Row],[Duree_Cumulée_Panne]]/1440</f>
        <v>2.1527777777777778E-2</v>
      </c>
      <c r="P13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32" spans="1:16" x14ac:dyDescent="0.25">
      <c r="A132" s="2">
        <v>45216</v>
      </c>
      <c r="B132" s="1">
        <v>0.43541666666666667</v>
      </c>
      <c r="C132" t="s">
        <v>960</v>
      </c>
      <c r="D132">
        <v>88</v>
      </c>
      <c r="E132" t="s">
        <v>1300</v>
      </c>
      <c r="F132" t="str">
        <f>_xlfn.XLOOKUP(Logs_Reseau6[[#This Row],[Cell_ID]],Registre[ID_Antenne],Registre[Province_RDC],"Non Trouvée")</f>
        <v>Maniema</v>
      </c>
      <c r="G132" t="str">
        <f>_xlfn.XLOOKUP(Logs_Reseau6[[#This Row],[Province]],Clients_Churn[Province_Client],Clients_Churn[ID_Client],"Aucun")</f>
        <v>CLI-00039</v>
      </c>
      <c r="H132" t="str">
        <f>_xlfn.XLOOKUP(Logs_Reseau6[[#This Row],[Cell_ID]],Registre[ID_Antenne],Registre[Technologie],"Rien à signaler")</f>
        <v>4G</v>
      </c>
      <c r="I132" t="str">
        <f>_xlfn.XLOOKUP(Logs_Reseau6[[#This Row],[Cell_ID]],Registre[ID_Antenne],Registre[Equipementier],"Non Trouvée")</f>
        <v>Nokia</v>
      </c>
      <c r="J132" t="str">
        <f>_xlfn.XLOOKUP(Logs_Reseau6[[#This Row],[Id_Client]],Clients_Churn[ID_Client],Clients_Churn[Type_Forfait],"Pas d'information")</f>
        <v>Pro Monde</v>
      </c>
      <c r="K132" s="5" t="str">
        <f>IF(Logs_Reseau6[[#This Row],[Type_Forfait]]="Pro Monde","B2B","B2C")</f>
        <v>B2B</v>
      </c>
      <c r="L132" s="5">
        <f>_xlfn.XLOOKUP(Logs_Reseau6[[#This Row],[Id_Client]],Clients_Churn[ID_Client],Clients_Churn[Duree_Cumulee_Panne_Min],"Non Trouvée")</f>
        <v>31</v>
      </c>
      <c r="M132" s="5">
        <f>_xlfn.XLOOKUP(Logs_Reseau6[[#This Row],[Id_Client]],Clients_Churn[ID_Client],Clients_Churn[Anciennete_Mois],"Rien à signaler")</f>
        <v>119</v>
      </c>
      <c r="N132" s="11">
        <f>Logs_Reseau6[[#This Row],[Anciennette]]/24</f>
        <v>4.958333333333333</v>
      </c>
      <c r="O132" s="1">
        <f>Logs_Reseau6[[#This Row],[Duree_Cumulée_Panne]]/1440</f>
        <v>2.1527777777777778E-2</v>
      </c>
      <c r="P13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33" spans="1:16" hidden="1" x14ac:dyDescent="0.25">
      <c r="A133" s="2">
        <v>45200</v>
      </c>
      <c r="B133" s="1">
        <v>0.83611111111111114</v>
      </c>
      <c r="C133" t="s">
        <v>1429</v>
      </c>
      <c r="D133">
        <v>6</v>
      </c>
      <c r="E133" t="s">
        <v>1300</v>
      </c>
      <c r="F133" t="str">
        <f>_xlfn.XLOOKUP(Logs_Reseau6[[#This Row],[Cell_ID]],Registre[ID_Antenne],Registre[Province_RDC],"Non Trouvée")</f>
        <v>Non Trouvée</v>
      </c>
      <c r="G133" t="str">
        <f>_xlfn.XLOOKUP(Logs_Reseau6[[#This Row],[Province]],Clients_Churn[Province_Client],Clients_Churn[ID_Client],"Aucun")</f>
        <v>Aucun</v>
      </c>
      <c r="H133" t="str">
        <f>_xlfn.XLOOKUP(Logs_Reseau6[[#This Row],[Cell_ID]],Registre[ID_Antenne],Registre[Technologie],"Rien à signaler")</f>
        <v>Rien à signaler</v>
      </c>
      <c r="I133" t="str">
        <f>_xlfn.XLOOKUP(Logs_Reseau6[[#This Row],[Cell_ID]],Registre[ID_Antenne],Registre[Equipementier],"Non Trouvée")</f>
        <v>Non Trouvée</v>
      </c>
      <c r="J133" t="str">
        <f>_xlfn.XLOOKUP(Logs_Reseau6[[#This Row],[Id_Client]],Clients_Churn[ID_Client],Clients_Churn[Type_Forfait],"Pas d'information")</f>
        <v>Pas d'information</v>
      </c>
      <c r="K133" s="5" t="str">
        <f>IF(Logs_Reseau6[[#This Row],[Type_Forfait]]="Pro Monde","B2B","B2C")</f>
        <v>B2C</v>
      </c>
      <c r="L133" s="5" t="str">
        <f>_xlfn.XLOOKUP(Logs_Reseau6[[#This Row],[Id_Client]],Clients_Churn[ID_Client],Clients_Churn[Duree_Cumulee_Panne_Min],"Non Trouvée")</f>
        <v>Non Trouvée</v>
      </c>
      <c r="M133" s="5" t="str">
        <f>_xlfn.XLOOKUP(Logs_Reseau6[[#This Row],[Id_Client]],Clients_Churn[ID_Client],Clients_Churn[Anciennete_Mois],"Rien à signaler")</f>
        <v>Rien à signaler</v>
      </c>
      <c r="N133" s="5" t="e">
        <f>Logs_Reseau6[[#This Row],[Anciennette]]/24</f>
        <v>#VALUE!</v>
      </c>
      <c r="O133" s="5" t="e">
        <f>Logs_Reseau6[[#This Row],[Duree_Cumulée_Panne]]/1440</f>
        <v>#VALUE!</v>
      </c>
      <c r="P13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34" spans="1:16" hidden="1" x14ac:dyDescent="0.25">
      <c r="A134" s="2">
        <v>45209</v>
      </c>
      <c r="B134" s="1">
        <v>0.46250000000000002</v>
      </c>
      <c r="C134" t="s">
        <v>1429</v>
      </c>
      <c r="D134">
        <v>102</v>
      </c>
      <c r="E134" t="s">
        <v>1305</v>
      </c>
      <c r="F134" t="str">
        <f>_xlfn.XLOOKUP(Logs_Reseau6[[#This Row],[Cell_ID]],Registre[ID_Antenne],Registre[Province_RDC],"Non Trouvée")</f>
        <v>Non Trouvée</v>
      </c>
      <c r="G134" t="str">
        <f>_xlfn.XLOOKUP(Logs_Reseau6[[#This Row],[Province]],Clients_Churn[Province_Client],Clients_Churn[ID_Client],"Aucun")</f>
        <v>Aucun</v>
      </c>
      <c r="H134" t="str">
        <f>_xlfn.XLOOKUP(Logs_Reseau6[[#This Row],[Cell_ID]],Registre[ID_Antenne],Registre[Technologie],"Rien à signaler")</f>
        <v>Rien à signaler</v>
      </c>
      <c r="I134" t="str">
        <f>_xlfn.XLOOKUP(Logs_Reseau6[[#This Row],[Cell_ID]],Registre[ID_Antenne],Registre[Equipementier],"Non Trouvée")</f>
        <v>Non Trouvée</v>
      </c>
      <c r="J134" t="str">
        <f>_xlfn.XLOOKUP(Logs_Reseau6[[#This Row],[Id_Client]],Clients_Churn[ID_Client],Clients_Churn[Type_Forfait],"Pas d'information")</f>
        <v>Pas d'information</v>
      </c>
      <c r="K134" s="5" t="str">
        <f>IF(Logs_Reseau6[[#This Row],[Type_Forfait]]="Pro Monde","B2B","B2C")</f>
        <v>B2C</v>
      </c>
      <c r="L134" s="5" t="str">
        <f>_xlfn.XLOOKUP(Logs_Reseau6[[#This Row],[Id_Client]],Clients_Churn[ID_Client],Clients_Churn[Duree_Cumulee_Panne_Min],"Non Trouvée")</f>
        <v>Non Trouvée</v>
      </c>
      <c r="M134" s="5" t="str">
        <f>_xlfn.XLOOKUP(Logs_Reseau6[[#This Row],[Id_Client]],Clients_Churn[ID_Client],Clients_Churn[Anciennete_Mois],"Rien à signaler")</f>
        <v>Rien à signaler</v>
      </c>
      <c r="N134" s="5" t="e">
        <f>Logs_Reseau6[[#This Row],[Anciennette]]/24</f>
        <v>#VALUE!</v>
      </c>
      <c r="O134" s="5" t="e">
        <f>Logs_Reseau6[[#This Row],[Duree_Cumulée_Panne]]/1440</f>
        <v>#VALUE!</v>
      </c>
      <c r="P13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35" spans="1:16" hidden="1" x14ac:dyDescent="0.25">
      <c r="A135" s="2">
        <v>45210</v>
      </c>
      <c r="B135" s="1">
        <v>7.6388888888888886E-3</v>
      </c>
      <c r="C135" t="s">
        <v>1429</v>
      </c>
      <c r="D135">
        <v>59</v>
      </c>
      <c r="E135" t="s">
        <v>1303</v>
      </c>
      <c r="F135" t="str">
        <f>_xlfn.XLOOKUP(Logs_Reseau6[[#This Row],[Cell_ID]],Registre[ID_Antenne],Registre[Province_RDC],"Non Trouvée")</f>
        <v>Non Trouvée</v>
      </c>
      <c r="G135" t="str">
        <f>_xlfn.XLOOKUP(Logs_Reseau6[[#This Row],[Province]],Clients_Churn[Province_Client],Clients_Churn[ID_Client],"Aucun")</f>
        <v>Aucun</v>
      </c>
      <c r="H135" t="str">
        <f>_xlfn.XLOOKUP(Logs_Reseau6[[#This Row],[Cell_ID]],Registre[ID_Antenne],Registre[Technologie],"Rien à signaler")</f>
        <v>Rien à signaler</v>
      </c>
      <c r="I135" t="str">
        <f>_xlfn.XLOOKUP(Logs_Reseau6[[#This Row],[Cell_ID]],Registre[ID_Antenne],Registre[Equipementier],"Non Trouvée")</f>
        <v>Non Trouvée</v>
      </c>
      <c r="J135" t="str">
        <f>_xlfn.XLOOKUP(Logs_Reseau6[[#This Row],[Id_Client]],Clients_Churn[ID_Client],Clients_Churn[Type_Forfait],"Pas d'information")</f>
        <v>Pas d'information</v>
      </c>
      <c r="K135" s="5" t="str">
        <f>IF(Logs_Reseau6[[#This Row],[Type_Forfait]]="Pro Monde","B2B","B2C")</f>
        <v>B2C</v>
      </c>
      <c r="L135" s="5" t="str">
        <f>_xlfn.XLOOKUP(Logs_Reseau6[[#This Row],[Id_Client]],Clients_Churn[ID_Client],Clients_Churn[Duree_Cumulee_Panne_Min],"Non Trouvée")</f>
        <v>Non Trouvée</v>
      </c>
      <c r="M135" s="5" t="str">
        <f>_xlfn.XLOOKUP(Logs_Reseau6[[#This Row],[Id_Client]],Clients_Churn[ID_Client],Clients_Churn[Anciennete_Mois],"Rien à signaler")</f>
        <v>Rien à signaler</v>
      </c>
      <c r="N135" s="5" t="e">
        <f>Logs_Reseau6[[#This Row],[Anciennette]]/24</f>
        <v>#VALUE!</v>
      </c>
      <c r="O135" s="5" t="e">
        <f>Logs_Reseau6[[#This Row],[Duree_Cumulée_Panne]]/1440</f>
        <v>#VALUE!</v>
      </c>
      <c r="P13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36" spans="1:16" hidden="1" x14ac:dyDescent="0.25">
      <c r="A136" s="2">
        <v>45225</v>
      </c>
      <c r="B136" s="1">
        <v>0.43263888888888891</v>
      </c>
      <c r="C136" t="s">
        <v>1378</v>
      </c>
      <c r="D136">
        <v>50</v>
      </c>
      <c r="E136" t="s">
        <v>1303</v>
      </c>
      <c r="F136" t="str">
        <f>_xlfn.XLOOKUP(Logs_Reseau6[[#This Row],[Cell_ID]],Registre[ID_Antenne],Registre[Province_RDC],"Non Trouvée")</f>
        <v>Non Trouvée</v>
      </c>
      <c r="G136" t="str">
        <f>_xlfn.XLOOKUP(Logs_Reseau6[[#This Row],[Province]],Clients_Churn[Province_Client],Clients_Churn[ID_Client],"Aucun")</f>
        <v>Aucun</v>
      </c>
      <c r="H136" t="str">
        <f>_xlfn.XLOOKUP(Logs_Reseau6[[#This Row],[Cell_ID]],Registre[ID_Antenne],Registre[Technologie],"Rien à signaler")</f>
        <v>Rien à signaler</v>
      </c>
      <c r="I136" t="str">
        <f>_xlfn.XLOOKUP(Logs_Reseau6[[#This Row],[Cell_ID]],Registre[ID_Antenne],Registre[Equipementier],"Non Trouvée")</f>
        <v>Non Trouvée</v>
      </c>
      <c r="J136" t="str">
        <f>_xlfn.XLOOKUP(Logs_Reseau6[[#This Row],[Id_Client]],Clients_Churn[ID_Client],Clients_Churn[Type_Forfait],"Pas d'information")</f>
        <v>Pas d'information</v>
      </c>
      <c r="K136" s="5" t="str">
        <f>IF(Logs_Reseau6[[#This Row],[Type_Forfait]]="Pro Monde","B2B","B2C")</f>
        <v>B2C</v>
      </c>
      <c r="L136" s="5" t="str">
        <f>_xlfn.XLOOKUP(Logs_Reseau6[[#This Row],[Id_Client]],Clients_Churn[ID_Client],Clients_Churn[Duree_Cumulee_Panne_Min],"Non Trouvée")</f>
        <v>Non Trouvée</v>
      </c>
      <c r="M136" s="5" t="str">
        <f>_xlfn.XLOOKUP(Logs_Reseau6[[#This Row],[Id_Client]],Clients_Churn[ID_Client],Clients_Churn[Anciennete_Mois],"Rien à signaler")</f>
        <v>Rien à signaler</v>
      </c>
      <c r="N136" s="5" t="e">
        <f>Logs_Reseau6[[#This Row],[Anciennette]]/24</f>
        <v>#VALUE!</v>
      </c>
      <c r="O136" s="5" t="e">
        <f>Logs_Reseau6[[#This Row],[Duree_Cumulée_Panne]]/1440</f>
        <v>#VALUE!</v>
      </c>
      <c r="P13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37" spans="1:16" hidden="1" x14ac:dyDescent="0.25">
      <c r="A137" s="2">
        <v>45230</v>
      </c>
      <c r="B137" s="1">
        <v>0.62986111111111109</v>
      </c>
      <c r="C137" t="s">
        <v>1378</v>
      </c>
      <c r="D137">
        <v>91</v>
      </c>
      <c r="E137" t="s">
        <v>1300</v>
      </c>
      <c r="F137" t="str">
        <f>_xlfn.XLOOKUP(Logs_Reseau6[[#This Row],[Cell_ID]],Registre[ID_Antenne],Registre[Province_RDC],"Non Trouvée")</f>
        <v>Non Trouvée</v>
      </c>
      <c r="G137" t="str">
        <f>_xlfn.XLOOKUP(Logs_Reseau6[[#This Row],[Province]],Clients_Churn[Province_Client],Clients_Churn[ID_Client],"Aucun")</f>
        <v>Aucun</v>
      </c>
      <c r="H137" t="str">
        <f>_xlfn.XLOOKUP(Logs_Reseau6[[#This Row],[Cell_ID]],Registre[ID_Antenne],Registre[Technologie],"Rien à signaler")</f>
        <v>Rien à signaler</v>
      </c>
      <c r="I137" t="str">
        <f>_xlfn.XLOOKUP(Logs_Reseau6[[#This Row],[Cell_ID]],Registre[ID_Antenne],Registre[Equipementier],"Non Trouvée")</f>
        <v>Non Trouvée</v>
      </c>
      <c r="J137" t="str">
        <f>_xlfn.XLOOKUP(Logs_Reseau6[[#This Row],[Id_Client]],Clients_Churn[ID_Client],Clients_Churn[Type_Forfait],"Pas d'information")</f>
        <v>Pas d'information</v>
      </c>
      <c r="K137" s="5" t="str">
        <f>IF(Logs_Reseau6[[#This Row],[Type_Forfait]]="Pro Monde","B2B","B2C")</f>
        <v>B2C</v>
      </c>
      <c r="L137" s="5" t="str">
        <f>_xlfn.XLOOKUP(Logs_Reseau6[[#This Row],[Id_Client]],Clients_Churn[ID_Client],Clients_Churn[Duree_Cumulee_Panne_Min],"Non Trouvée")</f>
        <v>Non Trouvée</v>
      </c>
      <c r="M137" s="5" t="str">
        <f>_xlfn.XLOOKUP(Logs_Reseau6[[#This Row],[Id_Client]],Clients_Churn[ID_Client],Clients_Churn[Anciennete_Mois],"Rien à signaler")</f>
        <v>Rien à signaler</v>
      </c>
      <c r="N137" s="5" t="e">
        <f>Logs_Reseau6[[#This Row],[Anciennette]]/24</f>
        <v>#VALUE!</v>
      </c>
      <c r="O137" s="5" t="e">
        <f>Logs_Reseau6[[#This Row],[Duree_Cumulée_Panne]]/1440</f>
        <v>#VALUE!</v>
      </c>
      <c r="P13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38" spans="1:16" x14ac:dyDescent="0.25">
      <c r="A138" s="2">
        <v>45230</v>
      </c>
      <c r="B138" s="1">
        <v>0.39513888888888887</v>
      </c>
      <c r="C138" t="s">
        <v>1044</v>
      </c>
      <c r="D138">
        <v>89</v>
      </c>
      <c r="E138" t="s">
        <v>1305</v>
      </c>
      <c r="F138" t="str">
        <f>_xlfn.XLOOKUP(Logs_Reseau6[[#This Row],[Cell_ID]],Registre[ID_Antenne],Registre[Province_RDC],"Non Trouvée")</f>
        <v>Bas-Uele</v>
      </c>
      <c r="G138" t="str">
        <f>_xlfn.XLOOKUP(Logs_Reseau6[[#This Row],[Province]],Clients_Churn[Province_Client],Clients_Churn[ID_Client],"Aucun")</f>
        <v>CLI-00029</v>
      </c>
      <c r="H138" t="str">
        <f>_xlfn.XLOOKUP(Logs_Reseau6[[#This Row],[Cell_ID]],Registre[ID_Antenne],Registre[Technologie],"Rien à signaler")</f>
        <v>4G</v>
      </c>
      <c r="I138" t="str">
        <f>_xlfn.XLOOKUP(Logs_Reseau6[[#This Row],[Cell_ID]],Registre[ID_Antenne],Registre[Equipementier],"Non Trouvée")</f>
        <v>Huawei</v>
      </c>
      <c r="J138" t="str">
        <f>_xlfn.XLOOKUP(Logs_Reseau6[[#This Row],[Id_Client]],Clients_Churn[ID_Client],Clients_Churn[Type_Forfait],"Pas d'information")</f>
        <v>Pro Monde</v>
      </c>
      <c r="K138" s="5" t="str">
        <f>IF(Logs_Reseau6[[#This Row],[Type_Forfait]]="Pro Monde","B2B","B2C")</f>
        <v>B2B</v>
      </c>
      <c r="L138" s="5">
        <f>_xlfn.XLOOKUP(Logs_Reseau6[[#This Row],[Id_Client]],Clients_Churn[ID_Client],Clients_Churn[Duree_Cumulee_Panne_Min],"Non Trouvée")</f>
        <v>344</v>
      </c>
      <c r="M138" s="5">
        <f>_xlfn.XLOOKUP(Logs_Reseau6[[#This Row],[Id_Client]],Clients_Churn[ID_Client],Clients_Churn[Anciennete_Mois],"Rien à signaler")</f>
        <v>119</v>
      </c>
      <c r="N138" s="11">
        <f>Logs_Reseau6[[#This Row],[Anciennette]]/24</f>
        <v>4.958333333333333</v>
      </c>
      <c r="O138" s="1">
        <f>Logs_Reseau6[[#This Row],[Duree_Cumulée_Panne]]/1440</f>
        <v>0.2388888888888889</v>
      </c>
      <c r="P13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39" spans="1:16" x14ac:dyDescent="0.25">
      <c r="A139" s="2">
        <v>45207</v>
      </c>
      <c r="B139" s="1">
        <v>1.1111111111111112E-2</v>
      </c>
      <c r="C139" t="s">
        <v>953</v>
      </c>
      <c r="D139">
        <v>32</v>
      </c>
      <c r="E139" t="s">
        <v>1300</v>
      </c>
      <c r="F139" t="str">
        <f>_xlfn.XLOOKUP(Logs_Reseau6[[#This Row],[Cell_ID]],Registre[ID_Antenne],Registre[Province_RDC],"Non Trouvée")</f>
        <v>Kasai-Central</v>
      </c>
      <c r="G139" t="str">
        <f>_xlfn.XLOOKUP(Logs_Reseau6[[#This Row],[Province]],Clients_Churn[Province_Client],Clients_Churn[ID_Client],"Aucun")</f>
        <v>CLI-00060</v>
      </c>
      <c r="H139" t="str">
        <f>_xlfn.XLOOKUP(Logs_Reseau6[[#This Row],[Cell_ID]],Registre[ID_Antenne],Registre[Technologie],"Rien à signaler")</f>
        <v>3G</v>
      </c>
      <c r="I139" t="str">
        <f>_xlfn.XLOOKUP(Logs_Reseau6[[#This Row],[Cell_ID]],Registre[ID_Antenne],Registre[Equipementier],"Non Trouvée")</f>
        <v>Nokia</v>
      </c>
      <c r="J139" t="str">
        <f>_xlfn.XLOOKUP(Logs_Reseau6[[#This Row],[Id_Client]],Clients_Churn[ID_Client],Clients_Churn[Type_Forfait],"Pas d'information")</f>
        <v>Pro Monde</v>
      </c>
      <c r="K139" s="5" t="str">
        <f>IF(Logs_Reseau6[[#This Row],[Type_Forfait]]="Pro Monde","B2B","B2C")</f>
        <v>B2B</v>
      </c>
      <c r="L139" s="5">
        <f>_xlfn.XLOOKUP(Logs_Reseau6[[#This Row],[Id_Client]],Clients_Churn[ID_Client],Clients_Churn[Duree_Cumulee_Panne_Min],"Non Trouvée")</f>
        <v>160</v>
      </c>
      <c r="M139" s="5">
        <f>_xlfn.XLOOKUP(Logs_Reseau6[[#This Row],[Id_Client]],Clients_Churn[ID_Client],Clients_Churn[Anciennete_Mois],"Rien à signaler")</f>
        <v>72</v>
      </c>
      <c r="N139" s="11">
        <f>Logs_Reseau6[[#This Row],[Anciennette]]/24</f>
        <v>3</v>
      </c>
      <c r="O139" s="1">
        <f>Logs_Reseau6[[#This Row],[Duree_Cumulée_Panne]]/1440</f>
        <v>0.1111111111111111</v>
      </c>
      <c r="P13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40" spans="1:16" x14ac:dyDescent="0.25">
      <c r="A140" s="2">
        <v>45204</v>
      </c>
      <c r="B140" s="1">
        <v>0.625</v>
      </c>
      <c r="C140" t="s">
        <v>1268</v>
      </c>
      <c r="D140">
        <v>94</v>
      </c>
      <c r="E140" t="s">
        <v>1305</v>
      </c>
      <c r="F140" t="str">
        <f>_xlfn.XLOOKUP(Logs_Reseau6[[#This Row],[Cell_ID]],Registre[ID_Antenne],Registre[Province_RDC],"Non Trouvée")</f>
        <v>Bas-Uele</v>
      </c>
      <c r="G140" t="str">
        <f>_xlfn.XLOOKUP(Logs_Reseau6[[#This Row],[Province]],Clients_Churn[Province_Client],Clients_Churn[ID_Client],"Aucun")</f>
        <v>CLI-00029</v>
      </c>
      <c r="H140" t="str">
        <f>_xlfn.XLOOKUP(Logs_Reseau6[[#This Row],[Cell_ID]],Registre[ID_Antenne],Registre[Technologie],"Rien à signaler")</f>
        <v>4G</v>
      </c>
      <c r="I140" t="str">
        <f>_xlfn.XLOOKUP(Logs_Reseau6[[#This Row],[Cell_ID]],Registre[ID_Antenne],Registre[Equipementier],"Non Trouvée")</f>
        <v>Huawei</v>
      </c>
      <c r="J140" t="str">
        <f>_xlfn.XLOOKUP(Logs_Reseau6[[#This Row],[Id_Client]],Clients_Churn[ID_Client],Clients_Churn[Type_Forfait],"Pas d'information")</f>
        <v>Pro Monde</v>
      </c>
      <c r="K140" s="5" t="str">
        <f>IF(Logs_Reseau6[[#This Row],[Type_Forfait]]="Pro Monde","B2B","B2C")</f>
        <v>B2B</v>
      </c>
      <c r="L140" s="5">
        <f>_xlfn.XLOOKUP(Logs_Reseau6[[#This Row],[Id_Client]],Clients_Churn[ID_Client],Clients_Churn[Duree_Cumulee_Panne_Min],"Non Trouvée")</f>
        <v>344</v>
      </c>
      <c r="M140" s="5">
        <f>_xlfn.XLOOKUP(Logs_Reseau6[[#This Row],[Id_Client]],Clients_Churn[ID_Client],Clients_Churn[Anciennete_Mois],"Rien à signaler")</f>
        <v>119</v>
      </c>
      <c r="N140" s="11">
        <f>Logs_Reseau6[[#This Row],[Anciennette]]/24</f>
        <v>4.958333333333333</v>
      </c>
      <c r="O140" s="1">
        <f>Logs_Reseau6[[#This Row],[Duree_Cumulée_Panne]]/1440</f>
        <v>0.2388888888888889</v>
      </c>
      <c r="P14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41" spans="1:16" hidden="1" x14ac:dyDescent="0.25">
      <c r="A141" s="2">
        <v>45214</v>
      </c>
      <c r="B141" s="1">
        <v>0.92986111111111114</v>
      </c>
      <c r="C141" t="s">
        <v>1390</v>
      </c>
      <c r="D141">
        <v>89</v>
      </c>
      <c r="E141" t="s">
        <v>1305</v>
      </c>
      <c r="F141" t="str">
        <f>_xlfn.XLOOKUP(Logs_Reseau6[[#This Row],[Cell_ID]],Registre[ID_Antenne],Registre[Province_RDC],"Non Trouvée")</f>
        <v>Non Trouvée</v>
      </c>
      <c r="G141" t="str">
        <f>_xlfn.XLOOKUP(Logs_Reseau6[[#This Row],[Province]],Clients_Churn[Province_Client],Clients_Churn[ID_Client],"Aucun")</f>
        <v>Aucun</v>
      </c>
      <c r="H141" t="str">
        <f>_xlfn.XLOOKUP(Logs_Reseau6[[#This Row],[Cell_ID]],Registre[ID_Antenne],Registre[Technologie],"Rien à signaler")</f>
        <v>Rien à signaler</v>
      </c>
      <c r="I141" t="str">
        <f>_xlfn.XLOOKUP(Logs_Reseau6[[#This Row],[Cell_ID]],Registre[ID_Antenne],Registre[Equipementier],"Non Trouvée")</f>
        <v>Non Trouvée</v>
      </c>
      <c r="J141" t="str">
        <f>_xlfn.XLOOKUP(Logs_Reseau6[[#This Row],[Id_Client]],Clients_Churn[ID_Client],Clients_Churn[Type_Forfait],"Pas d'information")</f>
        <v>Pas d'information</v>
      </c>
      <c r="K141" s="5" t="str">
        <f>IF(Logs_Reseau6[[#This Row],[Type_Forfait]]="Pro Monde","B2B","B2C")</f>
        <v>B2C</v>
      </c>
      <c r="L141" s="5" t="str">
        <f>_xlfn.XLOOKUP(Logs_Reseau6[[#This Row],[Id_Client]],Clients_Churn[ID_Client],Clients_Churn[Duree_Cumulee_Panne_Min],"Non Trouvée")</f>
        <v>Non Trouvée</v>
      </c>
      <c r="M141" s="5" t="str">
        <f>_xlfn.XLOOKUP(Logs_Reseau6[[#This Row],[Id_Client]],Clients_Churn[ID_Client],Clients_Churn[Anciennete_Mois],"Rien à signaler")</f>
        <v>Rien à signaler</v>
      </c>
      <c r="N141" s="5" t="e">
        <f>Logs_Reseau6[[#This Row],[Anciennette]]/24</f>
        <v>#VALUE!</v>
      </c>
      <c r="O141" s="5" t="e">
        <f>Logs_Reseau6[[#This Row],[Duree_Cumulée_Panne]]/1440</f>
        <v>#VALUE!</v>
      </c>
      <c r="P14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42" spans="1:16" hidden="1" x14ac:dyDescent="0.25">
      <c r="A142" s="2">
        <v>45202</v>
      </c>
      <c r="B142" s="1">
        <v>0.91249999999999998</v>
      </c>
      <c r="C142" t="s">
        <v>1463</v>
      </c>
      <c r="D142">
        <v>68</v>
      </c>
      <c r="E142" t="s">
        <v>1305</v>
      </c>
      <c r="F142" t="str">
        <f>_xlfn.XLOOKUP(Logs_Reseau6[[#This Row],[Cell_ID]],Registre[ID_Antenne],Registre[Province_RDC],"Non Trouvée")</f>
        <v>Non Trouvée</v>
      </c>
      <c r="G142" t="str">
        <f>_xlfn.XLOOKUP(Logs_Reseau6[[#This Row],[Province]],Clients_Churn[Province_Client],Clients_Churn[ID_Client],"Aucun")</f>
        <v>Aucun</v>
      </c>
      <c r="H142" t="str">
        <f>_xlfn.XLOOKUP(Logs_Reseau6[[#This Row],[Cell_ID]],Registre[ID_Antenne],Registre[Technologie],"Rien à signaler")</f>
        <v>Rien à signaler</v>
      </c>
      <c r="I142" t="str">
        <f>_xlfn.XLOOKUP(Logs_Reseau6[[#This Row],[Cell_ID]],Registre[ID_Antenne],Registre[Equipementier],"Non Trouvée")</f>
        <v>Non Trouvée</v>
      </c>
      <c r="J142" t="str">
        <f>_xlfn.XLOOKUP(Logs_Reseau6[[#This Row],[Id_Client]],Clients_Churn[ID_Client],Clients_Churn[Type_Forfait],"Pas d'information")</f>
        <v>Pas d'information</v>
      </c>
      <c r="K142" s="5" t="str">
        <f>IF(Logs_Reseau6[[#This Row],[Type_Forfait]]="Pro Monde","B2B","B2C")</f>
        <v>B2C</v>
      </c>
      <c r="L142" s="5" t="str">
        <f>_xlfn.XLOOKUP(Logs_Reseau6[[#This Row],[Id_Client]],Clients_Churn[ID_Client],Clients_Churn[Duree_Cumulee_Panne_Min],"Non Trouvée")</f>
        <v>Non Trouvée</v>
      </c>
      <c r="M142" s="5" t="str">
        <f>_xlfn.XLOOKUP(Logs_Reseau6[[#This Row],[Id_Client]],Clients_Churn[ID_Client],Clients_Churn[Anciennete_Mois],"Rien à signaler")</f>
        <v>Rien à signaler</v>
      </c>
      <c r="N142" s="5" t="e">
        <f>Logs_Reseau6[[#This Row],[Anciennette]]/24</f>
        <v>#VALUE!</v>
      </c>
      <c r="O142" s="5" t="e">
        <f>Logs_Reseau6[[#This Row],[Duree_Cumulée_Panne]]/1440</f>
        <v>#VALUE!</v>
      </c>
      <c r="P14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43" spans="1:16" hidden="1" x14ac:dyDescent="0.25">
      <c r="A143" s="2">
        <v>45218</v>
      </c>
      <c r="B143" s="1">
        <v>0.7944444444444444</v>
      </c>
      <c r="C143" t="s">
        <v>1603</v>
      </c>
      <c r="D143">
        <v>108</v>
      </c>
      <c r="E143" t="s">
        <v>1300</v>
      </c>
      <c r="F143" t="str">
        <f>_xlfn.XLOOKUP(Logs_Reseau6[[#This Row],[Cell_ID]],Registre[ID_Antenne],Registre[Province_RDC],"Non Trouvée")</f>
        <v>Non Trouvée</v>
      </c>
      <c r="G143" t="str">
        <f>_xlfn.XLOOKUP(Logs_Reseau6[[#This Row],[Province]],Clients_Churn[Province_Client],Clients_Churn[ID_Client],"Aucun")</f>
        <v>Aucun</v>
      </c>
      <c r="H143" t="str">
        <f>_xlfn.XLOOKUP(Logs_Reseau6[[#This Row],[Cell_ID]],Registre[ID_Antenne],Registre[Technologie],"Rien à signaler")</f>
        <v>Rien à signaler</v>
      </c>
      <c r="I143" t="str">
        <f>_xlfn.XLOOKUP(Logs_Reseau6[[#This Row],[Cell_ID]],Registre[ID_Antenne],Registre[Equipementier],"Non Trouvée")</f>
        <v>Non Trouvée</v>
      </c>
      <c r="J143" t="str">
        <f>_xlfn.XLOOKUP(Logs_Reseau6[[#This Row],[Id_Client]],Clients_Churn[ID_Client],Clients_Churn[Type_Forfait],"Pas d'information")</f>
        <v>Pas d'information</v>
      </c>
      <c r="K143" s="5" t="str">
        <f>IF(Logs_Reseau6[[#This Row],[Type_Forfait]]="Pro Monde","B2B","B2C")</f>
        <v>B2C</v>
      </c>
      <c r="L143" s="5" t="str">
        <f>_xlfn.XLOOKUP(Logs_Reseau6[[#This Row],[Id_Client]],Clients_Churn[ID_Client],Clients_Churn[Duree_Cumulee_Panne_Min],"Non Trouvée")</f>
        <v>Non Trouvée</v>
      </c>
      <c r="M143" s="5" t="str">
        <f>_xlfn.XLOOKUP(Logs_Reseau6[[#This Row],[Id_Client]],Clients_Churn[ID_Client],Clients_Churn[Anciennete_Mois],"Rien à signaler")</f>
        <v>Rien à signaler</v>
      </c>
      <c r="N143" s="5" t="e">
        <f>Logs_Reseau6[[#This Row],[Anciennette]]/24</f>
        <v>#VALUE!</v>
      </c>
      <c r="O143" s="5" t="e">
        <f>Logs_Reseau6[[#This Row],[Duree_Cumulée_Panne]]/1440</f>
        <v>#VALUE!</v>
      </c>
      <c r="P14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44" spans="1:16" hidden="1" x14ac:dyDescent="0.25">
      <c r="A144" s="2">
        <v>45207</v>
      </c>
      <c r="B144" s="1">
        <v>0.17291666666666666</v>
      </c>
      <c r="C144" t="s">
        <v>1453</v>
      </c>
      <c r="D144">
        <v>73</v>
      </c>
      <c r="E144" t="s">
        <v>1305</v>
      </c>
      <c r="F144" t="str">
        <f>_xlfn.XLOOKUP(Logs_Reseau6[[#This Row],[Cell_ID]],Registre[ID_Antenne],Registre[Province_RDC],"Non Trouvée")</f>
        <v>Non Trouvée</v>
      </c>
      <c r="G144" t="str">
        <f>_xlfn.XLOOKUP(Logs_Reseau6[[#This Row],[Province]],Clients_Churn[Province_Client],Clients_Churn[ID_Client],"Aucun")</f>
        <v>Aucun</v>
      </c>
      <c r="H144" t="str">
        <f>_xlfn.XLOOKUP(Logs_Reseau6[[#This Row],[Cell_ID]],Registre[ID_Antenne],Registre[Technologie],"Rien à signaler")</f>
        <v>Rien à signaler</v>
      </c>
      <c r="I144" t="str">
        <f>_xlfn.XLOOKUP(Logs_Reseau6[[#This Row],[Cell_ID]],Registre[ID_Antenne],Registre[Equipementier],"Non Trouvée")</f>
        <v>Non Trouvée</v>
      </c>
      <c r="J144" t="str">
        <f>_xlfn.XLOOKUP(Logs_Reseau6[[#This Row],[Id_Client]],Clients_Churn[ID_Client],Clients_Churn[Type_Forfait],"Pas d'information")</f>
        <v>Pas d'information</v>
      </c>
      <c r="K144" s="5" t="str">
        <f>IF(Logs_Reseau6[[#This Row],[Type_Forfait]]="Pro Monde","B2B","B2C")</f>
        <v>B2C</v>
      </c>
      <c r="L144" s="5" t="str">
        <f>_xlfn.XLOOKUP(Logs_Reseau6[[#This Row],[Id_Client]],Clients_Churn[ID_Client],Clients_Churn[Duree_Cumulee_Panne_Min],"Non Trouvée")</f>
        <v>Non Trouvée</v>
      </c>
      <c r="M144" s="5" t="str">
        <f>_xlfn.XLOOKUP(Logs_Reseau6[[#This Row],[Id_Client]],Clients_Churn[ID_Client],Clients_Churn[Anciennete_Mois],"Rien à signaler")</f>
        <v>Rien à signaler</v>
      </c>
      <c r="N144" s="5" t="e">
        <f>Logs_Reseau6[[#This Row],[Anciennette]]/24</f>
        <v>#VALUE!</v>
      </c>
      <c r="O144" s="5" t="e">
        <f>Logs_Reseau6[[#This Row],[Duree_Cumulée_Panne]]/1440</f>
        <v>#VALUE!</v>
      </c>
      <c r="P14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45" spans="1:16" hidden="1" x14ac:dyDescent="0.25">
      <c r="A145" s="2">
        <v>45208</v>
      </c>
      <c r="B145" s="1">
        <v>7.4999999999999997E-2</v>
      </c>
      <c r="C145" t="s">
        <v>1425</v>
      </c>
      <c r="D145">
        <v>82</v>
      </c>
      <c r="E145" t="s">
        <v>1305</v>
      </c>
      <c r="F145" t="str">
        <f>_xlfn.XLOOKUP(Logs_Reseau6[[#This Row],[Cell_ID]],Registre[ID_Antenne],Registre[Province_RDC],"Non Trouvée")</f>
        <v>Non Trouvée</v>
      </c>
      <c r="G145" t="str">
        <f>_xlfn.XLOOKUP(Logs_Reseau6[[#This Row],[Province]],Clients_Churn[Province_Client],Clients_Churn[ID_Client],"Aucun")</f>
        <v>Aucun</v>
      </c>
      <c r="H145" t="str">
        <f>_xlfn.XLOOKUP(Logs_Reseau6[[#This Row],[Cell_ID]],Registre[ID_Antenne],Registre[Technologie],"Rien à signaler")</f>
        <v>Rien à signaler</v>
      </c>
      <c r="I145" t="str">
        <f>_xlfn.XLOOKUP(Logs_Reseau6[[#This Row],[Cell_ID]],Registre[ID_Antenne],Registre[Equipementier],"Non Trouvée")</f>
        <v>Non Trouvée</v>
      </c>
      <c r="J145" t="str">
        <f>_xlfn.XLOOKUP(Logs_Reseau6[[#This Row],[Id_Client]],Clients_Churn[ID_Client],Clients_Churn[Type_Forfait],"Pas d'information")</f>
        <v>Pas d'information</v>
      </c>
      <c r="K145" s="5" t="str">
        <f>IF(Logs_Reseau6[[#This Row],[Type_Forfait]]="Pro Monde","B2B","B2C")</f>
        <v>B2C</v>
      </c>
      <c r="L145" s="5" t="str">
        <f>_xlfn.XLOOKUP(Logs_Reseau6[[#This Row],[Id_Client]],Clients_Churn[ID_Client],Clients_Churn[Duree_Cumulee_Panne_Min],"Non Trouvée")</f>
        <v>Non Trouvée</v>
      </c>
      <c r="M145" s="5" t="str">
        <f>_xlfn.XLOOKUP(Logs_Reseau6[[#This Row],[Id_Client]],Clients_Churn[ID_Client],Clients_Churn[Anciennete_Mois],"Rien à signaler")</f>
        <v>Rien à signaler</v>
      </c>
      <c r="N145" s="5" t="e">
        <f>Logs_Reseau6[[#This Row],[Anciennette]]/24</f>
        <v>#VALUE!</v>
      </c>
      <c r="O145" s="5" t="e">
        <f>Logs_Reseau6[[#This Row],[Duree_Cumulée_Panne]]/1440</f>
        <v>#VALUE!</v>
      </c>
      <c r="P14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46" spans="1:16" hidden="1" x14ac:dyDescent="0.25">
      <c r="A146" s="2">
        <v>45228</v>
      </c>
      <c r="B146" s="1">
        <v>0.84861111111111109</v>
      </c>
      <c r="C146" t="s">
        <v>1425</v>
      </c>
      <c r="D146">
        <v>18</v>
      </c>
      <c r="E146" t="s">
        <v>1305</v>
      </c>
      <c r="F146" t="str">
        <f>_xlfn.XLOOKUP(Logs_Reseau6[[#This Row],[Cell_ID]],Registre[ID_Antenne],Registre[Province_RDC],"Non Trouvée")</f>
        <v>Non Trouvée</v>
      </c>
      <c r="G146" t="str">
        <f>_xlfn.XLOOKUP(Logs_Reseau6[[#This Row],[Province]],Clients_Churn[Province_Client],Clients_Churn[ID_Client],"Aucun")</f>
        <v>Aucun</v>
      </c>
      <c r="H146" t="str">
        <f>_xlfn.XLOOKUP(Logs_Reseau6[[#This Row],[Cell_ID]],Registre[ID_Antenne],Registre[Technologie],"Rien à signaler")</f>
        <v>Rien à signaler</v>
      </c>
      <c r="I146" t="str">
        <f>_xlfn.XLOOKUP(Logs_Reseau6[[#This Row],[Cell_ID]],Registre[ID_Antenne],Registre[Equipementier],"Non Trouvée")</f>
        <v>Non Trouvée</v>
      </c>
      <c r="J146" t="str">
        <f>_xlfn.XLOOKUP(Logs_Reseau6[[#This Row],[Id_Client]],Clients_Churn[ID_Client],Clients_Churn[Type_Forfait],"Pas d'information")</f>
        <v>Pas d'information</v>
      </c>
      <c r="K146" s="5" t="str">
        <f>IF(Logs_Reseau6[[#This Row],[Type_Forfait]]="Pro Monde","B2B","B2C")</f>
        <v>B2C</v>
      </c>
      <c r="L146" s="5" t="str">
        <f>_xlfn.XLOOKUP(Logs_Reseau6[[#This Row],[Id_Client]],Clients_Churn[ID_Client],Clients_Churn[Duree_Cumulee_Panne_Min],"Non Trouvée")</f>
        <v>Non Trouvée</v>
      </c>
      <c r="M146" s="5" t="str">
        <f>_xlfn.XLOOKUP(Logs_Reseau6[[#This Row],[Id_Client]],Clients_Churn[ID_Client],Clients_Churn[Anciennete_Mois],"Rien à signaler")</f>
        <v>Rien à signaler</v>
      </c>
      <c r="N146" s="5" t="e">
        <f>Logs_Reseau6[[#This Row],[Anciennette]]/24</f>
        <v>#VALUE!</v>
      </c>
      <c r="O146" s="5" t="e">
        <f>Logs_Reseau6[[#This Row],[Duree_Cumulée_Panne]]/1440</f>
        <v>#VALUE!</v>
      </c>
      <c r="P14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47" spans="1:16" x14ac:dyDescent="0.25">
      <c r="A147" s="2">
        <v>45214</v>
      </c>
      <c r="B147" s="1">
        <v>0.45763888888888887</v>
      </c>
      <c r="C147" t="s">
        <v>973</v>
      </c>
      <c r="D147">
        <v>48</v>
      </c>
      <c r="E147" t="s">
        <v>1305</v>
      </c>
      <c r="F147" t="str">
        <f>_xlfn.XLOOKUP(Logs_Reseau6[[#This Row],[Cell_ID]],Registre[ID_Antenne],Registre[Province_RDC],"Non Trouvée")</f>
        <v>Sud-Ubangi</v>
      </c>
      <c r="G147" t="str">
        <f>_xlfn.XLOOKUP(Logs_Reseau6[[#This Row],[Province]],Clients_Churn[Province_Client],Clients_Churn[ID_Client],"Aucun")</f>
        <v>CLI-00070</v>
      </c>
      <c r="H147" t="str">
        <f>_xlfn.XLOOKUP(Logs_Reseau6[[#This Row],[Cell_ID]],Registre[ID_Antenne],Registre[Technologie],"Rien à signaler")</f>
        <v>5G</v>
      </c>
      <c r="I147" t="str">
        <f>_xlfn.XLOOKUP(Logs_Reseau6[[#This Row],[Cell_ID]],Registre[ID_Antenne],Registre[Equipementier],"Non Trouvée")</f>
        <v>Nokia</v>
      </c>
      <c r="J147" t="str">
        <f>_xlfn.XLOOKUP(Logs_Reseau6[[#This Row],[Id_Client]],Clients_Churn[ID_Client],Clients_Churn[Type_Forfait],"Pas d'information")</f>
        <v>Illimité 50Go</v>
      </c>
      <c r="K147" s="5" t="str">
        <f>IF(Logs_Reseau6[[#This Row],[Type_Forfait]]="Pro Monde","B2B","B2C")</f>
        <v>B2C</v>
      </c>
      <c r="L147" s="5">
        <f>_xlfn.XLOOKUP(Logs_Reseau6[[#This Row],[Id_Client]],Clients_Churn[ID_Client],Clients_Churn[Duree_Cumulee_Panne_Min],"Non Trouvée")</f>
        <v>119</v>
      </c>
      <c r="M147" s="5">
        <f>_xlfn.XLOOKUP(Logs_Reseau6[[#This Row],[Id_Client]],Clients_Churn[ID_Client],Clients_Churn[Anciennete_Mois],"Rien à signaler")</f>
        <v>52</v>
      </c>
      <c r="N147" s="11">
        <f>Logs_Reseau6[[#This Row],[Anciennette]]/24</f>
        <v>2.1666666666666665</v>
      </c>
      <c r="O147" s="1">
        <f>Logs_Reseau6[[#This Row],[Duree_Cumulée_Panne]]/1440</f>
        <v>8.2638888888888887E-2</v>
      </c>
      <c r="P14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48" spans="1:16" x14ac:dyDescent="0.25">
      <c r="A148" s="2">
        <v>45220</v>
      </c>
      <c r="B148" s="1">
        <v>0.48888888888888887</v>
      </c>
      <c r="C148" t="s">
        <v>973</v>
      </c>
      <c r="D148">
        <v>49</v>
      </c>
      <c r="E148" t="s">
        <v>1305</v>
      </c>
      <c r="F148" t="str">
        <f>_xlfn.XLOOKUP(Logs_Reseau6[[#This Row],[Cell_ID]],Registre[ID_Antenne],Registre[Province_RDC],"Non Trouvée")</f>
        <v>Sud-Ubangi</v>
      </c>
      <c r="G148" t="str">
        <f>_xlfn.XLOOKUP(Logs_Reseau6[[#This Row],[Province]],Clients_Churn[Province_Client],Clients_Churn[ID_Client],"Aucun")</f>
        <v>CLI-00070</v>
      </c>
      <c r="H148" t="str">
        <f>_xlfn.XLOOKUP(Logs_Reseau6[[#This Row],[Cell_ID]],Registre[ID_Antenne],Registre[Technologie],"Rien à signaler")</f>
        <v>5G</v>
      </c>
      <c r="I148" t="str">
        <f>_xlfn.XLOOKUP(Logs_Reseau6[[#This Row],[Cell_ID]],Registre[ID_Antenne],Registre[Equipementier],"Non Trouvée")</f>
        <v>Nokia</v>
      </c>
      <c r="J148" t="str">
        <f>_xlfn.XLOOKUP(Logs_Reseau6[[#This Row],[Id_Client]],Clients_Churn[ID_Client],Clients_Churn[Type_Forfait],"Pas d'information")</f>
        <v>Illimité 50Go</v>
      </c>
      <c r="K148" s="5" t="str">
        <f>IF(Logs_Reseau6[[#This Row],[Type_Forfait]]="Pro Monde","B2B","B2C")</f>
        <v>B2C</v>
      </c>
      <c r="L148" s="5">
        <f>_xlfn.XLOOKUP(Logs_Reseau6[[#This Row],[Id_Client]],Clients_Churn[ID_Client],Clients_Churn[Duree_Cumulee_Panne_Min],"Non Trouvée")</f>
        <v>119</v>
      </c>
      <c r="M148" s="5">
        <f>_xlfn.XLOOKUP(Logs_Reseau6[[#This Row],[Id_Client]],Clients_Churn[ID_Client],Clients_Churn[Anciennete_Mois],"Rien à signaler")</f>
        <v>52</v>
      </c>
      <c r="N148" s="11">
        <f>Logs_Reseau6[[#This Row],[Anciennette]]/24</f>
        <v>2.1666666666666665</v>
      </c>
      <c r="O148" s="1">
        <f>Logs_Reseau6[[#This Row],[Duree_Cumulée_Panne]]/1440</f>
        <v>8.2638888888888887E-2</v>
      </c>
      <c r="P14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49" spans="1:16" x14ac:dyDescent="0.25">
      <c r="A149" s="2">
        <v>45212</v>
      </c>
      <c r="B149" s="1">
        <v>0.87569444444444444</v>
      </c>
      <c r="C149" t="s">
        <v>1283</v>
      </c>
      <c r="D149">
        <v>23</v>
      </c>
      <c r="E149" t="s">
        <v>1300</v>
      </c>
      <c r="F149" t="str">
        <f>_xlfn.XLOOKUP(Logs_Reseau6[[#This Row],[Cell_ID]],Registre[ID_Antenne],Registre[Province_RDC],"Non Trouvée")</f>
        <v>Kwilu</v>
      </c>
      <c r="G149" t="str">
        <f>_xlfn.XLOOKUP(Logs_Reseau6[[#This Row],[Province]],Clients_Churn[Province_Client],Clients_Churn[ID_Client],"Aucun")</f>
        <v>CLI-00009</v>
      </c>
      <c r="H149" t="str">
        <f>_xlfn.XLOOKUP(Logs_Reseau6[[#This Row],[Cell_ID]],Registre[ID_Antenne],Registre[Technologie],"Rien à signaler")</f>
        <v>3G</v>
      </c>
      <c r="I149" t="str">
        <f>_xlfn.XLOOKUP(Logs_Reseau6[[#This Row],[Cell_ID]],Registre[ID_Antenne],Registre[Equipementier],"Non Trouvée")</f>
        <v>Nokia</v>
      </c>
      <c r="J149" t="str">
        <f>_xlfn.XLOOKUP(Logs_Reseau6[[#This Row],[Id_Client]],Clients_Churn[ID_Client],Clients_Churn[Type_Forfait],"Pas d'information")</f>
        <v>Pro Monde</v>
      </c>
      <c r="K149" s="5" t="str">
        <f>IF(Logs_Reseau6[[#This Row],[Type_Forfait]]="Pro Monde","B2B","B2C")</f>
        <v>B2B</v>
      </c>
      <c r="L149" s="5">
        <f>_xlfn.XLOOKUP(Logs_Reseau6[[#This Row],[Id_Client]],Clients_Churn[ID_Client],Clients_Churn[Duree_Cumulee_Panne_Min],"Non Trouvée")</f>
        <v>297</v>
      </c>
      <c r="M149" s="5">
        <f>_xlfn.XLOOKUP(Logs_Reseau6[[#This Row],[Id_Client]],Clients_Churn[ID_Client],Clients_Churn[Anciennete_Mois],"Rien à signaler")</f>
        <v>105</v>
      </c>
      <c r="N149" s="11">
        <f>Logs_Reseau6[[#This Row],[Anciennette]]/24</f>
        <v>4.375</v>
      </c>
      <c r="O149" s="1">
        <f>Logs_Reseau6[[#This Row],[Duree_Cumulée_Panne]]/1440</f>
        <v>0.20624999999999999</v>
      </c>
      <c r="P14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50" spans="1:16" x14ac:dyDescent="0.25">
      <c r="A150" s="2">
        <v>45206</v>
      </c>
      <c r="B150" s="1">
        <v>0.5395833333333333</v>
      </c>
      <c r="C150" t="s">
        <v>1048</v>
      </c>
      <c r="D150">
        <v>43</v>
      </c>
      <c r="E150" t="s">
        <v>1300</v>
      </c>
      <c r="F150" t="str">
        <f>_xlfn.XLOOKUP(Logs_Reseau6[[#This Row],[Cell_ID]],Registre[ID_Antenne],Registre[Province_RDC],"Non Trouvée")</f>
        <v>Kwango</v>
      </c>
      <c r="G150" t="str">
        <f>_xlfn.XLOOKUP(Logs_Reseau6[[#This Row],[Province]],Clients_Churn[Province_Client],Clients_Churn[ID_Client],"Aucun")</f>
        <v>CLI-00094</v>
      </c>
      <c r="H150" t="str">
        <f>_xlfn.XLOOKUP(Logs_Reseau6[[#This Row],[Cell_ID]],Registre[ID_Antenne],Registre[Technologie],"Rien à signaler")</f>
        <v>4G</v>
      </c>
      <c r="I150" t="str">
        <f>_xlfn.XLOOKUP(Logs_Reseau6[[#This Row],[Cell_ID]],Registre[ID_Antenne],Registre[Equipementier],"Non Trouvée")</f>
        <v>Huawei</v>
      </c>
      <c r="J150" t="str">
        <f>_xlfn.XLOOKUP(Logs_Reseau6[[#This Row],[Id_Client]],Clients_Churn[ID_Client],Clients_Churn[Type_Forfait],"Pas d'information")</f>
        <v>Pro Monde</v>
      </c>
      <c r="K150" s="5" t="str">
        <f>IF(Logs_Reseau6[[#This Row],[Type_Forfait]]="Pro Monde","B2B","B2C")</f>
        <v>B2B</v>
      </c>
      <c r="L150" s="5">
        <f>_xlfn.XLOOKUP(Logs_Reseau6[[#This Row],[Id_Client]],Clients_Churn[ID_Client],Clients_Churn[Duree_Cumulee_Panne_Min],"Non Trouvée")</f>
        <v>493</v>
      </c>
      <c r="M150" s="5">
        <f>_xlfn.XLOOKUP(Logs_Reseau6[[#This Row],[Id_Client]],Clients_Churn[ID_Client],Clients_Churn[Anciennete_Mois],"Rien à signaler")</f>
        <v>29</v>
      </c>
      <c r="N150" s="11">
        <f>Logs_Reseau6[[#This Row],[Anciennette]]/24</f>
        <v>1.2083333333333333</v>
      </c>
      <c r="O150" s="1">
        <f>Logs_Reseau6[[#This Row],[Duree_Cumulée_Panne]]/1440</f>
        <v>0.34236111111111112</v>
      </c>
      <c r="P15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51" spans="1:16" x14ac:dyDescent="0.25">
      <c r="A151" s="2">
        <v>45212</v>
      </c>
      <c r="B151" s="1">
        <v>0.90138888888888891</v>
      </c>
      <c r="C151" t="s">
        <v>1048</v>
      </c>
      <c r="D151">
        <v>58</v>
      </c>
      <c r="E151" t="s">
        <v>1300</v>
      </c>
      <c r="F151" t="str">
        <f>_xlfn.XLOOKUP(Logs_Reseau6[[#This Row],[Cell_ID]],Registre[ID_Antenne],Registre[Province_RDC],"Non Trouvée")</f>
        <v>Kwango</v>
      </c>
      <c r="G151" t="str">
        <f>_xlfn.XLOOKUP(Logs_Reseau6[[#This Row],[Province]],Clients_Churn[Province_Client],Clients_Churn[ID_Client],"Aucun")</f>
        <v>CLI-00094</v>
      </c>
      <c r="H151" t="str">
        <f>_xlfn.XLOOKUP(Logs_Reseau6[[#This Row],[Cell_ID]],Registre[ID_Antenne],Registre[Technologie],"Rien à signaler")</f>
        <v>4G</v>
      </c>
      <c r="I151" t="str">
        <f>_xlfn.XLOOKUP(Logs_Reseau6[[#This Row],[Cell_ID]],Registre[ID_Antenne],Registre[Equipementier],"Non Trouvée")</f>
        <v>Huawei</v>
      </c>
      <c r="J151" t="str">
        <f>_xlfn.XLOOKUP(Logs_Reseau6[[#This Row],[Id_Client]],Clients_Churn[ID_Client],Clients_Churn[Type_Forfait],"Pas d'information")</f>
        <v>Pro Monde</v>
      </c>
      <c r="K151" s="5" t="str">
        <f>IF(Logs_Reseau6[[#This Row],[Type_Forfait]]="Pro Monde","B2B","B2C")</f>
        <v>B2B</v>
      </c>
      <c r="L151" s="5">
        <f>_xlfn.XLOOKUP(Logs_Reseau6[[#This Row],[Id_Client]],Clients_Churn[ID_Client],Clients_Churn[Duree_Cumulee_Panne_Min],"Non Trouvée")</f>
        <v>493</v>
      </c>
      <c r="M151" s="5">
        <f>_xlfn.XLOOKUP(Logs_Reseau6[[#This Row],[Id_Client]],Clients_Churn[ID_Client],Clients_Churn[Anciennete_Mois],"Rien à signaler")</f>
        <v>29</v>
      </c>
      <c r="N151" s="11">
        <f>Logs_Reseau6[[#This Row],[Anciennette]]/24</f>
        <v>1.2083333333333333</v>
      </c>
      <c r="O151" s="1">
        <f>Logs_Reseau6[[#This Row],[Duree_Cumulée_Panne]]/1440</f>
        <v>0.34236111111111112</v>
      </c>
      <c r="P15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52" spans="1:16" x14ac:dyDescent="0.25">
      <c r="A152" s="2">
        <v>45228</v>
      </c>
      <c r="B152" s="1">
        <v>0.62152777777777779</v>
      </c>
      <c r="C152" t="s">
        <v>1048</v>
      </c>
      <c r="D152">
        <v>98</v>
      </c>
      <c r="E152" t="s">
        <v>1305</v>
      </c>
      <c r="F152" t="str">
        <f>_xlfn.XLOOKUP(Logs_Reseau6[[#This Row],[Cell_ID]],Registre[ID_Antenne],Registre[Province_RDC],"Non Trouvée")</f>
        <v>Kwango</v>
      </c>
      <c r="G152" t="str">
        <f>_xlfn.XLOOKUP(Logs_Reseau6[[#This Row],[Province]],Clients_Churn[Province_Client],Clients_Churn[ID_Client],"Aucun")</f>
        <v>CLI-00094</v>
      </c>
      <c r="H152" t="str">
        <f>_xlfn.XLOOKUP(Logs_Reseau6[[#This Row],[Cell_ID]],Registre[ID_Antenne],Registre[Technologie],"Rien à signaler")</f>
        <v>4G</v>
      </c>
      <c r="I152" t="str">
        <f>_xlfn.XLOOKUP(Logs_Reseau6[[#This Row],[Cell_ID]],Registre[ID_Antenne],Registre[Equipementier],"Non Trouvée")</f>
        <v>Huawei</v>
      </c>
      <c r="J152" t="str">
        <f>_xlfn.XLOOKUP(Logs_Reseau6[[#This Row],[Id_Client]],Clients_Churn[ID_Client],Clients_Churn[Type_Forfait],"Pas d'information")</f>
        <v>Pro Monde</v>
      </c>
      <c r="K152" s="5" t="str">
        <f>IF(Logs_Reseau6[[#This Row],[Type_Forfait]]="Pro Monde","B2B","B2C")</f>
        <v>B2B</v>
      </c>
      <c r="L152" s="5">
        <f>_xlfn.XLOOKUP(Logs_Reseau6[[#This Row],[Id_Client]],Clients_Churn[ID_Client],Clients_Churn[Duree_Cumulee_Panne_Min],"Non Trouvée")</f>
        <v>493</v>
      </c>
      <c r="M152" s="5">
        <f>_xlfn.XLOOKUP(Logs_Reseau6[[#This Row],[Id_Client]],Clients_Churn[ID_Client],Clients_Churn[Anciennete_Mois],"Rien à signaler")</f>
        <v>29</v>
      </c>
      <c r="N152" s="11">
        <f>Logs_Reseau6[[#This Row],[Anciennette]]/24</f>
        <v>1.2083333333333333</v>
      </c>
      <c r="O152" s="1">
        <f>Logs_Reseau6[[#This Row],[Duree_Cumulée_Panne]]/1440</f>
        <v>0.34236111111111112</v>
      </c>
      <c r="P15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53" spans="1:16" hidden="1" x14ac:dyDescent="0.25">
      <c r="A153" s="2">
        <v>45203</v>
      </c>
      <c r="B153" s="1">
        <v>0.71805555555555556</v>
      </c>
      <c r="C153" t="s">
        <v>1388</v>
      </c>
      <c r="D153">
        <v>114</v>
      </c>
      <c r="E153" t="s">
        <v>1303</v>
      </c>
      <c r="F153" t="str">
        <f>_xlfn.XLOOKUP(Logs_Reseau6[[#This Row],[Cell_ID]],Registre[ID_Antenne],Registre[Province_RDC],"Non Trouvée")</f>
        <v>Non Trouvée</v>
      </c>
      <c r="G153" t="str">
        <f>_xlfn.XLOOKUP(Logs_Reseau6[[#This Row],[Province]],Clients_Churn[Province_Client],Clients_Churn[ID_Client],"Aucun")</f>
        <v>Aucun</v>
      </c>
      <c r="H153" t="str">
        <f>_xlfn.XLOOKUP(Logs_Reseau6[[#This Row],[Cell_ID]],Registre[ID_Antenne],Registre[Technologie],"Rien à signaler")</f>
        <v>Rien à signaler</v>
      </c>
      <c r="I153" t="str">
        <f>_xlfn.XLOOKUP(Logs_Reseau6[[#This Row],[Cell_ID]],Registre[ID_Antenne],Registre[Equipementier],"Non Trouvée")</f>
        <v>Non Trouvée</v>
      </c>
      <c r="J153" t="str">
        <f>_xlfn.XLOOKUP(Logs_Reseau6[[#This Row],[Id_Client]],Clients_Churn[ID_Client],Clients_Churn[Type_Forfait],"Pas d'information")</f>
        <v>Pas d'information</v>
      </c>
      <c r="K153" s="5" t="str">
        <f>IF(Logs_Reseau6[[#This Row],[Type_Forfait]]="Pro Monde","B2B","B2C")</f>
        <v>B2C</v>
      </c>
      <c r="L153" s="5" t="str">
        <f>_xlfn.XLOOKUP(Logs_Reseau6[[#This Row],[Id_Client]],Clients_Churn[ID_Client],Clients_Churn[Duree_Cumulee_Panne_Min],"Non Trouvée")</f>
        <v>Non Trouvée</v>
      </c>
      <c r="M153" s="5" t="str">
        <f>_xlfn.XLOOKUP(Logs_Reseau6[[#This Row],[Id_Client]],Clients_Churn[ID_Client],Clients_Churn[Anciennete_Mois],"Rien à signaler")</f>
        <v>Rien à signaler</v>
      </c>
      <c r="N153" s="5" t="e">
        <f>Logs_Reseau6[[#This Row],[Anciennette]]/24</f>
        <v>#VALUE!</v>
      </c>
      <c r="O153" s="5" t="e">
        <f>Logs_Reseau6[[#This Row],[Duree_Cumulée_Panne]]/1440</f>
        <v>#VALUE!</v>
      </c>
      <c r="P15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54" spans="1:16" hidden="1" x14ac:dyDescent="0.25">
      <c r="A154" s="2">
        <v>45230</v>
      </c>
      <c r="B154" s="1">
        <v>0.44444444444444442</v>
      </c>
      <c r="C154" t="s">
        <v>1388</v>
      </c>
      <c r="D154">
        <v>40</v>
      </c>
      <c r="E154" t="s">
        <v>1300</v>
      </c>
      <c r="F154" t="str">
        <f>_xlfn.XLOOKUP(Logs_Reseau6[[#This Row],[Cell_ID]],Registre[ID_Antenne],Registre[Province_RDC],"Non Trouvée")</f>
        <v>Non Trouvée</v>
      </c>
      <c r="G154" t="str">
        <f>_xlfn.XLOOKUP(Logs_Reseau6[[#This Row],[Province]],Clients_Churn[Province_Client],Clients_Churn[ID_Client],"Aucun")</f>
        <v>Aucun</v>
      </c>
      <c r="H154" t="str">
        <f>_xlfn.XLOOKUP(Logs_Reseau6[[#This Row],[Cell_ID]],Registre[ID_Antenne],Registre[Technologie],"Rien à signaler")</f>
        <v>Rien à signaler</v>
      </c>
      <c r="I154" t="str">
        <f>_xlfn.XLOOKUP(Logs_Reseau6[[#This Row],[Cell_ID]],Registre[ID_Antenne],Registre[Equipementier],"Non Trouvée")</f>
        <v>Non Trouvée</v>
      </c>
      <c r="J154" t="str">
        <f>_xlfn.XLOOKUP(Logs_Reseau6[[#This Row],[Id_Client]],Clients_Churn[ID_Client],Clients_Churn[Type_Forfait],"Pas d'information")</f>
        <v>Pas d'information</v>
      </c>
      <c r="K154" s="5" t="str">
        <f>IF(Logs_Reseau6[[#This Row],[Type_Forfait]]="Pro Monde","B2B","B2C")</f>
        <v>B2C</v>
      </c>
      <c r="L154" s="5" t="str">
        <f>_xlfn.XLOOKUP(Logs_Reseau6[[#This Row],[Id_Client]],Clients_Churn[ID_Client],Clients_Churn[Duree_Cumulee_Panne_Min],"Non Trouvée")</f>
        <v>Non Trouvée</v>
      </c>
      <c r="M154" s="5" t="str">
        <f>_xlfn.XLOOKUP(Logs_Reseau6[[#This Row],[Id_Client]],Clients_Churn[ID_Client],Clients_Churn[Anciennete_Mois],"Rien à signaler")</f>
        <v>Rien à signaler</v>
      </c>
      <c r="N154" s="5" t="e">
        <f>Logs_Reseau6[[#This Row],[Anciennette]]/24</f>
        <v>#VALUE!</v>
      </c>
      <c r="O154" s="5" t="e">
        <f>Logs_Reseau6[[#This Row],[Duree_Cumulée_Panne]]/1440</f>
        <v>#VALUE!</v>
      </c>
      <c r="P15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55" spans="1:16" x14ac:dyDescent="0.25">
      <c r="A155" s="2">
        <v>45210</v>
      </c>
      <c r="B155" s="1">
        <v>0.49722222222222223</v>
      </c>
      <c r="C155" t="s">
        <v>1026</v>
      </c>
      <c r="D155">
        <v>75</v>
      </c>
      <c r="E155" t="s">
        <v>1305</v>
      </c>
      <c r="F155" t="str">
        <f>_xlfn.XLOOKUP(Logs_Reseau6[[#This Row],[Cell_ID]],Registre[ID_Antenne],Registre[Province_RDC],"Non Trouvée")</f>
        <v>Sud-Kivu</v>
      </c>
      <c r="G155" t="str">
        <f>_xlfn.XLOOKUP(Logs_Reseau6[[#This Row],[Province]],Clients_Churn[Province_Client],Clients_Churn[ID_Client],"Aucun")</f>
        <v>CLI-00054</v>
      </c>
      <c r="H155" t="str">
        <f>_xlfn.XLOOKUP(Logs_Reseau6[[#This Row],[Cell_ID]],Registre[ID_Antenne],Registre[Technologie],"Rien à signaler")</f>
        <v>3G</v>
      </c>
      <c r="I155" t="str">
        <f>_xlfn.XLOOKUP(Logs_Reseau6[[#This Row],[Cell_ID]],Registre[ID_Antenne],Registre[Equipementier],"Non Trouvée")</f>
        <v>Nokia</v>
      </c>
      <c r="J155" t="str">
        <f>_xlfn.XLOOKUP(Logs_Reseau6[[#This Row],[Id_Client]],Clients_Churn[ID_Client],Clients_Churn[Type_Forfait],"Pas d'information")</f>
        <v>Bloqué 5Go</v>
      </c>
      <c r="K155" s="5" t="str">
        <f>IF(Logs_Reseau6[[#This Row],[Type_Forfait]]="Pro Monde","B2B","B2C")</f>
        <v>B2C</v>
      </c>
      <c r="L155" s="5">
        <f>_xlfn.XLOOKUP(Logs_Reseau6[[#This Row],[Id_Client]],Clients_Churn[ID_Client],Clients_Churn[Duree_Cumulee_Panne_Min],"Non Trouvée")</f>
        <v>40</v>
      </c>
      <c r="M155" s="5">
        <f>_xlfn.XLOOKUP(Logs_Reseau6[[#This Row],[Id_Client]],Clients_Churn[ID_Client],Clients_Churn[Anciennete_Mois],"Rien à signaler")</f>
        <v>34</v>
      </c>
      <c r="N155" s="11">
        <f>Logs_Reseau6[[#This Row],[Anciennette]]/24</f>
        <v>1.4166666666666667</v>
      </c>
      <c r="O155" s="1">
        <f>Logs_Reseau6[[#This Row],[Duree_Cumulée_Panne]]/1440</f>
        <v>2.7777777777777776E-2</v>
      </c>
      <c r="P15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56" spans="1:16" x14ac:dyDescent="0.25">
      <c r="A156" s="2">
        <v>45228</v>
      </c>
      <c r="B156" s="1">
        <v>1.3888888888888889E-3</v>
      </c>
      <c r="C156" t="s">
        <v>1026</v>
      </c>
      <c r="D156">
        <v>100</v>
      </c>
      <c r="E156" t="s">
        <v>1303</v>
      </c>
      <c r="F156" t="str">
        <f>_xlfn.XLOOKUP(Logs_Reseau6[[#This Row],[Cell_ID]],Registre[ID_Antenne],Registre[Province_RDC],"Non Trouvée")</f>
        <v>Sud-Kivu</v>
      </c>
      <c r="G156" t="str">
        <f>_xlfn.XLOOKUP(Logs_Reseau6[[#This Row],[Province]],Clients_Churn[Province_Client],Clients_Churn[ID_Client],"Aucun")</f>
        <v>CLI-00054</v>
      </c>
      <c r="H156" t="str">
        <f>_xlfn.XLOOKUP(Logs_Reseau6[[#This Row],[Cell_ID]],Registre[ID_Antenne],Registre[Technologie],"Rien à signaler")</f>
        <v>3G</v>
      </c>
      <c r="I156" t="str">
        <f>_xlfn.XLOOKUP(Logs_Reseau6[[#This Row],[Cell_ID]],Registre[ID_Antenne],Registre[Equipementier],"Non Trouvée")</f>
        <v>Nokia</v>
      </c>
      <c r="J156" t="str">
        <f>_xlfn.XLOOKUP(Logs_Reseau6[[#This Row],[Id_Client]],Clients_Churn[ID_Client],Clients_Churn[Type_Forfait],"Pas d'information")</f>
        <v>Bloqué 5Go</v>
      </c>
      <c r="K156" s="5" t="str">
        <f>IF(Logs_Reseau6[[#This Row],[Type_Forfait]]="Pro Monde","B2B","B2C")</f>
        <v>B2C</v>
      </c>
      <c r="L156" s="5">
        <f>_xlfn.XLOOKUP(Logs_Reseau6[[#This Row],[Id_Client]],Clients_Churn[ID_Client],Clients_Churn[Duree_Cumulee_Panne_Min],"Non Trouvée")</f>
        <v>40</v>
      </c>
      <c r="M156" s="5">
        <f>_xlfn.XLOOKUP(Logs_Reseau6[[#This Row],[Id_Client]],Clients_Churn[ID_Client],Clients_Churn[Anciennete_Mois],"Rien à signaler")</f>
        <v>34</v>
      </c>
      <c r="N156" s="11">
        <f>Logs_Reseau6[[#This Row],[Anciennette]]/24</f>
        <v>1.4166666666666667</v>
      </c>
      <c r="O156" s="1">
        <f>Logs_Reseau6[[#This Row],[Duree_Cumulée_Panne]]/1440</f>
        <v>2.7777777777777776E-2</v>
      </c>
      <c r="P15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57" spans="1:16" hidden="1" x14ac:dyDescent="0.25">
      <c r="A157" s="2">
        <v>45212</v>
      </c>
      <c r="B157" s="1">
        <v>0.17430555555555555</v>
      </c>
      <c r="C157" t="s">
        <v>1563</v>
      </c>
      <c r="D157">
        <v>112</v>
      </c>
      <c r="E157" t="s">
        <v>1305</v>
      </c>
      <c r="F157" t="str">
        <f>_xlfn.XLOOKUP(Logs_Reseau6[[#This Row],[Cell_ID]],Registre[ID_Antenne],Registre[Province_RDC],"Non Trouvée")</f>
        <v>Non Trouvée</v>
      </c>
      <c r="G157" t="str">
        <f>_xlfn.XLOOKUP(Logs_Reseau6[[#This Row],[Province]],Clients_Churn[Province_Client],Clients_Churn[ID_Client],"Aucun")</f>
        <v>Aucun</v>
      </c>
      <c r="H157" t="str">
        <f>_xlfn.XLOOKUP(Logs_Reseau6[[#This Row],[Cell_ID]],Registre[ID_Antenne],Registre[Technologie],"Rien à signaler")</f>
        <v>Rien à signaler</v>
      </c>
      <c r="I157" t="str">
        <f>_xlfn.XLOOKUP(Logs_Reseau6[[#This Row],[Cell_ID]],Registre[ID_Antenne],Registre[Equipementier],"Non Trouvée")</f>
        <v>Non Trouvée</v>
      </c>
      <c r="J157" t="str">
        <f>_xlfn.XLOOKUP(Logs_Reseau6[[#This Row],[Id_Client]],Clients_Churn[ID_Client],Clients_Churn[Type_Forfait],"Pas d'information")</f>
        <v>Pas d'information</v>
      </c>
      <c r="K157" s="5" t="str">
        <f>IF(Logs_Reseau6[[#This Row],[Type_Forfait]]="Pro Monde","B2B","B2C")</f>
        <v>B2C</v>
      </c>
      <c r="L157" s="5" t="str">
        <f>_xlfn.XLOOKUP(Logs_Reseau6[[#This Row],[Id_Client]],Clients_Churn[ID_Client],Clients_Churn[Duree_Cumulee_Panne_Min],"Non Trouvée")</f>
        <v>Non Trouvée</v>
      </c>
      <c r="M157" s="5" t="str">
        <f>_xlfn.XLOOKUP(Logs_Reseau6[[#This Row],[Id_Client]],Clients_Churn[ID_Client],Clients_Churn[Anciennete_Mois],"Rien à signaler")</f>
        <v>Rien à signaler</v>
      </c>
      <c r="N157" s="5" t="e">
        <f>Logs_Reseau6[[#This Row],[Anciennette]]/24</f>
        <v>#VALUE!</v>
      </c>
      <c r="O157" s="5" t="e">
        <f>Logs_Reseau6[[#This Row],[Duree_Cumulée_Panne]]/1440</f>
        <v>#VALUE!</v>
      </c>
      <c r="P15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58" spans="1:16" hidden="1" x14ac:dyDescent="0.25">
      <c r="A158" s="2">
        <v>45210</v>
      </c>
      <c r="B158" s="1">
        <v>0.67500000000000004</v>
      </c>
      <c r="C158" t="s">
        <v>1398</v>
      </c>
      <c r="D158">
        <v>86</v>
      </c>
      <c r="E158" t="s">
        <v>1305</v>
      </c>
      <c r="F158" t="str">
        <f>_xlfn.XLOOKUP(Logs_Reseau6[[#This Row],[Cell_ID]],Registre[ID_Antenne],Registre[Province_RDC],"Non Trouvée")</f>
        <v>Non Trouvée</v>
      </c>
      <c r="G158" t="str">
        <f>_xlfn.XLOOKUP(Logs_Reseau6[[#This Row],[Province]],Clients_Churn[Province_Client],Clients_Churn[ID_Client],"Aucun")</f>
        <v>Aucun</v>
      </c>
      <c r="H158" t="str">
        <f>_xlfn.XLOOKUP(Logs_Reseau6[[#This Row],[Cell_ID]],Registre[ID_Antenne],Registre[Technologie],"Rien à signaler")</f>
        <v>Rien à signaler</v>
      </c>
      <c r="I158" t="str">
        <f>_xlfn.XLOOKUP(Logs_Reseau6[[#This Row],[Cell_ID]],Registre[ID_Antenne],Registre[Equipementier],"Non Trouvée")</f>
        <v>Non Trouvée</v>
      </c>
      <c r="J158" t="str">
        <f>_xlfn.XLOOKUP(Logs_Reseau6[[#This Row],[Id_Client]],Clients_Churn[ID_Client],Clients_Churn[Type_Forfait],"Pas d'information")</f>
        <v>Pas d'information</v>
      </c>
      <c r="K158" s="5" t="str">
        <f>IF(Logs_Reseau6[[#This Row],[Type_Forfait]]="Pro Monde","B2B","B2C")</f>
        <v>B2C</v>
      </c>
      <c r="L158" s="5" t="str">
        <f>_xlfn.XLOOKUP(Logs_Reseau6[[#This Row],[Id_Client]],Clients_Churn[ID_Client],Clients_Churn[Duree_Cumulee_Panne_Min],"Non Trouvée")</f>
        <v>Non Trouvée</v>
      </c>
      <c r="M158" s="5" t="str">
        <f>_xlfn.XLOOKUP(Logs_Reseau6[[#This Row],[Id_Client]],Clients_Churn[ID_Client],Clients_Churn[Anciennete_Mois],"Rien à signaler")</f>
        <v>Rien à signaler</v>
      </c>
      <c r="N158" s="5" t="e">
        <f>Logs_Reseau6[[#This Row],[Anciennette]]/24</f>
        <v>#VALUE!</v>
      </c>
      <c r="O158" s="5" t="e">
        <f>Logs_Reseau6[[#This Row],[Duree_Cumulée_Panne]]/1440</f>
        <v>#VALUE!</v>
      </c>
      <c r="P15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59" spans="1:16" hidden="1" x14ac:dyDescent="0.25">
      <c r="A159" s="2">
        <v>45219</v>
      </c>
      <c r="B159" s="1">
        <v>0.63611111111111107</v>
      </c>
      <c r="C159" t="s">
        <v>1398</v>
      </c>
      <c r="D159">
        <v>49</v>
      </c>
      <c r="E159" t="s">
        <v>1300</v>
      </c>
      <c r="F159" t="str">
        <f>_xlfn.XLOOKUP(Logs_Reseau6[[#This Row],[Cell_ID]],Registre[ID_Antenne],Registre[Province_RDC],"Non Trouvée")</f>
        <v>Non Trouvée</v>
      </c>
      <c r="G159" t="str">
        <f>_xlfn.XLOOKUP(Logs_Reseau6[[#This Row],[Province]],Clients_Churn[Province_Client],Clients_Churn[ID_Client],"Aucun")</f>
        <v>Aucun</v>
      </c>
      <c r="H159" t="str">
        <f>_xlfn.XLOOKUP(Logs_Reseau6[[#This Row],[Cell_ID]],Registre[ID_Antenne],Registre[Technologie],"Rien à signaler")</f>
        <v>Rien à signaler</v>
      </c>
      <c r="I159" t="str">
        <f>_xlfn.XLOOKUP(Logs_Reseau6[[#This Row],[Cell_ID]],Registre[ID_Antenne],Registre[Equipementier],"Non Trouvée")</f>
        <v>Non Trouvée</v>
      </c>
      <c r="J159" t="str">
        <f>_xlfn.XLOOKUP(Logs_Reseau6[[#This Row],[Id_Client]],Clients_Churn[ID_Client],Clients_Churn[Type_Forfait],"Pas d'information")</f>
        <v>Pas d'information</v>
      </c>
      <c r="K159" s="5" t="str">
        <f>IF(Logs_Reseau6[[#This Row],[Type_Forfait]]="Pro Monde","B2B","B2C")</f>
        <v>B2C</v>
      </c>
      <c r="L159" s="5" t="str">
        <f>_xlfn.XLOOKUP(Logs_Reseau6[[#This Row],[Id_Client]],Clients_Churn[ID_Client],Clients_Churn[Duree_Cumulee_Panne_Min],"Non Trouvée")</f>
        <v>Non Trouvée</v>
      </c>
      <c r="M159" s="5" t="str">
        <f>_xlfn.XLOOKUP(Logs_Reseau6[[#This Row],[Id_Client]],Clients_Churn[ID_Client],Clients_Churn[Anciennete_Mois],"Rien à signaler")</f>
        <v>Rien à signaler</v>
      </c>
      <c r="N159" s="5" t="e">
        <f>Logs_Reseau6[[#This Row],[Anciennette]]/24</f>
        <v>#VALUE!</v>
      </c>
      <c r="O159" s="5" t="e">
        <f>Logs_Reseau6[[#This Row],[Duree_Cumulée_Panne]]/1440</f>
        <v>#VALUE!</v>
      </c>
      <c r="P15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60" spans="1:16" hidden="1" x14ac:dyDescent="0.25">
      <c r="A160" s="2">
        <v>45222</v>
      </c>
      <c r="B160" s="1">
        <v>0.51666666666666672</v>
      </c>
      <c r="C160" t="s">
        <v>1398</v>
      </c>
      <c r="D160">
        <v>66</v>
      </c>
      <c r="E160" t="s">
        <v>1300</v>
      </c>
      <c r="F160" t="str">
        <f>_xlfn.XLOOKUP(Logs_Reseau6[[#This Row],[Cell_ID]],Registre[ID_Antenne],Registre[Province_RDC],"Non Trouvée")</f>
        <v>Non Trouvée</v>
      </c>
      <c r="G160" t="str">
        <f>_xlfn.XLOOKUP(Logs_Reseau6[[#This Row],[Province]],Clients_Churn[Province_Client],Clients_Churn[ID_Client],"Aucun")</f>
        <v>Aucun</v>
      </c>
      <c r="H160" t="str">
        <f>_xlfn.XLOOKUP(Logs_Reseau6[[#This Row],[Cell_ID]],Registre[ID_Antenne],Registre[Technologie],"Rien à signaler")</f>
        <v>Rien à signaler</v>
      </c>
      <c r="I160" t="str">
        <f>_xlfn.XLOOKUP(Logs_Reseau6[[#This Row],[Cell_ID]],Registre[ID_Antenne],Registre[Equipementier],"Non Trouvée")</f>
        <v>Non Trouvée</v>
      </c>
      <c r="J160" t="str">
        <f>_xlfn.XLOOKUP(Logs_Reseau6[[#This Row],[Id_Client]],Clients_Churn[ID_Client],Clients_Churn[Type_Forfait],"Pas d'information")</f>
        <v>Pas d'information</v>
      </c>
      <c r="K160" s="5" t="str">
        <f>IF(Logs_Reseau6[[#This Row],[Type_Forfait]]="Pro Monde","B2B","B2C")</f>
        <v>B2C</v>
      </c>
      <c r="L160" s="5" t="str">
        <f>_xlfn.XLOOKUP(Logs_Reseau6[[#This Row],[Id_Client]],Clients_Churn[ID_Client],Clients_Churn[Duree_Cumulee_Panne_Min],"Non Trouvée")</f>
        <v>Non Trouvée</v>
      </c>
      <c r="M160" s="5" t="str">
        <f>_xlfn.XLOOKUP(Logs_Reseau6[[#This Row],[Id_Client]],Clients_Churn[ID_Client],Clients_Churn[Anciennete_Mois],"Rien à signaler")</f>
        <v>Rien à signaler</v>
      </c>
      <c r="N160" s="5" t="e">
        <f>Logs_Reseau6[[#This Row],[Anciennette]]/24</f>
        <v>#VALUE!</v>
      </c>
      <c r="O160" s="5" t="e">
        <f>Logs_Reseau6[[#This Row],[Duree_Cumulée_Panne]]/1440</f>
        <v>#VALUE!</v>
      </c>
      <c r="P16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61" spans="1:16" x14ac:dyDescent="0.25">
      <c r="A161" s="2">
        <v>45202</v>
      </c>
      <c r="B161" s="1">
        <v>0.77916666666666667</v>
      </c>
      <c r="C161" t="s">
        <v>1125</v>
      </c>
      <c r="D161">
        <v>61</v>
      </c>
      <c r="E161" t="s">
        <v>1305</v>
      </c>
      <c r="F161" t="str">
        <f>_xlfn.XLOOKUP(Logs_Reseau6[[#This Row],[Cell_ID]],Registre[ID_Antenne],Registre[Province_RDC],"Non Trouvée")</f>
        <v>Tanganyika</v>
      </c>
      <c r="G161" t="str">
        <f>_xlfn.XLOOKUP(Logs_Reseau6[[#This Row],[Province]],Clients_Churn[Province_Client],Clients_Churn[ID_Client],"Aucun")</f>
        <v>CLI-00007</v>
      </c>
      <c r="H161" t="str">
        <f>_xlfn.XLOOKUP(Logs_Reseau6[[#This Row],[Cell_ID]],Registre[ID_Antenne],Registre[Technologie],"Rien à signaler")</f>
        <v>4G</v>
      </c>
      <c r="I161" t="str">
        <f>_xlfn.XLOOKUP(Logs_Reseau6[[#This Row],[Cell_ID]],Registre[ID_Antenne],Registre[Equipementier],"Non Trouvée")</f>
        <v>Nokia</v>
      </c>
      <c r="J161" t="str">
        <f>_xlfn.XLOOKUP(Logs_Reseau6[[#This Row],[Id_Client]],Clients_Churn[ID_Client],Clients_Churn[Type_Forfait],"Pas d'information")</f>
        <v>Bloqué 5Go</v>
      </c>
      <c r="K161" s="5" t="str">
        <f>IF(Logs_Reseau6[[#This Row],[Type_Forfait]]="Pro Monde","B2B","B2C")</f>
        <v>B2C</v>
      </c>
      <c r="L161" s="5">
        <f>_xlfn.XLOOKUP(Logs_Reseau6[[#This Row],[Id_Client]],Clients_Churn[ID_Client],Clients_Churn[Duree_Cumulee_Panne_Min],"Non Trouvée")</f>
        <v>112</v>
      </c>
      <c r="M161" s="5">
        <f>_xlfn.XLOOKUP(Logs_Reseau6[[#This Row],[Id_Client]],Clients_Churn[ID_Client],Clients_Churn[Anciennete_Mois],"Rien à signaler")</f>
        <v>110</v>
      </c>
      <c r="N161" s="11">
        <f>Logs_Reseau6[[#This Row],[Anciennette]]/24</f>
        <v>4.583333333333333</v>
      </c>
      <c r="O161" s="1">
        <f>Logs_Reseau6[[#This Row],[Duree_Cumulée_Panne]]/1440</f>
        <v>7.7777777777777779E-2</v>
      </c>
      <c r="P16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62" spans="1:16" x14ac:dyDescent="0.25">
      <c r="A162" s="2">
        <v>45213</v>
      </c>
      <c r="B162" s="1">
        <v>0.35138888888888886</v>
      </c>
      <c r="C162" t="s">
        <v>937</v>
      </c>
      <c r="D162">
        <v>86</v>
      </c>
      <c r="E162" t="s">
        <v>1305</v>
      </c>
      <c r="F162" t="str">
        <f>_xlfn.XLOOKUP(Logs_Reseau6[[#This Row],[Cell_ID]],Registre[ID_Antenne],Registre[Province_RDC],"Non Trouvée")</f>
        <v>Maniema</v>
      </c>
      <c r="G162" t="str">
        <f>_xlfn.XLOOKUP(Logs_Reseau6[[#This Row],[Province]],Clients_Churn[Province_Client],Clients_Churn[ID_Client],"Aucun")</f>
        <v>CLI-00039</v>
      </c>
      <c r="H162" t="str">
        <f>_xlfn.XLOOKUP(Logs_Reseau6[[#This Row],[Cell_ID]],Registre[ID_Antenne],Registre[Technologie],"Rien à signaler")</f>
        <v>4G</v>
      </c>
      <c r="I162" t="str">
        <f>_xlfn.XLOOKUP(Logs_Reseau6[[#This Row],[Cell_ID]],Registre[ID_Antenne],Registre[Equipementier],"Non Trouvée")</f>
        <v>Huawei</v>
      </c>
      <c r="J162" t="str">
        <f>_xlfn.XLOOKUP(Logs_Reseau6[[#This Row],[Id_Client]],Clients_Churn[ID_Client],Clients_Churn[Type_Forfait],"Pas d'information")</f>
        <v>Pro Monde</v>
      </c>
      <c r="K162" s="5" t="str">
        <f>IF(Logs_Reseau6[[#This Row],[Type_Forfait]]="Pro Monde","B2B","B2C")</f>
        <v>B2B</v>
      </c>
      <c r="L162" s="5">
        <f>_xlfn.XLOOKUP(Logs_Reseau6[[#This Row],[Id_Client]],Clients_Churn[ID_Client],Clients_Churn[Duree_Cumulee_Panne_Min],"Non Trouvée")</f>
        <v>31</v>
      </c>
      <c r="M162" s="5">
        <f>_xlfn.XLOOKUP(Logs_Reseau6[[#This Row],[Id_Client]],Clients_Churn[ID_Client],Clients_Churn[Anciennete_Mois],"Rien à signaler")</f>
        <v>119</v>
      </c>
      <c r="N162" s="11">
        <f>Logs_Reseau6[[#This Row],[Anciennette]]/24</f>
        <v>4.958333333333333</v>
      </c>
      <c r="O162" s="1">
        <f>Logs_Reseau6[[#This Row],[Duree_Cumulée_Panne]]/1440</f>
        <v>2.1527777777777778E-2</v>
      </c>
      <c r="P16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63" spans="1:16" hidden="1" x14ac:dyDescent="0.25">
      <c r="A163" s="2">
        <v>45209</v>
      </c>
      <c r="B163" s="1">
        <v>0.23958333333333334</v>
      </c>
      <c r="C163" t="s">
        <v>1464</v>
      </c>
      <c r="D163">
        <v>42</v>
      </c>
      <c r="E163" t="s">
        <v>1305</v>
      </c>
      <c r="F163" t="str">
        <f>_xlfn.XLOOKUP(Logs_Reseau6[[#This Row],[Cell_ID]],Registre[ID_Antenne],Registre[Province_RDC],"Non Trouvée")</f>
        <v>Non Trouvée</v>
      </c>
      <c r="G163" t="str">
        <f>_xlfn.XLOOKUP(Logs_Reseau6[[#This Row],[Province]],Clients_Churn[Province_Client],Clients_Churn[ID_Client],"Aucun")</f>
        <v>Aucun</v>
      </c>
      <c r="H163" t="str">
        <f>_xlfn.XLOOKUP(Logs_Reseau6[[#This Row],[Cell_ID]],Registre[ID_Antenne],Registre[Technologie],"Rien à signaler")</f>
        <v>Rien à signaler</v>
      </c>
      <c r="I163" t="str">
        <f>_xlfn.XLOOKUP(Logs_Reseau6[[#This Row],[Cell_ID]],Registre[ID_Antenne],Registre[Equipementier],"Non Trouvée")</f>
        <v>Non Trouvée</v>
      </c>
      <c r="J163" t="str">
        <f>_xlfn.XLOOKUP(Logs_Reseau6[[#This Row],[Id_Client]],Clients_Churn[ID_Client],Clients_Churn[Type_Forfait],"Pas d'information")</f>
        <v>Pas d'information</v>
      </c>
      <c r="K163" s="5" t="str">
        <f>IF(Logs_Reseau6[[#This Row],[Type_Forfait]]="Pro Monde","B2B","B2C")</f>
        <v>B2C</v>
      </c>
      <c r="L163" s="5" t="str">
        <f>_xlfn.XLOOKUP(Logs_Reseau6[[#This Row],[Id_Client]],Clients_Churn[ID_Client],Clients_Churn[Duree_Cumulee_Panne_Min],"Non Trouvée")</f>
        <v>Non Trouvée</v>
      </c>
      <c r="M163" s="5" t="str">
        <f>_xlfn.XLOOKUP(Logs_Reseau6[[#This Row],[Id_Client]],Clients_Churn[ID_Client],Clients_Churn[Anciennete_Mois],"Rien à signaler")</f>
        <v>Rien à signaler</v>
      </c>
      <c r="N163" s="5" t="e">
        <f>Logs_Reseau6[[#This Row],[Anciennette]]/24</f>
        <v>#VALUE!</v>
      </c>
      <c r="O163" s="5" t="e">
        <f>Logs_Reseau6[[#This Row],[Duree_Cumulée_Panne]]/1440</f>
        <v>#VALUE!</v>
      </c>
      <c r="P16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64" spans="1:16" hidden="1" x14ac:dyDescent="0.25">
      <c r="A164" s="2">
        <v>45204</v>
      </c>
      <c r="B164" s="1">
        <v>0.91666666666666663</v>
      </c>
      <c r="C164" t="s">
        <v>1555</v>
      </c>
      <c r="D164">
        <v>64</v>
      </c>
      <c r="E164" t="s">
        <v>1305</v>
      </c>
      <c r="F164" t="str">
        <f>_xlfn.XLOOKUP(Logs_Reseau6[[#This Row],[Cell_ID]],Registre[ID_Antenne],Registre[Province_RDC],"Non Trouvée")</f>
        <v>Non Trouvée</v>
      </c>
      <c r="G164" t="str">
        <f>_xlfn.XLOOKUP(Logs_Reseau6[[#This Row],[Province]],Clients_Churn[Province_Client],Clients_Churn[ID_Client],"Aucun")</f>
        <v>Aucun</v>
      </c>
      <c r="H164" t="str">
        <f>_xlfn.XLOOKUP(Logs_Reseau6[[#This Row],[Cell_ID]],Registre[ID_Antenne],Registre[Technologie],"Rien à signaler")</f>
        <v>Rien à signaler</v>
      </c>
      <c r="I164" t="str">
        <f>_xlfn.XLOOKUP(Logs_Reseau6[[#This Row],[Cell_ID]],Registre[ID_Antenne],Registre[Equipementier],"Non Trouvée")</f>
        <v>Non Trouvée</v>
      </c>
      <c r="J164" t="str">
        <f>_xlfn.XLOOKUP(Logs_Reseau6[[#This Row],[Id_Client]],Clients_Churn[ID_Client],Clients_Churn[Type_Forfait],"Pas d'information")</f>
        <v>Pas d'information</v>
      </c>
      <c r="K164" s="5" t="str">
        <f>IF(Logs_Reseau6[[#This Row],[Type_Forfait]]="Pro Monde","B2B","B2C")</f>
        <v>B2C</v>
      </c>
      <c r="L164" s="5" t="str">
        <f>_xlfn.XLOOKUP(Logs_Reseau6[[#This Row],[Id_Client]],Clients_Churn[ID_Client],Clients_Churn[Duree_Cumulee_Panne_Min],"Non Trouvée")</f>
        <v>Non Trouvée</v>
      </c>
      <c r="M164" s="5" t="str">
        <f>_xlfn.XLOOKUP(Logs_Reseau6[[#This Row],[Id_Client]],Clients_Churn[ID_Client],Clients_Churn[Anciennete_Mois],"Rien à signaler")</f>
        <v>Rien à signaler</v>
      </c>
      <c r="N164" s="5" t="e">
        <f>Logs_Reseau6[[#This Row],[Anciennette]]/24</f>
        <v>#VALUE!</v>
      </c>
      <c r="O164" s="5" t="e">
        <f>Logs_Reseau6[[#This Row],[Duree_Cumulée_Panne]]/1440</f>
        <v>#VALUE!</v>
      </c>
      <c r="P16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65" spans="1:16" hidden="1" x14ac:dyDescent="0.25">
      <c r="A165" s="2">
        <v>45227</v>
      </c>
      <c r="B165" s="1">
        <v>0.42152777777777778</v>
      </c>
      <c r="C165" t="s">
        <v>1555</v>
      </c>
      <c r="D165">
        <v>25</v>
      </c>
      <c r="E165" t="s">
        <v>1303</v>
      </c>
      <c r="F165" t="str">
        <f>_xlfn.XLOOKUP(Logs_Reseau6[[#This Row],[Cell_ID]],Registre[ID_Antenne],Registre[Province_RDC],"Non Trouvée")</f>
        <v>Non Trouvée</v>
      </c>
      <c r="G165" t="str">
        <f>_xlfn.XLOOKUP(Logs_Reseau6[[#This Row],[Province]],Clients_Churn[Province_Client],Clients_Churn[ID_Client],"Aucun")</f>
        <v>Aucun</v>
      </c>
      <c r="H165" t="str">
        <f>_xlfn.XLOOKUP(Logs_Reseau6[[#This Row],[Cell_ID]],Registre[ID_Antenne],Registre[Technologie],"Rien à signaler")</f>
        <v>Rien à signaler</v>
      </c>
      <c r="I165" t="str">
        <f>_xlfn.XLOOKUP(Logs_Reseau6[[#This Row],[Cell_ID]],Registre[ID_Antenne],Registre[Equipementier],"Non Trouvée")</f>
        <v>Non Trouvée</v>
      </c>
      <c r="J165" t="str">
        <f>_xlfn.XLOOKUP(Logs_Reseau6[[#This Row],[Id_Client]],Clients_Churn[ID_Client],Clients_Churn[Type_Forfait],"Pas d'information")</f>
        <v>Pas d'information</v>
      </c>
      <c r="K165" s="5" t="str">
        <f>IF(Logs_Reseau6[[#This Row],[Type_Forfait]]="Pro Monde","B2B","B2C")</f>
        <v>B2C</v>
      </c>
      <c r="L165" s="5" t="str">
        <f>_xlfn.XLOOKUP(Logs_Reseau6[[#This Row],[Id_Client]],Clients_Churn[ID_Client],Clients_Churn[Duree_Cumulee_Panne_Min],"Non Trouvée")</f>
        <v>Non Trouvée</v>
      </c>
      <c r="M165" s="5" t="str">
        <f>_xlfn.XLOOKUP(Logs_Reseau6[[#This Row],[Id_Client]],Clients_Churn[ID_Client],Clients_Churn[Anciennete_Mois],"Rien à signaler")</f>
        <v>Rien à signaler</v>
      </c>
      <c r="N165" s="5" t="e">
        <f>Logs_Reseau6[[#This Row],[Anciennette]]/24</f>
        <v>#VALUE!</v>
      </c>
      <c r="O165" s="5" t="e">
        <f>Logs_Reseau6[[#This Row],[Duree_Cumulée_Panne]]/1440</f>
        <v>#VALUE!</v>
      </c>
      <c r="P16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66" spans="1:16" x14ac:dyDescent="0.25">
      <c r="A166" s="2">
        <v>45205</v>
      </c>
      <c r="B166" s="1">
        <v>0.16944444444444445</v>
      </c>
      <c r="C166" t="s">
        <v>1007</v>
      </c>
      <c r="D166">
        <v>18</v>
      </c>
      <c r="E166" t="s">
        <v>1303</v>
      </c>
      <c r="F166" t="str">
        <f>_xlfn.XLOOKUP(Logs_Reseau6[[#This Row],[Cell_ID]],Registre[ID_Antenne],Registre[Province_RDC],"Non Trouvée")</f>
        <v>Kasai</v>
      </c>
      <c r="G166" t="str">
        <f>_xlfn.XLOOKUP(Logs_Reseau6[[#This Row],[Province]],Clients_Churn[Province_Client],Clients_Churn[ID_Client],"Aucun")</f>
        <v>CLI-00057</v>
      </c>
      <c r="H166" t="str">
        <f>_xlfn.XLOOKUP(Logs_Reseau6[[#This Row],[Cell_ID]],Registre[ID_Antenne],Registre[Technologie],"Rien à signaler")</f>
        <v>3G</v>
      </c>
      <c r="I166" t="str">
        <f>_xlfn.XLOOKUP(Logs_Reseau6[[#This Row],[Cell_ID]],Registre[ID_Antenne],Registre[Equipementier],"Non Trouvée")</f>
        <v>Huawei</v>
      </c>
      <c r="J166" t="str">
        <f>_xlfn.XLOOKUP(Logs_Reseau6[[#This Row],[Id_Client]],Clients_Churn[ID_Client],Clients_Churn[Type_Forfait],"Pas d'information")</f>
        <v>Bloqué 5Go</v>
      </c>
      <c r="K166" s="5" t="str">
        <f>IF(Logs_Reseau6[[#This Row],[Type_Forfait]]="Pro Monde","B2B","B2C")</f>
        <v>B2C</v>
      </c>
      <c r="L166" s="5">
        <f>_xlfn.XLOOKUP(Logs_Reseau6[[#This Row],[Id_Client]],Clients_Churn[ID_Client],Clients_Churn[Duree_Cumulee_Panne_Min],"Non Trouvée")</f>
        <v>182</v>
      </c>
      <c r="M166" s="5">
        <f>_xlfn.XLOOKUP(Logs_Reseau6[[#This Row],[Id_Client]],Clients_Churn[ID_Client],Clients_Churn[Anciennete_Mois],"Rien à signaler")</f>
        <v>4</v>
      </c>
      <c r="N166" s="11">
        <f>Logs_Reseau6[[#This Row],[Anciennette]]/24</f>
        <v>0.16666666666666666</v>
      </c>
      <c r="O166" s="1">
        <f>Logs_Reseau6[[#This Row],[Duree_Cumulée_Panne]]/1440</f>
        <v>0.12638888888888888</v>
      </c>
      <c r="P16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67" spans="1:16" hidden="1" x14ac:dyDescent="0.25">
      <c r="A167" s="2">
        <v>45208</v>
      </c>
      <c r="B167" s="1">
        <v>0.50555555555555554</v>
      </c>
      <c r="C167" t="s">
        <v>1343</v>
      </c>
      <c r="D167">
        <v>31</v>
      </c>
      <c r="E167" t="s">
        <v>1305</v>
      </c>
      <c r="F167" t="str">
        <f>_xlfn.XLOOKUP(Logs_Reseau6[[#This Row],[Cell_ID]],Registre[ID_Antenne],Registre[Province_RDC],"Non Trouvée")</f>
        <v>Non Trouvée</v>
      </c>
      <c r="G167" t="str">
        <f>_xlfn.XLOOKUP(Logs_Reseau6[[#This Row],[Province]],Clients_Churn[Province_Client],Clients_Churn[ID_Client],"Aucun")</f>
        <v>Aucun</v>
      </c>
      <c r="H167" t="str">
        <f>_xlfn.XLOOKUP(Logs_Reseau6[[#This Row],[Cell_ID]],Registre[ID_Antenne],Registre[Technologie],"Rien à signaler")</f>
        <v>Rien à signaler</v>
      </c>
      <c r="I167" t="str">
        <f>_xlfn.XLOOKUP(Logs_Reseau6[[#This Row],[Cell_ID]],Registre[ID_Antenne],Registre[Equipementier],"Non Trouvée")</f>
        <v>Non Trouvée</v>
      </c>
      <c r="J167" t="str">
        <f>_xlfn.XLOOKUP(Logs_Reseau6[[#This Row],[Id_Client]],Clients_Churn[ID_Client],Clients_Churn[Type_Forfait],"Pas d'information")</f>
        <v>Pas d'information</v>
      </c>
      <c r="K167" s="5" t="str">
        <f>IF(Logs_Reseau6[[#This Row],[Type_Forfait]]="Pro Monde","B2B","B2C")</f>
        <v>B2C</v>
      </c>
      <c r="L167" s="5" t="str">
        <f>_xlfn.XLOOKUP(Logs_Reseau6[[#This Row],[Id_Client]],Clients_Churn[ID_Client],Clients_Churn[Duree_Cumulee_Panne_Min],"Non Trouvée")</f>
        <v>Non Trouvée</v>
      </c>
      <c r="M167" s="5" t="str">
        <f>_xlfn.XLOOKUP(Logs_Reseau6[[#This Row],[Id_Client]],Clients_Churn[ID_Client],Clients_Churn[Anciennete_Mois],"Rien à signaler")</f>
        <v>Rien à signaler</v>
      </c>
      <c r="N167" s="5" t="e">
        <f>Logs_Reseau6[[#This Row],[Anciennette]]/24</f>
        <v>#VALUE!</v>
      </c>
      <c r="O167" s="5" t="e">
        <f>Logs_Reseau6[[#This Row],[Duree_Cumulée_Panne]]/1440</f>
        <v>#VALUE!</v>
      </c>
      <c r="P16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68" spans="1:16" hidden="1" x14ac:dyDescent="0.25">
      <c r="A168" s="2">
        <v>45227</v>
      </c>
      <c r="B168" s="1">
        <v>0.46250000000000002</v>
      </c>
      <c r="C168" t="s">
        <v>1343</v>
      </c>
      <c r="D168">
        <v>70</v>
      </c>
      <c r="E168" t="s">
        <v>1305</v>
      </c>
      <c r="F168" t="str">
        <f>_xlfn.XLOOKUP(Logs_Reseau6[[#This Row],[Cell_ID]],Registre[ID_Antenne],Registre[Province_RDC],"Non Trouvée")</f>
        <v>Non Trouvée</v>
      </c>
      <c r="G168" t="str">
        <f>_xlfn.XLOOKUP(Logs_Reseau6[[#This Row],[Province]],Clients_Churn[Province_Client],Clients_Churn[ID_Client],"Aucun")</f>
        <v>Aucun</v>
      </c>
      <c r="H168" t="str">
        <f>_xlfn.XLOOKUP(Logs_Reseau6[[#This Row],[Cell_ID]],Registre[ID_Antenne],Registre[Technologie],"Rien à signaler")</f>
        <v>Rien à signaler</v>
      </c>
      <c r="I168" t="str">
        <f>_xlfn.XLOOKUP(Logs_Reseau6[[#This Row],[Cell_ID]],Registre[ID_Antenne],Registre[Equipementier],"Non Trouvée")</f>
        <v>Non Trouvée</v>
      </c>
      <c r="J168" t="str">
        <f>_xlfn.XLOOKUP(Logs_Reseau6[[#This Row],[Id_Client]],Clients_Churn[ID_Client],Clients_Churn[Type_Forfait],"Pas d'information")</f>
        <v>Pas d'information</v>
      </c>
      <c r="K168" s="5" t="str">
        <f>IF(Logs_Reseau6[[#This Row],[Type_Forfait]]="Pro Monde","B2B","B2C")</f>
        <v>B2C</v>
      </c>
      <c r="L168" s="5" t="str">
        <f>_xlfn.XLOOKUP(Logs_Reseau6[[#This Row],[Id_Client]],Clients_Churn[ID_Client],Clients_Churn[Duree_Cumulee_Panne_Min],"Non Trouvée")</f>
        <v>Non Trouvée</v>
      </c>
      <c r="M168" s="5" t="str">
        <f>_xlfn.XLOOKUP(Logs_Reseau6[[#This Row],[Id_Client]],Clients_Churn[ID_Client],Clients_Churn[Anciennete_Mois],"Rien à signaler")</f>
        <v>Rien à signaler</v>
      </c>
      <c r="N168" s="5" t="e">
        <f>Logs_Reseau6[[#This Row],[Anciennette]]/24</f>
        <v>#VALUE!</v>
      </c>
      <c r="O168" s="5" t="e">
        <f>Logs_Reseau6[[#This Row],[Duree_Cumulée_Panne]]/1440</f>
        <v>#VALUE!</v>
      </c>
      <c r="P16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69" spans="1:16" x14ac:dyDescent="0.25">
      <c r="A169" s="2">
        <v>45203</v>
      </c>
      <c r="B169" s="1">
        <v>0.76041666666666663</v>
      </c>
      <c r="C169" t="s">
        <v>838</v>
      </c>
      <c r="D169">
        <v>18</v>
      </c>
      <c r="E169" t="s">
        <v>1305</v>
      </c>
      <c r="F169" t="str">
        <f>_xlfn.XLOOKUP(Logs_Reseau6[[#This Row],[Cell_ID]],Registre[ID_Antenne],Registre[Province_RDC],"Non Trouvée")</f>
        <v>Nord-Ubangi</v>
      </c>
      <c r="G169" t="str">
        <f>_xlfn.XLOOKUP(Logs_Reseau6[[#This Row],[Province]],Clients_Churn[Province_Client],Clients_Churn[ID_Client],"Aucun")</f>
        <v>CLI-00112</v>
      </c>
      <c r="H169" t="str">
        <f>_xlfn.XLOOKUP(Logs_Reseau6[[#This Row],[Cell_ID]],Registre[ID_Antenne],Registre[Technologie],"Rien à signaler")</f>
        <v>5G</v>
      </c>
      <c r="I169" t="str">
        <f>_xlfn.XLOOKUP(Logs_Reseau6[[#This Row],[Cell_ID]],Registre[ID_Antenne],Registre[Equipementier],"Non Trouvée")</f>
        <v>Nokia</v>
      </c>
      <c r="J169" t="str">
        <f>_xlfn.XLOOKUP(Logs_Reseau6[[#This Row],[Id_Client]],Clients_Churn[ID_Client],Clients_Churn[Type_Forfait],"Pas d'information")</f>
        <v>Bloqué 5Go</v>
      </c>
      <c r="K169" s="5" t="str">
        <f>IF(Logs_Reseau6[[#This Row],[Type_Forfait]]="Pro Monde","B2B","B2C")</f>
        <v>B2C</v>
      </c>
      <c r="L169" s="5">
        <f>_xlfn.XLOOKUP(Logs_Reseau6[[#This Row],[Id_Client]],Clients_Churn[ID_Client],Clients_Churn[Duree_Cumulee_Panne_Min],"Non Trouvée")</f>
        <v>52</v>
      </c>
      <c r="M169" s="5">
        <f>_xlfn.XLOOKUP(Logs_Reseau6[[#This Row],[Id_Client]],Clients_Churn[ID_Client],Clients_Churn[Anciennete_Mois],"Rien à signaler")</f>
        <v>98</v>
      </c>
      <c r="N169" s="11">
        <f>Logs_Reseau6[[#This Row],[Anciennette]]/24</f>
        <v>4.083333333333333</v>
      </c>
      <c r="O169" s="1">
        <f>Logs_Reseau6[[#This Row],[Duree_Cumulée_Panne]]/1440</f>
        <v>3.6111111111111108E-2</v>
      </c>
      <c r="P16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70" spans="1:16" x14ac:dyDescent="0.25">
      <c r="A170" s="2">
        <v>45230</v>
      </c>
      <c r="B170" s="1">
        <v>9.0277777777777769E-3</v>
      </c>
      <c r="C170" t="s">
        <v>838</v>
      </c>
      <c r="D170">
        <v>11</v>
      </c>
      <c r="E170" t="s">
        <v>1303</v>
      </c>
      <c r="F170" t="str">
        <f>_xlfn.XLOOKUP(Logs_Reseau6[[#This Row],[Cell_ID]],Registre[ID_Antenne],Registre[Province_RDC],"Non Trouvée")</f>
        <v>Nord-Ubangi</v>
      </c>
      <c r="G170" t="str">
        <f>_xlfn.XLOOKUP(Logs_Reseau6[[#This Row],[Province]],Clients_Churn[Province_Client],Clients_Churn[ID_Client],"Aucun")</f>
        <v>CLI-00112</v>
      </c>
      <c r="H170" t="str">
        <f>_xlfn.XLOOKUP(Logs_Reseau6[[#This Row],[Cell_ID]],Registre[ID_Antenne],Registre[Technologie],"Rien à signaler")</f>
        <v>5G</v>
      </c>
      <c r="I170" t="str">
        <f>_xlfn.XLOOKUP(Logs_Reseau6[[#This Row],[Cell_ID]],Registre[ID_Antenne],Registre[Equipementier],"Non Trouvée")</f>
        <v>Nokia</v>
      </c>
      <c r="J170" t="str">
        <f>_xlfn.XLOOKUP(Logs_Reseau6[[#This Row],[Id_Client]],Clients_Churn[ID_Client],Clients_Churn[Type_Forfait],"Pas d'information")</f>
        <v>Bloqué 5Go</v>
      </c>
      <c r="K170" s="5" t="str">
        <f>IF(Logs_Reseau6[[#This Row],[Type_Forfait]]="Pro Monde","B2B","B2C")</f>
        <v>B2C</v>
      </c>
      <c r="L170" s="5">
        <f>_xlfn.XLOOKUP(Logs_Reseau6[[#This Row],[Id_Client]],Clients_Churn[ID_Client],Clients_Churn[Duree_Cumulee_Panne_Min],"Non Trouvée")</f>
        <v>52</v>
      </c>
      <c r="M170" s="5">
        <f>_xlfn.XLOOKUP(Logs_Reseau6[[#This Row],[Id_Client]],Clients_Churn[ID_Client],Clients_Churn[Anciennete_Mois],"Rien à signaler")</f>
        <v>98</v>
      </c>
      <c r="N170" s="11">
        <f>Logs_Reseau6[[#This Row],[Anciennette]]/24</f>
        <v>4.083333333333333</v>
      </c>
      <c r="O170" s="1">
        <f>Logs_Reseau6[[#This Row],[Duree_Cumulée_Panne]]/1440</f>
        <v>3.6111111111111108E-2</v>
      </c>
      <c r="P17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71" spans="1:16" x14ac:dyDescent="0.25">
      <c r="A171" s="2">
        <v>45205</v>
      </c>
      <c r="B171" s="1">
        <v>0.65069444444444446</v>
      </c>
      <c r="C171" t="s">
        <v>946</v>
      </c>
      <c r="D171">
        <v>63</v>
      </c>
      <c r="E171" t="s">
        <v>1300</v>
      </c>
      <c r="F171" t="str">
        <f>_xlfn.XLOOKUP(Logs_Reseau6[[#This Row],[Cell_ID]],Registre[ID_Antenne],Registre[Province_RDC],"Non Trouvée")</f>
        <v>Kongo-Central</v>
      </c>
      <c r="G171" t="str">
        <f>_xlfn.XLOOKUP(Logs_Reseau6[[#This Row],[Province]],Clients_Churn[Province_Client],Clients_Churn[ID_Client],"Aucun")</f>
        <v>CLI-00012</v>
      </c>
      <c r="H171" t="str">
        <f>_xlfn.XLOOKUP(Logs_Reseau6[[#This Row],[Cell_ID]],Registre[ID_Antenne],Registre[Technologie],"Rien à signaler")</f>
        <v>5G</v>
      </c>
      <c r="I171" t="str">
        <f>_xlfn.XLOOKUP(Logs_Reseau6[[#This Row],[Cell_ID]],Registre[ID_Antenne],Registre[Equipementier],"Non Trouvée")</f>
        <v>ZTE</v>
      </c>
      <c r="J171" t="str">
        <f>_xlfn.XLOOKUP(Logs_Reseau6[[#This Row],[Id_Client]],Clients_Churn[ID_Client],Clients_Churn[Type_Forfait],"Pas d'information")</f>
        <v>Illimité 50Go</v>
      </c>
      <c r="K171" s="5" t="str">
        <f>IF(Logs_Reseau6[[#This Row],[Type_Forfait]]="Pro Monde","B2B","B2C")</f>
        <v>B2C</v>
      </c>
      <c r="L171" s="5">
        <f>_xlfn.XLOOKUP(Logs_Reseau6[[#This Row],[Id_Client]],Clients_Churn[ID_Client],Clients_Churn[Duree_Cumulee_Panne_Min],"Non Trouvée")</f>
        <v>172</v>
      </c>
      <c r="M171" s="5">
        <f>_xlfn.XLOOKUP(Logs_Reseau6[[#This Row],[Id_Client]],Clients_Churn[ID_Client],Clients_Churn[Anciennete_Mois],"Rien à signaler")</f>
        <v>105</v>
      </c>
      <c r="N171" s="11">
        <f>Logs_Reseau6[[#This Row],[Anciennette]]/24</f>
        <v>4.375</v>
      </c>
      <c r="O171" s="1">
        <f>Logs_Reseau6[[#This Row],[Duree_Cumulée_Panne]]/1440</f>
        <v>0.11944444444444445</v>
      </c>
      <c r="P17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72" spans="1:16" hidden="1" x14ac:dyDescent="0.25">
      <c r="A172" s="2">
        <v>45223</v>
      </c>
      <c r="B172" s="1">
        <v>3.0555555555555555E-2</v>
      </c>
      <c r="C172" t="s">
        <v>1578</v>
      </c>
      <c r="D172">
        <v>59</v>
      </c>
      <c r="E172" t="s">
        <v>1300</v>
      </c>
      <c r="F172" t="str">
        <f>_xlfn.XLOOKUP(Logs_Reseau6[[#This Row],[Cell_ID]],Registre[ID_Antenne],Registre[Province_RDC],"Non Trouvée")</f>
        <v>Non Trouvée</v>
      </c>
      <c r="G172" t="str">
        <f>_xlfn.XLOOKUP(Logs_Reseau6[[#This Row],[Province]],Clients_Churn[Province_Client],Clients_Churn[ID_Client],"Aucun")</f>
        <v>Aucun</v>
      </c>
      <c r="H172" t="str">
        <f>_xlfn.XLOOKUP(Logs_Reseau6[[#This Row],[Cell_ID]],Registre[ID_Antenne],Registre[Technologie],"Rien à signaler")</f>
        <v>Rien à signaler</v>
      </c>
      <c r="I172" t="str">
        <f>_xlfn.XLOOKUP(Logs_Reseau6[[#This Row],[Cell_ID]],Registre[ID_Antenne],Registre[Equipementier],"Non Trouvée")</f>
        <v>Non Trouvée</v>
      </c>
      <c r="J172" t="str">
        <f>_xlfn.XLOOKUP(Logs_Reseau6[[#This Row],[Id_Client]],Clients_Churn[ID_Client],Clients_Churn[Type_Forfait],"Pas d'information")</f>
        <v>Pas d'information</v>
      </c>
      <c r="K172" s="5" t="str">
        <f>IF(Logs_Reseau6[[#This Row],[Type_Forfait]]="Pro Monde","B2B","B2C")</f>
        <v>B2C</v>
      </c>
      <c r="L172" s="5" t="str">
        <f>_xlfn.XLOOKUP(Logs_Reseau6[[#This Row],[Id_Client]],Clients_Churn[ID_Client],Clients_Churn[Duree_Cumulee_Panne_Min],"Non Trouvée")</f>
        <v>Non Trouvée</v>
      </c>
      <c r="M172" s="5" t="str">
        <f>_xlfn.XLOOKUP(Logs_Reseau6[[#This Row],[Id_Client]],Clients_Churn[ID_Client],Clients_Churn[Anciennete_Mois],"Rien à signaler")</f>
        <v>Rien à signaler</v>
      </c>
      <c r="N172" s="5" t="e">
        <f>Logs_Reseau6[[#This Row],[Anciennette]]/24</f>
        <v>#VALUE!</v>
      </c>
      <c r="O172" s="5" t="e">
        <f>Logs_Reseau6[[#This Row],[Duree_Cumulée_Panne]]/1440</f>
        <v>#VALUE!</v>
      </c>
      <c r="P17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73" spans="1:16" hidden="1" x14ac:dyDescent="0.25">
      <c r="A173" s="2">
        <v>45206</v>
      </c>
      <c r="B173" s="1">
        <v>0.43472222222222223</v>
      </c>
      <c r="C173" t="s">
        <v>1315</v>
      </c>
      <c r="D173">
        <v>98</v>
      </c>
      <c r="E173" t="s">
        <v>1300</v>
      </c>
      <c r="F173" t="str">
        <f>_xlfn.XLOOKUP(Logs_Reseau6[[#This Row],[Cell_ID]],Registre[ID_Antenne],Registre[Province_RDC],"Non Trouvée")</f>
        <v>Non Trouvée</v>
      </c>
      <c r="G173" t="str">
        <f>_xlfn.XLOOKUP(Logs_Reseau6[[#This Row],[Province]],Clients_Churn[Province_Client],Clients_Churn[ID_Client],"Aucun")</f>
        <v>Aucun</v>
      </c>
      <c r="H173" t="str">
        <f>_xlfn.XLOOKUP(Logs_Reseau6[[#This Row],[Cell_ID]],Registre[ID_Antenne],Registre[Technologie],"Rien à signaler")</f>
        <v>Rien à signaler</v>
      </c>
      <c r="I173" t="str">
        <f>_xlfn.XLOOKUP(Logs_Reseau6[[#This Row],[Cell_ID]],Registre[ID_Antenne],Registre[Equipementier],"Non Trouvée")</f>
        <v>Non Trouvée</v>
      </c>
      <c r="J173" t="str">
        <f>_xlfn.XLOOKUP(Logs_Reseau6[[#This Row],[Id_Client]],Clients_Churn[ID_Client],Clients_Churn[Type_Forfait],"Pas d'information")</f>
        <v>Pas d'information</v>
      </c>
      <c r="K173" s="5" t="str">
        <f>IF(Logs_Reseau6[[#This Row],[Type_Forfait]]="Pro Monde","B2B","B2C")</f>
        <v>B2C</v>
      </c>
      <c r="L173" s="5" t="str">
        <f>_xlfn.XLOOKUP(Logs_Reseau6[[#This Row],[Id_Client]],Clients_Churn[ID_Client],Clients_Churn[Duree_Cumulee_Panne_Min],"Non Trouvée")</f>
        <v>Non Trouvée</v>
      </c>
      <c r="M173" s="5" t="str">
        <f>_xlfn.XLOOKUP(Logs_Reseau6[[#This Row],[Id_Client]],Clients_Churn[ID_Client],Clients_Churn[Anciennete_Mois],"Rien à signaler")</f>
        <v>Rien à signaler</v>
      </c>
      <c r="N173" s="5" t="e">
        <f>Logs_Reseau6[[#This Row],[Anciennette]]/24</f>
        <v>#VALUE!</v>
      </c>
      <c r="O173" s="5" t="e">
        <f>Logs_Reseau6[[#This Row],[Duree_Cumulée_Panne]]/1440</f>
        <v>#VALUE!</v>
      </c>
      <c r="P17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74" spans="1:16" hidden="1" x14ac:dyDescent="0.25">
      <c r="A174" s="2">
        <v>45217</v>
      </c>
      <c r="B174" s="1">
        <v>0.41180555555555554</v>
      </c>
      <c r="C174" t="s">
        <v>1315</v>
      </c>
      <c r="D174">
        <v>92</v>
      </c>
      <c r="E174" t="s">
        <v>1305</v>
      </c>
      <c r="F174" t="str">
        <f>_xlfn.XLOOKUP(Logs_Reseau6[[#This Row],[Cell_ID]],Registre[ID_Antenne],Registre[Province_RDC],"Non Trouvée")</f>
        <v>Non Trouvée</v>
      </c>
      <c r="G174" t="str">
        <f>_xlfn.XLOOKUP(Logs_Reseau6[[#This Row],[Province]],Clients_Churn[Province_Client],Clients_Churn[ID_Client],"Aucun")</f>
        <v>Aucun</v>
      </c>
      <c r="H174" t="str">
        <f>_xlfn.XLOOKUP(Logs_Reseau6[[#This Row],[Cell_ID]],Registre[ID_Antenne],Registre[Technologie],"Rien à signaler")</f>
        <v>Rien à signaler</v>
      </c>
      <c r="I174" t="str">
        <f>_xlfn.XLOOKUP(Logs_Reseau6[[#This Row],[Cell_ID]],Registre[ID_Antenne],Registre[Equipementier],"Non Trouvée")</f>
        <v>Non Trouvée</v>
      </c>
      <c r="J174" t="str">
        <f>_xlfn.XLOOKUP(Logs_Reseau6[[#This Row],[Id_Client]],Clients_Churn[ID_Client],Clients_Churn[Type_Forfait],"Pas d'information")</f>
        <v>Pas d'information</v>
      </c>
      <c r="K174" s="5" t="str">
        <f>IF(Logs_Reseau6[[#This Row],[Type_Forfait]]="Pro Monde","B2B","B2C")</f>
        <v>B2C</v>
      </c>
      <c r="L174" s="5" t="str">
        <f>_xlfn.XLOOKUP(Logs_Reseau6[[#This Row],[Id_Client]],Clients_Churn[ID_Client],Clients_Churn[Duree_Cumulee_Panne_Min],"Non Trouvée")</f>
        <v>Non Trouvée</v>
      </c>
      <c r="M174" s="5" t="str">
        <f>_xlfn.XLOOKUP(Logs_Reseau6[[#This Row],[Id_Client]],Clients_Churn[ID_Client],Clients_Churn[Anciennete_Mois],"Rien à signaler")</f>
        <v>Rien à signaler</v>
      </c>
      <c r="N174" s="5" t="e">
        <f>Logs_Reseau6[[#This Row],[Anciennette]]/24</f>
        <v>#VALUE!</v>
      </c>
      <c r="O174" s="5" t="e">
        <f>Logs_Reseau6[[#This Row],[Duree_Cumulée_Panne]]/1440</f>
        <v>#VALUE!</v>
      </c>
      <c r="P17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75" spans="1:16" hidden="1" x14ac:dyDescent="0.25">
      <c r="A175" s="2">
        <v>45206</v>
      </c>
      <c r="B175" s="1">
        <v>0.2590277777777778</v>
      </c>
      <c r="C175" t="s">
        <v>1624</v>
      </c>
      <c r="D175">
        <v>104</v>
      </c>
      <c r="E175" t="s">
        <v>1300</v>
      </c>
      <c r="F175" t="str">
        <f>_xlfn.XLOOKUP(Logs_Reseau6[[#This Row],[Cell_ID]],Registre[ID_Antenne],Registre[Province_RDC],"Non Trouvée")</f>
        <v>Non Trouvée</v>
      </c>
      <c r="G175" t="str">
        <f>_xlfn.XLOOKUP(Logs_Reseau6[[#This Row],[Province]],Clients_Churn[Province_Client],Clients_Churn[ID_Client],"Aucun")</f>
        <v>Aucun</v>
      </c>
      <c r="H175" t="str">
        <f>_xlfn.XLOOKUP(Logs_Reseau6[[#This Row],[Cell_ID]],Registre[ID_Antenne],Registre[Technologie],"Rien à signaler")</f>
        <v>Rien à signaler</v>
      </c>
      <c r="I175" t="str">
        <f>_xlfn.XLOOKUP(Logs_Reseau6[[#This Row],[Cell_ID]],Registre[ID_Antenne],Registre[Equipementier],"Non Trouvée")</f>
        <v>Non Trouvée</v>
      </c>
      <c r="J175" t="str">
        <f>_xlfn.XLOOKUP(Logs_Reseau6[[#This Row],[Id_Client]],Clients_Churn[ID_Client],Clients_Churn[Type_Forfait],"Pas d'information")</f>
        <v>Pas d'information</v>
      </c>
      <c r="K175" s="5" t="str">
        <f>IF(Logs_Reseau6[[#This Row],[Type_Forfait]]="Pro Monde","B2B","B2C")</f>
        <v>B2C</v>
      </c>
      <c r="L175" s="5" t="str">
        <f>_xlfn.XLOOKUP(Logs_Reseau6[[#This Row],[Id_Client]],Clients_Churn[ID_Client],Clients_Churn[Duree_Cumulee_Panne_Min],"Non Trouvée")</f>
        <v>Non Trouvée</v>
      </c>
      <c r="M175" s="5" t="str">
        <f>_xlfn.XLOOKUP(Logs_Reseau6[[#This Row],[Id_Client]],Clients_Churn[ID_Client],Clients_Churn[Anciennete_Mois],"Rien à signaler")</f>
        <v>Rien à signaler</v>
      </c>
      <c r="N175" s="5" t="e">
        <f>Logs_Reseau6[[#This Row],[Anciennette]]/24</f>
        <v>#VALUE!</v>
      </c>
      <c r="O175" s="5" t="e">
        <f>Logs_Reseau6[[#This Row],[Duree_Cumulée_Panne]]/1440</f>
        <v>#VALUE!</v>
      </c>
      <c r="P17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76" spans="1:16" x14ac:dyDescent="0.25">
      <c r="A176" s="2">
        <v>45216</v>
      </c>
      <c r="B176" s="1">
        <v>0.27500000000000002</v>
      </c>
      <c r="C176" t="s">
        <v>1097</v>
      </c>
      <c r="D176">
        <v>119</v>
      </c>
      <c r="E176" t="s">
        <v>1305</v>
      </c>
      <c r="F176" t="str">
        <f>_xlfn.XLOOKUP(Logs_Reseau6[[#This Row],[Cell_ID]],Registre[ID_Antenne],Registre[Province_RDC],"Non Trouvée")</f>
        <v>Sud-Kivu</v>
      </c>
      <c r="G176" t="str">
        <f>_xlfn.XLOOKUP(Logs_Reseau6[[#This Row],[Province]],Clients_Churn[Province_Client],Clients_Churn[ID_Client],"Aucun")</f>
        <v>CLI-00054</v>
      </c>
      <c r="H176" t="str">
        <f>_xlfn.XLOOKUP(Logs_Reseau6[[#This Row],[Cell_ID]],Registre[ID_Antenne],Registre[Technologie],"Rien à signaler")</f>
        <v>5G</v>
      </c>
      <c r="I176" t="str">
        <f>_xlfn.XLOOKUP(Logs_Reseau6[[#This Row],[Cell_ID]],Registre[ID_Antenne],Registre[Equipementier],"Non Trouvée")</f>
        <v>Nokia</v>
      </c>
      <c r="J176" t="str">
        <f>_xlfn.XLOOKUP(Logs_Reseau6[[#This Row],[Id_Client]],Clients_Churn[ID_Client],Clients_Churn[Type_Forfait],"Pas d'information")</f>
        <v>Bloqué 5Go</v>
      </c>
      <c r="K176" s="5" t="str">
        <f>IF(Logs_Reseau6[[#This Row],[Type_Forfait]]="Pro Monde","B2B","B2C")</f>
        <v>B2C</v>
      </c>
      <c r="L176" s="5">
        <f>_xlfn.XLOOKUP(Logs_Reseau6[[#This Row],[Id_Client]],Clients_Churn[ID_Client],Clients_Churn[Duree_Cumulee_Panne_Min],"Non Trouvée")</f>
        <v>40</v>
      </c>
      <c r="M176" s="5">
        <f>_xlfn.XLOOKUP(Logs_Reseau6[[#This Row],[Id_Client]],Clients_Churn[ID_Client],Clients_Churn[Anciennete_Mois],"Rien à signaler")</f>
        <v>34</v>
      </c>
      <c r="N176" s="11">
        <f>Logs_Reseau6[[#This Row],[Anciennette]]/24</f>
        <v>1.4166666666666667</v>
      </c>
      <c r="O176" s="1">
        <f>Logs_Reseau6[[#This Row],[Duree_Cumulée_Panne]]/1440</f>
        <v>2.7777777777777776E-2</v>
      </c>
      <c r="P17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77" spans="1:16" x14ac:dyDescent="0.25">
      <c r="A177" s="2">
        <v>45227</v>
      </c>
      <c r="B177" s="1">
        <v>0.44791666666666669</v>
      </c>
      <c r="C177" t="s">
        <v>1097</v>
      </c>
      <c r="D177">
        <v>84</v>
      </c>
      <c r="E177" t="s">
        <v>1303</v>
      </c>
      <c r="F177" t="str">
        <f>_xlfn.XLOOKUP(Logs_Reseau6[[#This Row],[Cell_ID]],Registre[ID_Antenne],Registre[Province_RDC],"Non Trouvée")</f>
        <v>Sud-Kivu</v>
      </c>
      <c r="G177" t="str">
        <f>_xlfn.XLOOKUP(Logs_Reseau6[[#This Row],[Province]],Clients_Churn[Province_Client],Clients_Churn[ID_Client],"Aucun")</f>
        <v>CLI-00054</v>
      </c>
      <c r="H177" t="str">
        <f>_xlfn.XLOOKUP(Logs_Reseau6[[#This Row],[Cell_ID]],Registre[ID_Antenne],Registre[Technologie],"Rien à signaler")</f>
        <v>5G</v>
      </c>
      <c r="I177" t="str">
        <f>_xlfn.XLOOKUP(Logs_Reseau6[[#This Row],[Cell_ID]],Registre[ID_Antenne],Registre[Equipementier],"Non Trouvée")</f>
        <v>Nokia</v>
      </c>
      <c r="J177" t="str">
        <f>_xlfn.XLOOKUP(Logs_Reseau6[[#This Row],[Id_Client]],Clients_Churn[ID_Client],Clients_Churn[Type_Forfait],"Pas d'information")</f>
        <v>Bloqué 5Go</v>
      </c>
      <c r="K177" s="5" t="str">
        <f>IF(Logs_Reseau6[[#This Row],[Type_Forfait]]="Pro Monde","B2B","B2C")</f>
        <v>B2C</v>
      </c>
      <c r="L177" s="5">
        <f>_xlfn.XLOOKUP(Logs_Reseau6[[#This Row],[Id_Client]],Clients_Churn[ID_Client],Clients_Churn[Duree_Cumulee_Panne_Min],"Non Trouvée")</f>
        <v>40</v>
      </c>
      <c r="M177" s="5">
        <f>_xlfn.XLOOKUP(Logs_Reseau6[[#This Row],[Id_Client]],Clients_Churn[ID_Client],Clients_Churn[Anciennete_Mois],"Rien à signaler")</f>
        <v>34</v>
      </c>
      <c r="N177" s="11">
        <f>Logs_Reseau6[[#This Row],[Anciennette]]/24</f>
        <v>1.4166666666666667</v>
      </c>
      <c r="O177" s="1">
        <f>Logs_Reseau6[[#This Row],[Duree_Cumulée_Panne]]/1440</f>
        <v>2.7777777777777776E-2</v>
      </c>
      <c r="P17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78" spans="1:16" x14ac:dyDescent="0.25">
      <c r="A178" s="2">
        <v>45216</v>
      </c>
      <c r="B178" s="1">
        <v>0.86527777777777781</v>
      </c>
      <c r="C178" t="s">
        <v>948</v>
      </c>
      <c r="D178">
        <v>10</v>
      </c>
      <c r="E178" t="s">
        <v>1303</v>
      </c>
      <c r="F178" t="str">
        <f>_xlfn.XLOOKUP(Logs_Reseau6[[#This Row],[Cell_ID]],Registre[ID_Antenne],Registre[Province_RDC],"Non Trouvée")</f>
        <v>Kasai-Oriental</v>
      </c>
      <c r="G178" t="str">
        <f>_xlfn.XLOOKUP(Logs_Reseau6[[#This Row],[Province]],Clients_Churn[Province_Client],Clients_Churn[ID_Client],"Aucun")</f>
        <v>CLI-00107</v>
      </c>
      <c r="H178" t="str">
        <f>_xlfn.XLOOKUP(Logs_Reseau6[[#This Row],[Cell_ID]],Registre[ID_Antenne],Registre[Technologie],"Rien à signaler")</f>
        <v>4G</v>
      </c>
      <c r="I178" t="str">
        <f>_xlfn.XLOOKUP(Logs_Reseau6[[#This Row],[Cell_ID]],Registre[ID_Antenne],Registre[Equipementier],"Non Trouvée")</f>
        <v>Huawei</v>
      </c>
      <c r="J178" t="str">
        <f>_xlfn.XLOOKUP(Logs_Reseau6[[#This Row],[Id_Client]],Clients_Churn[ID_Client],Clients_Churn[Type_Forfait],"Pas d'information")</f>
        <v>Premium 5G 150Go</v>
      </c>
      <c r="K178" s="5" t="str">
        <f>IF(Logs_Reseau6[[#This Row],[Type_Forfait]]="Pro Monde","B2B","B2C")</f>
        <v>B2C</v>
      </c>
      <c r="L178" s="5">
        <f>_xlfn.XLOOKUP(Logs_Reseau6[[#This Row],[Id_Client]],Clients_Churn[ID_Client],Clients_Churn[Duree_Cumulee_Panne_Min],"Non Trouvée")</f>
        <v>88</v>
      </c>
      <c r="M178" s="5">
        <f>_xlfn.XLOOKUP(Logs_Reseau6[[#This Row],[Id_Client]],Clients_Churn[ID_Client],Clients_Churn[Anciennete_Mois],"Rien à signaler")</f>
        <v>82</v>
      </c>
      <c r="N178" s="11">
        <f>Logs_Reseau6[[#This Row],[Anciennette]]/24</f>
        <v>3.4166666666666665</v>
      </c>
      <c r="O178" s="1">
        <f>Logs_Reseau6[[#This Row],[Duree_Cumulée_Panne]]/1440</f>
        <v>6.1111111111111109E-2</v>
      </c>
      <c r="P17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79" spans="1:16" hidden="1" x14ac:dyDescent="0.25">
      <c r="A179" s="2">
        <v>45221</v>
      </c>
      <c r="B179" s="1">
        <v>0.55555555555555558</v>
      </c>
      <c r="C179" t="s">
        <v>1354</v>
      </c>
      <c r="D179">
        <v>103</v>
      </c>
      <c r="E179" t="s">
        <v>1303</v>
      </c>
      <c r="F179" t="str">
        <f>_xlfn.XLOOKUP(Logs_Reseau6[[#This Row],[Cell_ID]],Registre[ID_Antenne],Registre[Province_RDC],"Non Trouvée")</f>
        <v>Non Trouvée</v>
      </c>
      <c r="G179" t="str">
        <f>_xlfn.XLOOKUP(Logs_Reseau6[[#This Row],[Province]],Clients_Churn[Province_Client],Clients_Churn[ID_Client],"Aucun")</f>
        <v>Aucun</v>
      </c>
      <c r="H179" t="str">
        <f>_xlfn.XLOOKUP(Logs_Reseau6[[#This Row],[Cell_ID]],Registre[ID_Antenne],Registre[Technologie],"Rien à signaler")</f>
        <v>Rien à signaler</v>
      </c>
      <c r="I179" t="str">
        <f>_xlfn.XLOOKUP(Logs_Reseau6[[#This Row],[Cell_ID]],Registre[ID_Antenne],Registre[Equipementier],"Non Trouvée")</f>
        <v>Non Trouvée</v>
      </c>
      <c r="J179" t="str">
        <f>_xlfn.XLOOKUP(Logs_Reseau6[[#This Row],[Id_Client]],Clients_Churn[ID_Client],Clients_Churn[Type_Forfait],"Pas d'information")</f>
        <v>Pas d'information</v>
      </c>
      <c r="K179" s="5" t="str">
        <f>IF(Logs_Reseau6[[#This Row],[Type_Forfait]]="Pro Monde","B2B","B2C")</f>
        <v>B2C</v>
      </c>
      <c r="L179" s="5" t="str">
        <f>_xlfn.XLOOKUP(Logs_Reseau6[[#This Row],[Id_Client]],Clients_Churn[ID_Client],Clients_Churn[Duree_Cumulee_Panne_Min],"Non Trouvée")</f>
        <v>Non Trouvée</v>
      </c>
      <c r="M179" s="5" t="str">
        <f>_xlfn.XLOOKUP(Logs_Reseau6[[#This Row],[Id_Client]],Clients_Churn[ID_Client],Clients_Churn[Anciennete_Mois],"Rien à signaler")</f>
        <v>Rien à signaler</v>
      </c>
      <c r="N179" s="5" t="e">
        <f>Logs_Reseau6[[#This Row],[Anciennette]]/24</f>
        <v>#VALUE!</v>
      </c>
      <c r="O179" s="5" t="e">
        <f>Logs_Reseau6[[#This Row],[Duree_Cumulée_Panne]]/1440</f>
        <v>#VALUE!</v>
      </c>
      <c r="P17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80" spans="1:16" hidden="1" x14ac:dyDescent="0.25">
      <c r="A180" s="2">
        <v>45227</v>
      </c>
      <c r="B180" s="1">
        <v>0.77569444444444446</v>
      </c>
      <c r="C180" t="s">
        <v>1354</v>
      </c>
      <c r="D180">
        <v>45</v>
      </c>
      <c r="E180" t="s">
        <v>1305</v>
      </c>
      <c r="F180" t="str">
        <f>_xlfn.XLOOKUP(Logs_Reseau6[[#This Row],[Cell_ID]],Registre[ID_Antenne],Registre[Province_RDC],"Non Trouvée")</f>
        <v>Non Trouvée</v>
      </c>
      <c r="G180" t="str">
        <f>_xlfn.XLOOKUP(Logs_Reseau6[[#This Row],[Province]],Clients_Churn[Province_Client],Clients_Churn[ID_Client],"Aucun")</f>
        <v>Aucun</v>
      </c>
      <c r="H180" t="str">
        <f>_xlfn.XLOOKUP(Logs_Reseau6[[#This Row],[Cell_ID]],Registre[ID_Antenne],Registre[Technologie],"Rien à signaler")</f>
        <v>Rien à signaler</v>
      </c>
      <c r="I180" t="str">
        <f>_xlfn.XLOOKUP(Logs_Reseau6[[#This Row],[Cell_ID]],Registre[ID_Antenne],Registre[Equipementier],"Non Trouvée")</f>
        <v>Non Trouvée</v>
      </c>
      <c r="J180" t="str">
        <f>_xlfn.XLOOKUP(Logs_Reseau6[[#This Row],[Id_Client]],Clients_Churn[ID_Client],Clients_Churn[Type_Forfait],"Pas d'information")</f>
        <v>Pas d'information</v>
      </c>
      <c r="K180" s="5" t="str">
        <f>IF(Logs_Reseau6[[#This Row],[Type_Forfait]]="Pro Monde","B2B","B2C")</f>
        <v>B2C</v>
      </c>
      <c r="L180" s="5" t="str">
        <f>_xlfn.XLOOKUP(Logs_Reseau6[[#This Row],[Id_Client]],Clients_Churn[ID_Client],Clients_Churn[Duree_Cumulee_Panne_Min],"Non Trouvée")</f>
        <v>Non Trouvée</v>
      </c>
      <c r="M180" s="5" t="str">
        <f>_xlfn.XLOOKUP(Logs_Reseau6[[#This Row],[Id_Client]],Clients_Churn[ID_Client],Clients_Churn[Anciennete_Mois],"Rien à signaler")</f>
        <v>Rien à signaler</v>
      </c>
      <c r="N180" s="5" t="e">
        <f>Logs_Reseau6[[#This Row],[Anciennette]]/24</f>
        <v>#VALUE!</v>
      </c>
      <c r="O180" s="5" t="e">
        <f>Logs_Reseau6[[#This Row],[Duree_Cumulée_Panne]]/1440</f>
        <v>#VALUE!</v>
      </c>
      <c r="P18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81" spans="1:16" x14ac:dyDescent="0.25">
      <c r="A181" s="2">
        <v>45209</v>
      </c>
      <c r="B181" s="1">
        <v>0.21527777777777779</v>
      </c>
      <c r="C181" t="s">
        <v>868</v>
      </c>
      <c r="D181">
        <v>23</v>
      </c>
      <c r="E181" t="s">
        <v>1305</v>
      </c>
      <c r="F181" t="str">
        <f>_xlfn.XLOOKUP(Logs_Reseau6[[#This Row],[Cell_ID]],Registre[ID_Antenne],Registre[Province_RDC],"Non Trouvée")</f>
        <v>Kinshasa</v>
      </c>
      <c r="G181" t="str">
        <f>_xlfn.XLOOKUP(Logs_Reseau6[[#This Row],[Province]],Clients_Churn[Province_Client],Clients_Churn[ID_Client],"Aucun")</f>
        <v>CLI-00184</v>
      </c>
      <c r="H181" t="str">
        <f>_xlfn.XLOOKUP(Logs_Reseau6[[#This Row],[Cell_ID]],Registre[ID_Antenne],Registre[Technologie],"Rien à signaler")</f>
        <v>5G</v>
      </c>
      <c r="I181" t="str">
        <f>_xlfn.XLOOKUP(Logs_Reseau6[[#This Row],[Cell_ID]],Registre[ID_Antenne],Registre[Equipementier],"Non Trouvée")</f>
        <v>ZTE</v>
      </c>
      <c r="J181" t="str">
        <f>_xlfn.XLOOKUP(Logs_Reseau6[[#This Row],[Id_Client]],Clients_Churn[ID_Client],Clients_Churn[Type_Forfait],"Pas d'information")</f>
        <v>Premium 5G 150Go</v>
      </c>
      <c r="K181" s="5" t="str">
        <f>IF(Logs_Reseau6[[#This Row],[Type_Forfait]]="Pro Monde","B2B","B2C")</f>
        <v>B2C</v>
      </c>
      <c r="L181" s="5">
        <f>_xlfn.XLOOKUP(Logs_Reseau6[[#This Row],[Id_Client]],Clients_Churn[ID_Client],Clients_Churn[Duree_Cumulee_Panne_Min],"Non Trouvée")</f>
        <v>191</v>
      </c>
      <c r="M181" s="5">
        <f>_xlfn.XLOOKUP(Logs_Reseau6[[#This Row],[Id_Client]],Clients_Churn[ID_Client],Clients_Churn[Anciennete_Mois],"Rien à signaler")</f>
        <v>71</v>
      </c>
      <c r="N181" s="11">
        <f>Logs_Reseau6[[#This Row],[Anciennette]]/24</f>
        <v>2.9583333333333335</v>
      </c>
      <c r="O181" s="1">
        <f>Logs_Reseau6[[#This Row],[Duree_Cumulée_Panne]]/1440</f>
        <v>0.13263888888888889</v>
      </c>
      <c r="P18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82" spans="1:16" x14ac:dyDescent="0.25">
      <c r="A182" s="2">
        <v>45218</v>
      </c>
      <c r="B182" s="1">
        <v>8.8888888888888892E-2</v>
      </c>
      <c r="C182" t="s">
        <v>868</v>
      </c>
      <c r="D182">
        <v>12</v>
      </c>
      <c r="E182" t="s">
        <v>1305</v>
      </c>
      <c r="F182" t="str">
        <f>_xlfn.XLOOKUP(Logs_Reseau6[[#This Row],[Cell_ID]],Registre[ID_Antenne],Registre[Province_RDC],"Non Trouvée")</f>
        <v>Kinshasa</v>
      </c>
      <c r="G182" t="str">
        <f>_xlfn.XLOOKUP(Logs_Reseau6[[#This Row],[Province]],Clients_Churn[Province_Client],Clients_Churn[ID_Client],"Aucun")</f>
        <v>CLI-00184</v>
      </c>
      <c r="H182" t="str">
        <f>_xlfn.XLOOKUP(Logs_Reseau6[[#This Row],[Cell_ID]],Registre[ID_Antenne],Registre[Technologie],"Rien à signaler")</f>
        <v>5G</v>
      </c>
      <c r="I182" t="str">
        <f>_xlfn.XLOOKUP(Logs_Reseau6[[#This Row],[Cell_ID]],Registre[ID_Antenne],Registre[Equipementier],"Non Trouvée")</f>
        <v>ZTE</v>
      </c>
      <c r="J182" t="str">
        <f>_xlfn.XLOOKUP(Logs_Reseau6[[#This Row],[Id_Client]],Clients_Churn[ID_Client],Clients_Churn[Type_Forfait],"Pas d'information")</f>
        <v>Premium 5G 150Go</v>
      </c>
      <c r="K182" s="5" t="str">
        <f>IF(Logs_Reseau6[[#This Row],[Type_Forfait]]="Pro Monde","B2B","B2C")</f>
        <v>B2C</v>
      </c>
      <c r="L182" s="5">
        <f>_xlfn.XLOOKUP(Logs_Reseau6[[#This Row],[Id_Client]],Clients_Churn[ID_Client],Clients_Churn[Duree_Cumulee_Panne_Min],"Non Trouvée")</f>
        <v>191</v>
      </c>
      <c r="M182" s="5">
        <f>_xlfn.XLOOKUP(Logs_Reseau6[[#This Row],[Id_Client]],Clients_Churn[ID_Client],Clients_Churn[Anciennete_Mois],"Rien à signaler")</f>
        <v>71</v>
      </c>
      <c r="N182" s="11">
        <f>Logs_Reseau6[[#This Row],[Anciennette]]/24</f>
        <v>2.9583333333333335</v>
      </c>
      <c r="O182" s="1">
        <f>Logs_Reseau6[[#This Row],[Duree_Cumulée_Panne]]/1440</f>
        <v>0.13263888888888889</v>
      </c>
      <c r="P18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83" spans="1:16" x14ac:dyDescent="0.25">
      <c r="A183" s="2">
        <v>45226</v>
      </c>
      <c r="B183" s="1">
        <v>0.84097222222222223</v>
      </c>
      <c r="C183" t="s">
        <v>868</v>
      </c>
      <c r="D183">
        <v>74</v>
      </c>
      <c r="E183" t="s">
        <v>1303</v>
      </c>
      <c r="F183" t="str">
        <f>_xlfn.XLOOKUP(Logs_Reseau6[[#This Row],[Cell_ID]],Registre[ID_Antenne],Registre[Province_RDC],"Non Trouvée")</f>
        <v>Kinshasa</v>
      </c>
      <c r="G183" t="str">
        <f>_xlfn.XLOOKUP(Logs_Reseau6[[#This Row],[Province]],Clients_Churn[Province_Client],Clients_Churn[ID_Client],"Aucun")</f>
        <v>CLI-00184</v>
      </c>
      <c r="H183" t="str">
        <f>_xlfn.XLOOKUP(Logs_Reseau6[[#This Row],[Cell_ID]],Registre[ID_Antenne],Registre[Technologie],"Rien à signaler")</f>
        <v>5G</v>
      </c>
      <c r="I183" t="str">
        <f>_xlfn.XLOOKUP(Logs_Reseau6[[#This Row],[Cell_ID]],Registre[ID_Antenne],Registre[Equipementier],"Non Trouvée")</f>
        <v>ZTE</v>
      </c>
      <c r="J183" t="str">
        <f>_xlfn.XLOOKUP(Logs_Reseau6[[#This Row],[Id_Client]],Clients_Churn[ID_Client],Clients_Churn[Type_Forfait],"Pas d'information")</f>
        <v>Premium 5G 150Go</v>
      </c>
      <c r="K183" s="5" t="str">
        <f>IF(Logs_Reseau6[[#This Row],[Type_Forfait]]="Pro Monde","B2B","B2C")</f>
        <v>B2C</v>
      </c>
      <c r="L183" s="5">
        <f>_xlfn.XLOOKUP(Logs_Reseau6[[#This Row],[Id_Client]],Clients_Churn[ID_Client],Clients_Churn[Duree_Cumulee_Panne_Min],"Non Trouvée")</f>
        <v>191</v>
      </c>
      <c r="M183" s="5">
        <f>_xlfn.XLOOKUP(Logs_Reseau6[[#This Row],[Id_Client]],Clients_Churn[ID_Client],Clients_Churn[Anciennete_Mois],"Rien à signaler")</f>
        <v>71</v>
      </c>
      <c r="N183" s="11">
        <f>Logs_Reseau6[[#This Row],[Anciennette]]/24</f>
        <v>2.9583333333333335</v>
      </c>
      <c r="O183" s="1">
        <f>Logs_Reseau6[[#This Row],[Duree_Cumulée_Panne]]/1440</f>
        <v>0.13263888888888889</v>
      </c>
      <c r="P18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84" spans="1:16" x14ac:dyDescent="0.25">
      <c r="A184" s="2">
        <v>45219</v>
      </c>
      <c r="B184" s="1">
        <v>0.43888888888888888</v>
      </c>
      <c r="C184" t="s">
        <v>976</v>
      </c>
      <c r="D184">
        <v>105</v>
      </c>
      <c r="E184" t="s">
        <v>1303</v>
      </c>
      <c r="F184" t="str">
        <f>_xlfn.XLOOKUP(Logs_Reseau6[[#This Row],[Cell_ID]],Registre[ID_Antenne],Registre[Province_RDC],"Non Trouvée")</f>
        <v>Sud-Ubangi</v>
      </c>
      <c r="G184" t="str">
        <f>_xlfn.XLOOKUP(Logs_Reseau6[[#This Row],[Province]],Clients_Churn[Province_Client],Clients_Churn[ID_Client],"Aucun")</f>
        <v>CLI-00070</v>
      </c>
      <c r="H184" t="str">
        <f>_xlfn.XLOOKUP(Logs_Reseau6[[#This Row],[Cell_ID]],Registre[ID_Antenne],Registre[Technologie],"Rien à signaler")</f>
        <v>5G</v>
      </c>
      <c r="I184" t="str">
        <f>_xlfn.XLOOKUP(Logs_Reseau6[[#This Row],[Cell_ID]],Registre[ID_Antenne],Registre[Equipementier],"Non Trouvée")</f>
        <v>ZTE</v>
      </c>
      <c r="J184" t="str">
        <f>_xlfn.XLOOKUP(Logs_Reseau6[[#This Row],[Id_Client]],Clients_Churn[ID_Client],Clients_Churn[Type_Forfait],"Pas d'information")</f>
        <v>Illimité 50Go</v>
      </c>
      <c r="K184" s="5" t="str">
        <f>IF(Logs_Reseau6[[#This Row],[Type_Forfait]]="Pro Monde","B2B","B2C")</f>
        <v>B2C</v>
      </c>
      <c r="L184" s="5">
        <f>_xlfn.XLOOKUP(Logs_Reseau6[[#This Row],[Id_Client]],Clients_Churn[ID_Client],Clients_Churn[Duree_Cumulee_Panne_Min],"Non Trouvée")</f>
        <v>119</v>
      </c>
      <c r="M184" s="5">
        <f>_xlfn.XLOOKUP(Logs_Reseau6[[#This Row],[Id_Client]],Clients_Churn[ID_Client],Clients_Churn[Anciennete_Mois],"Rien à signaler")</f>
        <v>52</v>
      </c>
      <c r="N184" s="11">
        <f>Logs_Reseau6[[#This Row],[Anciennette]]/24</f>
        <v>2.1666666666666665</v>
      </c>
      <c r="O184" s="1">
        <f>Logs_Reseau6[[#This Row],[Duree_Cumulée_Panne]]/1440</f>
        <v>8.2638888888888887E-2</v>
      </c>
      <c r="P18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85" spans="1:16" x14ac:dyDescent="0.25">
      <c r="A185" s="2">
        <v>45202</v>
      </c>
      <c r="B185" s="1">
        <v>0.42083333333333334</v>
      </c>
      <c r="C185" t="s">
        <v>967</v>
      </c>
      <c r="D185">
        <v>84</v>
      </c>
      <c r="E185" t="s">
        <v>1300</v>
      </c>
      <c r="F185" t="str">
        <f>_xlfn.XLOOKUP(Logs_Reseau6[[#This Row],[Cell_ID]],Registre[ID_Antenne],Registre[Province_RDC],"Non Trouvée")</f>
        <v>Sud-Ubangi</v>
      </c>
      <c r="G185" t="str">
        <f>_xlfn.XLOOKUP(Logs_Reseau6[[#This Row],[Province]],Clients_Churn[Province_Client],Clients_Churn[ID_Client],"Aucun")</f>
        <v>CLI-00070</v>
      </c>
      <c r="H185" t="str">
        <f>_xlfn.XLOOKUP(Logs_Reseau6[[#This Row],[Cell_ID]],Registre[ID_Antenne],Registre[Technologie],"Rien à signaler")</f>
        <v>5G</v>
      </c>
      <c r="I185" t="str">
        <f>_xlfn.XLOOKUP(Logs_Reseau6[[#This Row],[Cell_ID]],Registre[ID_Antenne],Registre[Equipementier],"Non Trouvée")</f>
        <v>Ericsson</v>
      </c>
      <c r="J185" t="str">
        <f>_xlfn.XLOOKUP(Logs_Reseau6[[#This Row],[Id_Client]],Clients_Churn[ID_Client],Clients_Churn[Type_Forfait],"Pas d'information")</f>
        <v>Illimité 50Go</v>
      </c>
      <c r="K185" s="5" t="str">
        <f>IF(Logs_Reseau6[[#This Row],[Type_Forfait]]="Pro Monde","B2B","B2C")</f>
        <v>B2C</v>
      </c>
      <c r="L185" s="5">
        <f>_xlfn.XLOOKUP(Logs_Reseau6[[#This Row],[Id_Client]],Clients_Churn[ID_Client],Clients_Churn[Duree_Cumulee_Panne_Min],"Non Trouvée")</f>
        <v>119</v>
      </c>
      <c r="M185" s="5">
        <f>_xlfn.XLOOKUP(Logs_Reseau6[[#This Row],[Id_Client]],Clients_Churn[ID_Client],Clients_Churn[Anciennete_Mois],"Rien à signaler")</f>
        <v>52</v>
      </c>
      <c r="N185" s="11">
        <f>Logs_Reseau6[[#This Row],[Anciennette]]/24</f>
        <v>2.1666666666666665</v>
      </c>
      <c r="O185" s="1">
        <f>Logs_Reseau6[[#This Row],[Duree_Cumulée_Panne]]/1440</f>
        <v>8.2638888888888887E-2</v>
      </c>
      <c r="P18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86" spans="1:16" x14ac:dyDescent="0.25">
      <c r="A186" s="2">
        <v>45206</v>
      </c>
      <c r="B186" s="1">
        <v>0.9194444444444444</v>
      </c>
      <c r="C186" t="s">
        <v>967</v>
      </c>
      <c r="D186">
        <v>13</v>
      </c>
      <c r="E186" t="s">
        <v>1303</v>
      </c>
      <c r="F186" t="str">
        <f>_xlfn.XLOOKUP(Logs_Reseau6[[#This Row],[Cell_ID]],Registre[ID_Antenne],Registre[Province_RDC],"Non Trouvée")</f>
        <v>Sud-Ubangi</v>
      </c>
      <c r="G186" t="str">
        <f>_xlfn.XLOOKUP(Logs_Reseau6[[#This Row],[Province]],Clients_Churn[Province_Client],Clients_Churn[ID_Client],"Aucun")</f>
        <v>CLI-00070</v>
      </c>
      <c r="H186" t="str">
        <f>_xlfn.XLOOKUP(Logs_Reseau6[[#This Row],[Cell_ID]],Registre[ID_Antenne],Registre[Technologie],"Rien à signaler")</f>
        <v>5G</v>
      </c>
      <c r="I186" t="str">
        <f>_xlfn.XLOOKUP(Logs_Reseau6[[#This Row],[Cell_ID]],Registre[ID_Antenne],Registre[Equipementier],"Non Trouvée")</f>
        <v>Ericsson</v>
      </c>
      <c r="J186" t="str">
        <f>_xlfn.XLOOKUP(Logs_Reseau6[[#This Row],[Id_Client]],Clients_Churn[ID_Client],Clients_Churn[Type_Forfait],"Pas d'information")</f>
        <v>Illimité 50Go</v>
      </c>
      <c r="K186" s="5" t="str">
        <f>IF(Logs_Reseau6[[#This Row],[Type_Forfait]]="Pro Monde","B2B","B2C")</f>
        <v>B2C</v>
      </c>
      <c r="L186" s="5">
        <f>_xlfn.XLOOKUP(Logs_Reseau6[[#This Row],[Id_Client]],Clients_Churn[ID_Client],Clients_Churn[Duree_Cumulee_Panne_Min],"Non Trouvée")</f>
        <v>119</v>
      </c>
      <c r="M186" s="5">
        <f>_xlfn.XLOOKUP(Logs_Reseau6[[#This Row],[Id_Client]],Clients_Churn[ID_Client],Clients_Churn[Anciennete_Mois],"Rien à signaler")</f>
        <v>52</v>
      </c>
      <c r="N186" s="11">
        <f>Logs_Reseau6[[#This Row],[Anciennette]]/24</f>
        <v>2.1666666666666665</v>
      </c>
      <c r="O186" s="1">
        <f>Logs_Reseau6[[#This Row],[Duree_Cumulée_Panne]]/1440</f>
        <v>8.2638888888888887E-2</v>
      </c>
      <c r="P18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87" spans="1:16" x14ac:dyDescent="0.25">
      <c r="A187" s="2">
        <v>45229</v>
      </c>
      <c r="B187" s="1">
        <v>0.59583333333333333</v>
      </c>
      <c r="C187" t="s">
        <v>967</v>
      </c>
      <c r="D187">
        <v>88</v>
      </c>
      <c r="E187" t="s">
        <v>1305</v>
      </c>
      <c r="F187" t="str">
        <f>_xlfn.XLOOKUP(Logs_Reseau6[[#This Row],[Cell_ID]],Registre[ID_Antenne],Registre[Province_RDC],"Non Trouvée")</f>
        <v>Sud-Ubangi</v>
      </c>
      <c r="G187" t="str">
        <f>_xlfn.XLOOKUP(Logs_Reseau6[[#This Row],[Province]],Clients_Churn[Province_Client],Clients_Churn[ID_Client],"Aucun")</f>
        <v>CLI-00070</v>
      </c>
      <c r="H187" t="str">
        <f>_xlfn.XLOOKUP(Logs_Reseau6[[#This Row],[Cell_ID]],Registre[ID_Antenne],Registre[Technologie],"Rien à signaler")</f>
        <v>5G</v>
      </c>
      <c r="I187" t="str">
        <f>_xlfn.XLOOKUP(Logs_Reseau6[[#This Row],[Cell_ID]],Registre[ID_Antenne],Registre[Equipementier],"Non Trouvée")</f>
        <v>Ericsson</v>
      </c>
      <c r="J187" t="str">
        <f>_xlfn.XLOOKUP(Logs_Reseau6[[#This Row],[Id_Client]],Clients_Churn[ID_Client],Clients_Churn[Type_Forfait],"Pas d'information")</f>
        <v>Illimité 50Go</v>
      </c>
      <c r="K187" s="5" t="str">
        <f>IF(Logs_Reseau6[[#This Row],[Type_Forfait]]="Pro Monde","B2B","B2C")</f>
        <v>B2C</v>
      </c>
      <c r="L187" s="5">
        <f>_xlfn.XLOOKUP(Logs_Reseau6[[#This Row],[Id_Client]],Clients_Churn[ID_Client],Clients_Churn[Duree_Cumulee_Panne_Min],"Non Trouvée")</f>
        <v>119</v>
      </c>
      <c r="M187" s="5">
        <f>_xlfn.XLOOKUP(Logs_Reseau6[[#This Row],[Id_Client]],Clients_Churn[ID_Client],Clients_Churn[Anciennete_Mois],"Rien à signaler")</f>
        <v>52</v>
      </c>
      <c r="N187" s="11">
        <f>Logs_Reseau6[[#This Row],[Anciennette]]/24</f>
        <v>2.1666666666666665</v>
      </c>
      <c r="O187" s="1">
        <f>Logs_Reseau6[[#This Row],[Duree_Cumulée_Panne]]/1440</f>
        <v>8.2638888888888887E-2</v>
      </c>
      <c r="P18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88" spans="1:16" hidden="1" x14ac:dyDescent="0.25">
      <c r="A188" s="2">
        <v>45208</v>
      </c>
      <c r="B188" s="1">
        <v>0.59444444444444444</v>
      </c>
      <c r="C188" t="s">
        <v>1415</v>
      </c>
      <c r="D188">
        <v>50</v>
      </c>
      <c r="E188" t="s">
        <v>1300</v>
      </c>
      <c r="F188" t="str">
        <f>_xlfn.XLOOKUP(Logs_Reseau6[[#This Row],[Cell_ID]],Registre[ID_Antenne],Registre[Province_RDC],"Non Trouvée")</f>
        <v>Non Trouvée</v>
      </c>
      <c r="G188" t="str">
        <f>_xlfn.XLOOKUP(Logs_Reseau6[[#This Row],[Province]],Clients_Churn[Province_Client],Clients_Churn[ID_Client],"Aucun")</f>
        <v>Aucun</v>
      </c>
      <c r="H188" t="str">
        <f>_xlfn.XLOOKUP(Logs_Reseau6[[#This Row],[Cell_ID]],Registre[ID_Antenne],Registre[Technologie],"Rien à signaler")</f>
        <v>Rien à signaler</v>
      </c>
      <c r="I188" t="str">
        <f>_xlfn.XLOOKUP(Logs_Reseau6[[#This Row],[Cell_ID]],Registre[ID_Antenne],Registre[Equipementier],"Non Trouvée")</f>
        <v>Non Trouvée</v>
      </c>
      <c r="J188" t="str">
        <f>_xlfn.XLOOKUP(Logs_Reseau6[[#This Row],[Id_Client]],Clients_Churn[ID_Client],Clients_Churn[Type_Forfait],"Pas d'information")</f>
        <v>Pas d'information</v>
      </c>
      <c r="K188" s="5" t="str">
        <f>IF(Logs_Reseau6[[#This Row],[Type_Forfait]]="Pro Monde","B2B","B2C")</f>
        <v>B2C</v>
      </c>
      <c r="L188" s="5" t="str">
        <f>_xlfn.XLOOKUP(Logs_Reseau6[[#This Row],[Id_Client]],Clients_Churn[ID_Client],Clients_Churn[Duree_Cumulee_Panne_Min],"Non Trouvée")</f>
        <v>Non Trouvée</v>
      </c>
      <c r="M188" s="5" t="str">
        <f>_xlfn.XLOOKUP(Logs_Reseau6[[#This Row],[Id_Client]],Clients_Churn[ID_Client],Clients_Churn[Anciennete_Mois],"Rien à signaler")</f>
        <v>Rien à signaler</v>
      </c>
      <c r="N188" s="5" t="e">
        <f>Logs_Reseau6[[#This Row],[Anciennette]]/24</f>
        <v>#VALUE!</v>
      </c>
      <c r="O188" s="5" t="e">
        <f>Logs_Reseau6[[#This Row],[Duree_Cumulée_Panne]]/1440</f>
        <v>#VALUE!</v>
      </c>
      <c r="P18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89" spans="1:16" hidden="1" x14ac:dyDescent="0.25">
      <c r="A189" s="2">
        <v>45200</v>
      </c>
      <c r="B189" s="1">
        <v>0.62916666666666665</v>
      </c>
      <c r="C189" t="s">
        <v>1441</v>
      </c>
      <c r="D189">
        <v>73</v>
      </c>
      <c r="E189" t="s">
        <v>1303</v>
      </c>
      <c r="F189" t="str">
        <f>_xlfn.XLOOKUP(Logs_Reseau6[[#This Row],[Cell_ID]],Registre[ID_Antenne],Registre[Province_RDC],"Non Trouvée")</f>
        <v>Non Trouvée</v>
      </c>
      <c r="G189" t="str">
        <f>_xlfn.XLOOKUP(Logs_Reseau6[[#This Row],[Province]],Clients_Churn[Province_Client],Clients_Churn[ID_Client],"Aucun")</f>
        <v>Aucun</v>
      </c>
      <c r="H189" t="str">
        <f>_xlfn.XLOOKUP(Logs_Reseau6[[#This Row],[Cell_ID]],Registre[ID_Antenne],Registre[Technologie],"Rien à signaler")</f>
        <v>Rien à signaler</v>
      </c>
      <c r="I189" t="str">
        <f>_xlfn.XLOOKUP(Logs_Reseau6[[#This Row],[Cell_ID]],Registre[ID_Antenne],Registre[Equipementier],"Non Trouvée")</f>
        <v>Non Trouvée</v>
      </c>
      <c r="J189" t="str">
        <f>_xlfn.XLOOKUP(Logs_Reseau6[[#This Row],[Id_Client]],Clients_Churn[ID_Client],Clients_Churn[Type_Forfait],"Pas d'information")</f>
        <v>Pas d'information</v>
      </c>
      <c r="K189" s="5" t="str">
        <f>IF(Logs_Reseau6[[#This Row],[Type_Forfait]]="Pro Monde","B2B","B2C")</f>
        <v>B2C</v>
      </c>
      <c r="L189" s="5" t="str">
        <f>_xlfn.XLOOKUP(Logs_Reseau6[[#This Row],[Id_Client]],Clients_Churn[ID_Client],Clients_Churn[Duree_Cumulee_Panne_Min],"Non Trouvée")</f>
        <v>Non Trouvée</v>
      </c>
      <c r="M189" s="5" t="str">
        <f>_xlfn.XLOOKUP(Logs_Reseau6[[#This Row],[Id_Client]],Clients_Churn[ID_Client],Clients_Churn[Anciennete_Mois],"Rien à signaler")</f>
        <v>Rien à signaler</v>
      </c>
      <c r="N189" s="5" t="e">
        <f>Logs_Reseau6[[#This Row],[Anciennette]]/24</f>
        <v>#VALUE!</v>
      </c>
      <c r="O189" s="5" t="e">
        <f>Logs_Reseau6[[#This Row],[Duree_Cumulée_Panne]]/1440</f>
        <v>#VALUE!</v>
      </c>
      <c r="P18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90" spans="1:16" hidden="1" x14ac:dyDescent="0.25">
      <c r="A190" s="2">
        <v>45218</v>
      </c>
      <c r="B190" s="1">
        <v>0.6479166666666667</v>
      </c>
      <c r="C190" t="s">
        <v>1441</v>
      </c>
      <c r="D190">
        <v>78</v>
      </c>
      <c r="E190" t="s">
        <v>1300</v>
      </c>
      <c r="F190" t="str">
        <f>_xlfn.XLOOKUP(Logs_Reseau6[[#This Row],[Cell_ID]],Registre[ID_Antenne],Registre[Province_RDC],"Non Trouvée")</f>
        <v>Non Trouvée</v>
      </c>
      <c r="G190" t="str">
        <f>_xlfn.XLOOKUP(Logs_Reseau6[[#This Row],[Province]],Clients_Churn[Province_Client],Clients_Churn[ID_Client],"Aucun")</f>
        <v>Aucun</v>
      </c>
      <c r="H190" t="str">
        <f>_xlfn.XLOOKUP(Logs_Reseau6[[#This Row],[Cell_ID]],Registre[ID_Antenne],Registre[Technologie],"Rien à signaler")</f>
        <v>Rien à signaler</v>
      </c>
      <c r="I190" t="str">
        <f>_xlfn.XLOOKUP(Logs_Reseau6[[#This Row],[Cell_ID]],Registre[ID_Antenne],Registre[Equipementier],"Non Trouvée")</f>
        <v>Non Trouvée</v>
      </c>
      <c r="J190" t="str">
        <f>_xlfn.XLOOKUP(Logs_Reseau6[[#This Row],[Id_Client]],Clients_Churn[ID_Client],Clients_Churn[Type_Forfait],"Pas d'information")</f>
        <v>Pas d'information</v>
      </c>
      <c r="K190" s="5" t="str">
        <f>IF(Logs_Reseau6[[#This Row],[Type_Forfait]]="Pro Monde","B2B","B2C")</f>
        <v>B2C</v>
      </c>
      <c r="L190" s="5" t="str">
        <f>_xlfn.XLOOKUP(Logs_Reseau6[[#This Row],[Id_Client]],Clients_Churn[ID_Client],Clients_Churn[Duree_Cumulee_Panne_Min],"Non Trouvée")</f>
        <v>Non Trouvée</v>
      </c>
      <c r="M190" s="5" t="str">
        <f>_xlfn.XLOOKUP(Logs_Reseau6[[#This Row],[Id_Client]],Clients_Churn[ID_Client],Clients_Churn[Anciennete_Mois],"Rien à signaler")</f>
        <v>Rien à signaler</v>
      </c>
      <c r="N190" s="5" t="e">
        <f>Logs_Reseau6[[#This Row],[Anciennette]]/24</f>
        <v>#VALUE!</v>
      </c>
      <c r="O190" s="5" t="e">
        <f>Logs_Reseau6[[#This Row],[Duree_Cumulée_Panne]]/1440</f>
        <v>#VALUE!</v>
      </c>
      <c r="P19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91" spans="1:16" hidden="1" x14ac:dyDescent="0.25">
      <c r="A191" s="2">
        <v>45203</v>
      </c>
      <c r="B191" s="1">
        <v>0.35833333333333334</v>
      </c>
      <c r="C191" t="s">
        <v>1433</v>
      </c>
      <c r="D191">
        <v>5</v>
      </c>
      <c r="E191" t="s">
        <v>1300</v>
      </c>
      <c r="F191" t="str">
        <f>_xlfn.XLOOKUP(Logs_Reseau6[[#This Row],[Cell_ID]],Registre[ID_Antenne],Registre[Province_RDC],"Non Trouvée")</f>
        <v>Non Trouvée</v>
      </c>
      <c r="G191" t="str">
        <f>_xlfn.XLOOKUP(Logs_Reseau6[[#This Row],[Province]],Clients_Churn[Province_Client],Clients_Churn[ID_Client],"Aucun")</f>
        <v>Aucun</v>
      </c>
      <c r="H191" t="str">
        <f>_xlfn.XLOOKUP(Logs_Reseau6[[#This Row],[Cell_ID]],Registre[ID_Antenne],Registre[Technologie],"Rien à signaler")</f>
        <v>Rien à signaler</v>
      </c>
      <c r="I191" t="str">
        <f>_xlfn.XLOOKUP(Logs_Reseau6[[#This Row],[Cell_ID]],Registre[ID_Antenne],Registre[Equipementier],"Non Trouvée")</f>
        <v>Non Trouvée</v>
      </c>
      <c r="J191" t="str">
        <f>_xlfn.XLOOKUP(Logs_Reseau6[[#This Row],[Id_Client]],Clients_Churn[ID_Client],Clients_Churn[Type_Forfait],"Pas d'information")</f>
        <v>Pas d'information</v>
      </c>
      <c r="K191" s="5" t="str">
        <f>IF(Logs_Reseau6[[#This Row],[Type_Forfait]]="Pro Monde","B2B","B2C")</f>
        <v>B2C</v>
      </c>
      <c r="L191" s="5" t="str">
        <f>_xlfn.XLOOKUP(Logs_Reseau6[[#This Row],[Id_Client]],Clients_Churn[ID_Client],Clients_Churn[Duree_Cumulee_Panne_Min],"Non Trouvée")</f>
        <v>Non Trouvée</v>
      </c>
      <c r="M191" s="5" t="str">
        <f>_xlfn.XLOOKUP(Logs_Reseau6[[#This Row],[Id_Client]],Clients_Churn[ID_Client],Clients_Churn[Anciennete_Mois],"Rien à signaler")</f>
        <v>Rien à signaler</v>
      </c>
      <c r="N191" s="5" t="e">
        <f>Logs_Reseau6[[#This Row],[Anciennette]]/24</f>
        <v>#VALUE!</v>
      </c>
      <c r="O191" s="5" t="e">
        <f>Logs_Reseau6[[#This Row],[Duree_Cumulée_Panne]]/1440</f>
        <v>#VALUE!</v>
      </c>
      <c r="P19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92" spans="1:16" x14ac:dyDescent="0.25">
      <c r="A192" s="2">
        <v>45215</v>
      </c>
      <c r="B192" s="1">
        <v>0.5805555555555556</v>
      </c>
      <c r="C192" t="s">
        <v>1162</v>
      </c>
      <c r="D192">
        <v>102</v>
      </c>
      <c r="E192" t="s">
        <v>1305</v>
      </c>
      <c r="F192" t="str">
        <f>_xlfn.XLOOKUP(Logs_Reseau6[[#This Row],[Cell_ID]],Registre[ID_Antenne],Registre[Province_RDC],"Non Trouvée")</f>
        <v>Tshopo</v>
      </c>
      <c r="G192" t="str">
        <f>_xlfn.XLOOKUP(Logs_Reseau6[[#This Row],[Province]],Clients_Churn[Province_Client],Clients_Churn[ID_Client],"Aucun")</f>
        <v>CLI-00100</v>
      </c>
      <c r="H192" t="str">
        <f>_xlfn.XLOOKUP(Logs_Reseau6[[#This Row],[Cell_ID]],Registre[ID_Antenne],Registre[Technologie],"Rien à signaler")</f>
        <v>5G</v>
      </c>
      <c r="I192" t="str">
        <f>_xlfn.XLOOKUP(Logs_Reseau6[[#This Row],[Cell_ID]],Registre[ID_Antenne],Registre[Equipementier],"Non Trouvée")</f>
        <v>Ericsson</v>
      </c>
      <c r="J192" t="str">
        <f>_xlfn.XLOOKUP(Logs_Reseau6[[#This Row],[Id_Client]],Clients_Churn[ID_Client],Clients_Churn[Type_Forfait],"Pas d'information")</f>
        <v>Bloqué 5Go</v>
      </c>
      <c r="K192" s="5" t="str">
        <f>IF(Logs_Reseau6[[#This Row],[Type_Forfait]]="Pro Monde","B2B","B2C")</f>
        <v>B2C</v>
      </c>
      <c r="L192" s="5">
        <f>_xlfn.XLOOKUP(Logs_Reseau6[[#This Row],[Id_Client]],Clients_Churn[ID_Client],Clients_Churn[Duree_Cumulee_Panne_Min],"Non Trouvée")</f>
        <v>388</v>
      </c>
      <c r="M192" s="5">
        <f>_xlfn.XLOOKUP(Logs_Reseau6[[#This Row],[Id_Client]],Clients_Churn[ID_Client],Clients_Churn[Anciennete_Mois],"Rien à signaler")</f>
        <v>74</v>
      </c>
      <c r="N192" s="11">
        <f>Logs_Reseau6[[#This Row],[Anciennette]]/24</f>
        <v>3.0833333333333335</v>
      </c>
      <c r="O192" s="1">
        <f>Logs_Reseau6[[#This Row],[Duree_Cumulée_Panne]]/1440</f>
        <v>0.26944444444444443</v>
      </c>
      <c r="P19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93" spans="1:16" x14ac:dyDescent="0.25">
      <c r="A193" s="2">
        <v>45227</v>
      </c>
      <c r="B193" s="1">
        <v>0.14444444444444443</v>
      </c>
      <c r="C193" t="s">
        <v>1162</v>
      </c>
      <c r="D193">
        <v>11</v>
      </c>
      <c r="E193" t="s">
        <v>1303</v>
      </c>
      <c r="F193" t="str">
        <f>_xlfn.XLOOKUP(Logs_Reseau6[[#This Row],[Cell_ID]],Registre[ID_Antenne],Registre[Province_RDC],"Non Trouvée")</f>
        <v>Tshopo</v>
      </c>
      <c r="G193" t="str">
        <f>_xlfn.XLOOKUP(Logs_Reseau6[[#This Row],[Province]],Clients_Churn[Province_Client],Clients_Churn[ID_Client],"Aucun")</f>
        <v>CLI-00100</v>
      </c>
      <c r="H193" t="str">
        <f>_xlfn.XLOOKUP(Logs_Reseau6[[#This Row],[Cell_ID]],Registre[ID_Antenne],Registre[Technologie],"Rien à signaler")</f>
        <v>5G</v>
      </c>
      <c r="I193" t="str">
        <f>_xlfn.XLOOKUP(Logs_Reseau6[[#This Row],[Cell_ID]],Registre[ID_Antenne],Registre[Equipementier],"Non Trouvée")</f>
        <v>Ericsson</v>
      </c>
      <c r="J193" t="str">
        <f>_xlfn.XLOOKUP(Logs_Reseau6[[#This Row],[Id_Client]],Clients_Churn[ID_Client],Clients_Churn[Type_Forfait],"Pas d'information")</f>
        <v>Bloqué 5Go</v>
      </c>
      <c r="K193" s="5" t="str">
        <f>IF(Logs_Reseau6[[#This Row],[Type_Forfait]]="Pro Monde","B2B","B2C")</f>
        <v>B2C</v>
      </c>
      <c r="L193" s="5">
        <f>_xlfn.XLOOKUP(Logs_Reseau6[[#This Row],[Id_Client]],Clients_Churn[ID_Client],Clients_Churn[Duree_Cumulee_Panne_Min],"Non Trouvée")</f>
        <v>388</v>
      </c>
      <c r="M193" s="5">
        <f>_xlfn.XLOOKUP(Logs_Reseau6[[#This Row],[Id_Client]],Clients_Churn[ID_Client],Clients_Churn[Anciennete_Mois],"Rien à signaler")</f>
        <v>74</v>
      </c>
      <c r="N193" s="11">
        <f>Logs_Reseau6[[#This Row],[Anciennette]]/24</f>
        <v>3.0833333333333335</v>
      </c>
      <c r="O193" s="1">
        <f>Logs_Reseau6[[#This Row],[Duree_Cumulée_Panne]]/1440</f>
        <v>0.26944444444444443</v>
      </c>
      <c r="P19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94" spans="1:16" x14ac:dyDescent="0.25">
      <c r="A194" s="2">
        <v>45212</v>
      </c>
      <c r="B194" s="1">
        <v>0.31111111111111112</v>
      </c>
      <c r="C194" t="s">
        <v>1249</v>
      </c>
      <c r="D194">
        <v>79</v>
      </c>
      <c r="E194" t="s">
        <v>1300</v>
      </c>
      <c r="F194" t="str">
        <f>_xlfn.XLOOKUP(Logs_Reseau6[[#This Row],[Cell_ID]],Registre[ID_Antenne],Registre[Province_RDC],"Non Trouvée")</f>
        <v>Kwango</v>
      </c>
      <c r="G194" t="str">
        <f>_xlfn.XLOOKUP(Logs_Reseau6[[#This Row],[Province]],Clients_Churn[Province_Client],Clients_Churn[ID_Client],"Aucun")</f>
        <v>CLI-00094</v>
      </c>
      <c r="H194" t="str">
        <f>_xlfn.XLOOKUP(Logs_Reseau6[[#This Row],[Cell_ID]],Registre[ID_Antenne],Registre[Technologie],"Rien à signaler")</f>
        <v>5G</v>
      </c>
      <c r="I194" t="str">
        <f>_xlfn.XLOOKUP(Logs_Reseau6[[#This Row],[Cell_ID]],Registre[ID_Antenne],Registre[Equipementier],"Non Trouvée")</f>
        <v>Ericsson</v>
      </c>
      <c r="J194" t="str">
        <f>_xlfn.XLOOKUP(Logs_Reseau6[[#This Row],[Id_Client]],Clients_Churn[ID_Client],Clients_Churn[Type_Forfait],"Pas d'information")</f>
        <v>Pro Monde</v>
      </c>
      <c r="K194" s="5" t="str">
        <f>IF(Logs_Reseau6[[#This Row],[Type_Forfait]]="Pro Monde","B2B","B2C")</f>
        <v>B2B</v>
      </c>
      <c r="L194" s="5">
        <f>_xlfn.XLOOKUP(Logs_Reseau6[[#This Row],[Id_Client]],Clients_Churn[ID_Client],Clients_Churn[Duree_Cumulee_Panne_Min],"Non Trouvée")</f>
        <v>493</v>
      </c>
      <c r="M194" s="5">
        <f>_xlfn.XLOOKUP(Logs_Reseau6[[#This Row],[Id_Client]],Clients_Churn[ID_Client],Clients_Churn[Anciennete_Mois],"Rien à signaler")</f>
        <v>29</v>
      </c>
      <c r="N194" s="11">
        <f>Logs_Reseau6[[#This Row],[Anciennette]]/24</f>
        <v>1.2083333333333333</v>
      </c>
      <c r="O194" s="1">
        <f>Logs_Reseau6[[#This Row],[Duree_Cumulée_Panne]]/1440</f>
        <v>0.34236111111111112</v>
      </c>
      <c r="P19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95" spans="1:16" x14ac:dyDescent="0.25">
      <c r="A195" s="2">
        <v>45213</v>
      </c>
      <c r="B195" s="1">
        <v>0.31111111111111112</v>
      </c>
      <c r="C195" t="s">
        <v>1249</v>
      </c>
      <c r="D195">
        <v>22</v>
      </c>
      <c r="E195" t="s">
        <v>1303</v>
      </c>
      <c r="F195" t="str">
        <f>_xlfn.XLOOKUP(Logs_Reseau6[[#This Row],[Cell_ID]],Registre[ID_Antenne],Registre[Province_RDC],"Non Trouvée")</f>
        <v>Kwango</v>
      </c>
      <c r="G195" t="str">
        <f>_xlfn.XLOOKUP(Logs_Reseau6[[#This Row],[Province]],Clients_Churn[Province_Client],Clients_Churn[ID_Client],"Aucun")</f>
        <v>CLI-00094</v>
      </c>
      <c r="H195" t="str">
        <f>_xlfn.XLOOKUP(Logs_Reseau6[[#This Row],[Cell_ID]],Registre[ID_Antenne],Registre[Technologie],"Rien à signaler")</f>
        <v>5G</v>
      </c>
      <c r="I195" t="str">
        <f>_xlfn.XLOOKUP(Logs_Reseau6[[#This Row],[Cell_ID]],Registre[ID_Antenne],Registre[Equipementier],"Non Trouvée")</f>
        <v>Ericsson</v>
      </c>
      <c r="J195" t="str">
        <f>_xlfn.XLOOKUP(Logs_Reseau6[[#This Row],[Id_Client]],Clients_Churn[ID_Client],Clients_Churn[Type_Forfait],"Pas d'information")</f>
        <v>Pro Monde</v>
      </c>
      <c r="K195" s="5" t="str">
        <f>IF(Logs_Reseau6[[#This Row],[Type_Forfait]]="Pro Monde","B2B","B2C")</f>
        <v>B2B</v>
      </c>
      <c r="L195" s="5">
        <f>_xlfn.XLOOKUP(Logs_Reseau6[[#This Row],[Id_Client]],Clients_Churn[ID_Client],Clients_Churn[Duree_Cumulee_Panne_Min],"Non Trouvée")</f>
        <v>493</v>
      </c>
      <c r="M195" s="5">
        <f>_xlfn.XLOOKUP(Logs_Reseau6[[#This Row],[Id_Client]],Clients_Churn[ID_Client],Clients_Churn[Anciennete_Mois],"Rien à signaler")</f>
        <v>29</v>
      </c>
      <c r="N195" s="11">
        <f>Logs_Reseau6[[#This Row],[Anciennette]]/24</f>
        <v>1.2083333333333333</v>
      </c>
      <c r="O195" s="1">
        <f>Logs_Reseau6[[#This Row],[Duree_Cumulée_Panne]]/1440</f>
        <v>0.34236111111111112</v>
      </c>
      <c r="P19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96" spans="1:16" x14ac:dyDescent="0.25">
      <c r="A196" s="2">
        <v>45227</v>
      </c>
      <c r="B196" s="1">
        <v>9.166666666666666E-2</v>
      </c>
      <c r="C196" t="s">
        <v>869</v>
      </c>
      <c r="D196">
        <v>112</v>
      </c>
      <c r="E196" t="s">
        <v>1300</v>
      </c>
      <c r="F196" t="str">
        <f>_xlfn.XLOOKUP(Logs_Reseau6[[#This Row],[Cell_ID]],Registre[ID_Antenne],Registre[Province_RDC],"Non Trouvée")</f>
        <v>Kwilu</v>
      </c>
      <c r="G196" t="str">
        <f>_xlfn.XLOOKUP(Logs_Reseau6[[#This Row],[Province]],Clients_Churn[Province_Client],Clients_Churn[ID_Client],"Aucun")</f>
        <v>CLI-00009</v>
      </c>
      <c r="H196" t="str">
        <f>_xlfn.XLOOKUP(Logs_Reseau6[[#This Row],[Cell_ID]],Registre[ID_Antenne],Registre[Technologie],"Rien à signaler")</f>
        <v>3G</v>
      </c>
      <c r="I196" t="str">
        <f>_xlfn.XLOOKUP(Logs_Reseau6[[#This Row],[Cell_ID]],Registre[ID_Antenne],Registre[Equipementier],"Non Trouvée")</f>
        <v>Nokia</v>
      </c>
      <c r="J196" t="str">
        <f>_xlfn.XLOOKUP(Logs_Reseau6[[#This Row],[Id_Client]],Clients_Churn[ID_Client],Clients_Churn[Type_Forfait],"Pas d'information")</f>
        <v>Pro Monde</v>
      </c>
      <c r="K196" s="5" t="str">
        <f>IF(Logs_Reseau6[[#This Row],[Type_Forfait]]="Pro Monde","B2B","B2C")</f>
        <v>B2B</v>
      </c>
      <c r="L196" s="5">
        <f>_xlfn.XLOOKUP(Logs_Reseau6[[#This Row],[Id_Client]],Clients_Churn[ID_Client],Clients_Churn[Duree_Cumulee_Panne_Min],"Non Trouvée")</f>
        <v>297</v>
      </c>
      <c r="M196" s="5">
        <f>_xlfn.XLOOKUP(Logs_Reseau6[[#This Row],[Id_Client]],Clients_Churn[ID_Client],Clients_Churn[Anciennete_Mois],"Rien à signaler")</f>
        <v>105</v>
      </c>
      <c r="N196" s="11">
        <f>Logs_Reseau6[[#This Row],[Anciennette]]/24</f>
        <v>4.375</v>
      </c>
      <c r="O196" s="1">
        <f>Logs_Reseau6[[#This Row],[Duree_Cumulée_Panne]]/1440</f>
        <v>0.20624999999999999</v>
      </c>
      <c r="P19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97" spans="1:16" x14ac:dyDescent="0.25">
      <c r="A197" s="2">
        <v>45202</v>
      </c>
      <c r="B197" s="1">
        <v>0.8041666666666667</v>
      </c>
      <c r="C197" t="s">
        <v>986</v>
      </c>
      <c r="D197">
        <v>115</v>
      </c>
      <c r="E197" t="s">
        <v>1303</v>
      </c>
      <c r="F197" t="str">
        <f>_xlfn.XLOOKUP(Logs_Reseau6[[#This Row],[Cell_ID]],Registre[ID_Antenne],Registre[Province_RDC],"Non Trouvée")</f>
        <v>Haut-Uele</v>
      </c>
      <c r="G197" t="str">
        <f>_xlfn.XLOOKUP(Logs_Reseau6[[#This Row],[Province]],Clients_Churn[Province_Client],Clients_Churn[ID_Client],"Aucun")</f>
        <v>CLI-00055</v>
      </c>
      <c r="H197" t="str">
        <f>_xlfn.XLOOKUP(Logs_Reseau6[[#This Row],[Cell_ID]],Registre[ID_Antenne],Registre[Technologie],"Rien à signaler")</f>
        <v>5G</v>
      </c>
      <c r="I197" t="str">
        <f>_xlfn.XLOOKUP(Logs_Reseau6[[#This Row],[Cell_ID]],Registre[ID_Antenne],Registre[Equipementier],"Non Trouvée")</f>
        <v>ZTE</v>
      </c>
      <c r="J197" t="str">
        <f>_xlfn.XLOOKUP(Logs_Reseau6[[#This Row],[Id_Client]],Clients_Churn[ID_Client],Clients_Churn[Type_Forfait],"Pas d'information")</f>
        <v>Pro Monde</v>
      </c>
      <c r="K197" s="5" t="str">
        <f>IF(Logs_Reseau6[[#This Row],[Type_Forfait]]="Pro Monde","B2B","B2C")</f>
        <v>B2B</v>
      </c>
      <c r="L197" s="5">
        <f>_xlfn.XLOOKUP(Logs_Reseau6[[#This Row],[Id_Client]],Clients_Churn[ID_Client],Clients_Churn[Duree_Cumulee_Panne_Min],"Non Trouvée")</f>
        <v>206</v>
      </c>
      <c r="M197" s="5">
        <f>_xlfn.XLOOKUP(Logs_Reseau6[[#This Row],[Id_Client]],Clients_Churn[ID_Client],Clients_Churn[Anciennete_Mois],"Rien à signaler")</f>
        <v>6</v>
      </c>
      <c r="N197" s="11">
        <f>Logs_Reseau6[[#This Row],[Anciennette]]/24</f>
        <v>0.25</v>
      </c>
      <c r="O197" s="1">
        <f>Logs_Reseau6[[#This Row],[Duree_Cumulée_Panne]]/1440</f>
        <v>0.14305555555555555</v>
      </c>
      <c r="P19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98" spans="1:16" hidden="1" x14ac:dyDescent="0.25">
      <c r="A198" s="2">
        <v>45206</v>
      </c>
      <c r="B198" s="1">
        <v>0.90277777777777779</v>
      </c>
      <c r="C198" t="s">
        <v>1633</v>
      </c>
      <c r="D198">
        <v>75</v>
      </c>
      <c r="E198" t="s">
        <v>1305</v>
      </c>
      <c r="F198" t="str">
        <f>_xlfn.XLOOKUP(Logs_Reseau6[[#This Row],[Cell_ID]],Registre[ID_Antenne],Registre[Province_RDC],"Non Trouvée")</f>
        <v>Non Trouvée</v>
      </c>
      <c r="G198" t="str">
        <f>_xlfn.XLOOKUP(Logs_Reseau6[[#This Row],[Province]],Clients_Churn[Province_Client],Clients_Churn[ID_Client],"Aucun")</f>
        <v>Aucun</v>
      </c>
      <c r="H198" t="str">
        <f>_xlfn.XLOOKUP(Logs_Reseau6[[#This Row],[Cell_ID]],Registre[ID_Antenne],Registre[Technologie],"Rien à signaler")</f>
        <v>Rien à signaler</v>
      </c>
      <c r="I198" t="str">
        <f>_xlfn.XLOOKUP(Logs_Reseau6[[#This Row],[Cell_ID]],Registre[ID_Antenne],Registre[Equipementier],"Non Trouvée")</f>
        <v>Non Trouvée</v>
      </c>
      <c r="J198" t="str">
        <f>_xlfn.XLOOKUP(Logs_Reseau6[[#This Row],[Id_Client]],Clients_Churn[ID_Client],Clients_Churn[Type_Forfait],"Pas d'information")</f>
        <v>Pas d'information</v>
      </c>
      <c r="K198" s="5" t="str">
        <f>IF(Logs_Reseau6[[#This Row],[Type_Forfait]]="Pro Monde","B2B","B2C")</f>
        <v>B2C</v>
      </c>
      <c r="L198" s="5" t="str">
        <f>_xlfn.XLOOKUP(Logs_Reseau6[[#This Row],[Id_Client]],Clients_Churn[ID_Client],Clients_Churn[Duree_Cumulee_Panne_Min],"Non Trouvée")</f>
        <v>Non Trouvée</v>
      </c>
      <c r="M198" s="5" t="str">
        <f>_xlfn.XLOOKUP(Logs_Reseau6[[#This Row],[Id_Client]],Clients_Churn[ID_Client],Clients_Churn[Anciennete_Mois],"Rien à signaler")</f>
        <v>Rien à signaler</v>
      </c>
      <c r="N198" s="5" t="e">
        <f>Logs_Reseau6[[#This Row],[Anciennette]]/24</f>
        <v>#VALUE!</v>
      </c>
      <c r="O198" s="5" t="e">
        <f>Logs_Reseau6[[#This Row],[Duree_Cumulée_Panne]]/1440</f>
        <v>#VALUE!</v>
      </c>
      <c r="P19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99" spans="1:16" hidden="1" x14ac:dyDescent="0.25">
      <c r="A199" s="2">
        <v>45217</v>
      </c>
      <c r="B199" s="1">
        <v>0.32430555555555557</v>
      </c>
      <c r="C199" t="s">
        <v>1632</v>
      </c>
      <c r="D199">
        <v>14</v>
      </c>
      <c r="E199" t="s">
        <v>1303</v>
      </c>
      <c r="F199" t="str">
        <f>_xlfn.XLOOKUP(Logs_Reseau6[[#This Row],[Cell_ID]],Registre[ID_Antenne],Registre[Province_RDC],"Non Trouvée")</f>
        <v>Non Trouvée</v>
      </c>
      <c r="G199" t="str">
        <f>_xlfn.XLOOKUP(Logs_Reseau6[[#This Row],[Province]],Clients_Churn[Province_Client],Clients_Churn[ID_Client],"Aucun")</f>
        <v>Aucun</v>
      </c>
      <c r="H199" t="str">
        <f>_xlfn.XLOOKUP(Logs_Reseau6[[#This Row],[Cell_ID]],Registre[ID_Antenne],Registre[Technologie],"Rien à signaler")</f>
        <v>Rien à signaler</v>
      </c>
      <c r="I199" t="str">
        <f>_xlfn.XLOOKUP(Logs_Reseau6[[#This Row],[Cell_ID]],Registre[ID_Antenne],Registre[Equipementier],"Non Trouvée")</f>
        <v>Non Trouvée</v>
      </c>
      <c r="J199" t="str">
        <f>_xlfn.XLOOKUP(Logs_Reseau6[[#This Row],[Id_Client]],Clients_Churn[ID_Client],Clients_Churn[Type_Forfait],"Pas d'information")</f>
        <v>Pas d'information</v>
      </c>
      <c r="K199" s="5" t="str">
        <f>IF(Logs_Reseau6[[#This Row],[Type_Forfait]]="Pro Monde","B2B","B2C")</f>
        <v>B2C</v>
      </c>
      <c r="L199" s="5" t="str">
        <f>_xlfn.XLOOKUP(Logs_Reseau6[[#This Row],[Id_Client]],Clients_Churn[ID_Client],Clients_Churn[Duree_Cumulee_Panne_Min],"Non Trouvée")</f>
        <v>Non Trouvée</v>
      </c>
      <c r="M199" s="5" t="str">
        <f>_xlfn.XLOOKUP(Logs_Reseau6[[#This Row],[Id_Client]],Clients_Churn[ID_Client],Clients_Churn[Anciennete_Mois],"Rien à signaler")</f>
        <v>Rien à signaler</v>
      </c>
      <c r="N199" s="5" t="e">
        <f>Logs_Reseau6[[#This Row],[Anciennette]]/24</f>
        <v>#VALUE!</v>
      </c>
      <c r="O199" s="5" t="e">
        <f>Logs_Reseau6[[#This Row],[Duree_Cumulée_Panne]]/1440</f>
        <v>#VALUE!</v>
      </c>
      <c r="P19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00" spans="1:16" hidden="1" x14ac:dyDescent="0.25">
      <c r="A200" s="2">
        <v>45203</v>
      </c>
      <c r="B200" s="1">
        <v>0.27777777777777779</v>
      </c>
      <c r="C200" t="s">
        <v>1384</v>
      </c>
      <c r="D200">
        <v>79</v>
      </c>
      <c r="E200" t="s">
        <v>1303</v>
      </c>
      <c r="F200" t="str">
        <f>_xlfn.XLOOKUP(Logs_Reseau6[[#This Row],[Cell_ID]],Registre[ID_Antenne],Registre[Province_RDC],"Non Trouvée")</f>
        <v>Non Trouvée</v>
      </c>
      <c r="G200" t="str">
        <f>_xlfn.XLOOKUP(Logs_Reseau6[[#This Row],[Province]],Clients_Churn[Province_Client],Clients_Churn[ID_Client],"Aucun")</f>
        <v>Aucun</v>
      </c>
      <c r="H200" t="str">
        <f>_xlfn.XLOOKUP(Logs_Reseau6[[#This Row],[Cell_ID]],Registre[ID_Antenne],Registre[Technologie],"Rien à signaler")</f>
        <v>Rien à signaler</v>
      </c>
      <c r="I200" t="str">
        <f>_xlfn.XLOOKUP(Logs_Reseau6[[#This Row],[Cell_ID]],Registre[ID_Antenne],Registre[Equipementier],"Non Trouvée")</f>
        <v>Non Trouvée</v>
      </c>
      <c r="J200" t="str">
        <f>_xlfn.XLOOKUP(Logs_Reseau6[[#This Row],[Id_Client]],Clients_Churn[ID_Client],Clients_Churn[Type_Forfait],"Pas d'information")</f>
        <v>Pas d'information</v>
      </c>
      <c r="K200" s="5" t="str">
        <f>IF(Logs_Reseau6[[#This Row],[Type_Forfait]]="Pro Monde","B2B","B2C")</f>
        <v>B2C</v>
      </c>
      <c r="L200" s="5" t="str">
        <f>_xlfn.XLOOKUP(Logs_Reseau6[[#This Row],[Id_Client]],Clients_Churn[ID_Client],Clients_Churn[Duree_Cumulee_Panne_Min],"Non Trouvée")</f>
        <v>Non Trouvée</v>
      </c>
      <c r="M200" s="5" t="str">
        <f>_xlfn.XLOOKUP(Logs_Reseau6[[#This Row],[Id_Client]],Clients_Churn[ID_Client],Clients_Churn[Anciennete_Mois],"Rien à signaler")</f>
        <v>Rien à signaler</v>
      </c>
      <c r="N200" s="5" t="e">
        <f>Logs_Reseau6[[#This Row],[Anciennette]]/24</f>
        <v>#VALUE!</v>
      </c>
      <c r="O200" s="5" t="e">
        <f>Logs_Reseau6[[#This Row],[Duree_Cumulée_Panne]]/1440</f>
        <v>#VALUE!</v>
      </c>
      <c r="P20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01" spans="1:16" hidden="1" x14ac:dyDescent="0.25">
      <c r="A201" s="2">
        <v>45215</v>
      </c>
      <c r="B201" s="1">
        <v>0.81111111111111112</v>
      </c>
      <c r="C201" t="s">
        <v>1384</v>
      </c>
      <c r="D201">
        <v>49</v>
      </c>
      <c r="E201" t="s">
        <v>1303</v>
      </c>
      <c r="F201" t="str">
        <f>_xlfn.XLOOKUP(Logs_Reseau6[[#This Row],[Cell_ID]],Registre[ID_Antenne],Registre[Province_RDC],"Non Trouvée")</f>
        <v>Non Trouvée</v>
      </c>
      <c r="G201" t="str">
        <f>_xlfn.XLOOKUP(Logs_Reseau6[[#This Row],[Province]],Clients_Churn[Province_Client],Clients_Churn[ID_Client],"Aucun")</f>
        <v>Aucun</v>
      </c>
      <c r="H201" t="str">
        <f>_xlfn.XLOOKUP(Logs_Reseau6[[#This Row],[Cell_ID]],Registre[ID_Antenne],Registre[Technologie],"Rien à signaler")</f>
        <v>Rien à signaler</v>
      </c>
      <c r="I201" t="str">
        <f>_xlfn.XLOOKUP(Logs_Reseau6[[#This Row],[Cell_ID]],Registre[ID_Antenne],Registre[Equipementier],"Non Trouvée")</f>
        <v>Non Trouvée</v>
      </c>
      <c r="J201" t="str">
        <f>_xlfn.XLOOKUP(Logs_Reseau6[[#This Row],[Id_Client]],Clients_Churn[ID_Client],Clients_Churn[Type_Forfait],"Pas d'information")</f>
        <v>Pas d'information</v>
      </c>
      <c r="K201" s="5" t="str">
        <f>IF(Logs_Reseau6[[#This Row],[Type_Forfait]]="Pro Monde","B2B","B2C")</f>
        <v>B2C</v>
      </c>
      <c r="L201" s="5" t="str">
        <f>_xlfn.XLOOKUP(Logs_Reseau6[[#This Row],[Id_Client]],Clients_Churn[ID_Client],Clients_Churn[Duree_Cumulee_Panne_Min],"Non Trouvée")</f>
        <v>Non Trouvée</v>
      </c>
      <c r="M201" s="5" t="str">
        <f>_xlfn.XLOOKUP(Logs_Reseau6[[#This Row],[Id_Client]],Clients_Churn[ID_Client],Clients_Churn[Anciennete_Mois],"Rien à signaler")</f>
        <v>Rien à signaler</v>
      </c>
      <c r="N201" s="5" t="e">
        <f>Logs_Reseau6[[#This Row],[Anciennette]]/24</f>
        <v>#VALUE!</v>
      </c>
      <c r="O201" s="5" t="e">
        <f>Logs_Reseau6[[#This Row],[Duree_Cumulée_Panne]]/1440</f>
        <v>#VALUE!</v>
      </c>
      <c r="P20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02" spans="1:16" hidden="1" x14ac:dyDescent="0.25">
      <c r="A202" s="2">
        <v>45226</v>
      </c>
      <c r="B202" s="1">
        <v>0.97569444444444442</v>
      </c>
      <c r="C202" t="s">
        <v>1384</v>
      </c>
      <c r="D202">
        <v>89</v>
      </c>
      <c r="E202" t="s">
        <v>1305</v>
      </c>
      <c r="F202" t="str">
        <f>_xlfn.XLOOKUP(Logs_Reseau6[[#This Row],[Cell_ID]],Registre[ID_Antenne],Registre[Province_RDC],"Non Trouvée")</f>
        <v>Non Trouvée</v>
      </c>
      <c r="G202" t="str">
        <f>_xlfn.XLOOKUP(Logs_Reseau6[[#This Row],[Province]],Clients_Churn[Province_Client],Clients_Churn[ID_Client],"Aucun")</f>
        <v>Aucun</v>
      </c>
      <c r="H202" t="str">
        <f>_xlfn.XLOOKUP(Logs_Reseau6[[#This Row],[Cell_ID]],Registre[ID_Antenne],Registre[Technologie],"Rien à signaler")</f>
        <v>Rien à signaler</v>
      </c>
      <c r="I202" t="str">
        <f>_xlfn.XLOOKUP(Logs_Reseau6[[#This Row],[Cell_ID]],Registre[ID_Antenne],Registre[Equipementier],"Non Trouvée")</f>
        <v>Non Trouvée</v>
      </c>
      <c r="J202" t="str">
        <f>_xlfn.XLOOKUP(Logs_Reseau6[[#This Row],[Id_Client]],Clients_Churn[ID_Client],Clients_Churn[Type_Forfait],"Pas d'information")</f>
        <v>Pas d'information</v>
      </c>
      <c r="K202" s="5" t="str">
        <f>IF(Logs_Reseau6[[#This Row],[Type_Forfait]]="Pro Monde","B2B","B2C")</f>
        <v>B2C</v>
      </c>
      <c r="L202" s="5" t="str">
        <f>_xlfn.XLOOKUP(Logs_Reseau6[[#This Row],[Id_Client]],Clients_Churn[ID_Client],Clients_Churn[Duree_Cumulee_Panne_Min],"Non Trouvée")</f>
        <v>Non Trouvée</v>
      </c>
      <c r="M202" s="5" t="str">
        <f>_xlfn.XLOOKUP(Logs_Reseau6[[#This Row],[Id_Client]],Clients_Churn[ID_Client],Clients_Churn[Anciennete_Mois],"Rien à signaler")</f>
        <v>Rien à signaler</v>
      </c>
      <c r="N202" s="5" t="e">
        <f>Logs_Reseau6[[#This Row],[Anciennette]]/24</f>
        <v>#VALUE!</v>
      </c>
      <c r="O202" s="5" t="e">
        <f>Logs_Reseau6[[#This Row],[Duree_Cumulée_Panne]]/1440</f>
        <v>#VALUE!</v>
      </c>
      <c r="P20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03" spans="1:16" x14ac:dyDescent="0.25">
      <c r="A203" s="2">
        <v>45210</v>
      </c>
      <c r="B203" s="1">
        <v>0.90833333333333333</v>
      </c>
      <c r="C203" t="s">
        <v>1081</v>
      </c>
      <c r="D203">
        <v>57</v>
      </c>
      <c r="E203" t="s">
        <v>1305</v>
      </c>
      <c r="F203" t="str">
        <f>_xlfn.XLOOKUP(Logs_Reseau6[[#This Row],[Cell_ID]],Registre[ID_Antenne],Registre[Province_RDC],"Non Trouvée")</f>
        <v>Nord-Ubangi</v>
      </c>
      <c r="G203" t="str">
        <f>_xlfn.XLOOKUP(Logs_Reseau6[[#This Row],[Province]],Clients_Churn[Province_Client],Clients_Churn[ID_Client],"Aucun")</f>
        <v>CLI-00112</v>
      </c>
      <c r="H203" t="str">
        <f>_xlfn.XLOOKUP(Logs_Reseau6[[#This Row],[Cell_ID]],Registre[ID_Antenne],Registre[Technologie],"Rien à signaler")</f>
        <v>3G</v>
      </c>
      <c r="I203" t="str">
        <f>_xlfn.XLOOKUP(Logs_Reseau6[[#This Row],[Cell_ID]],Registre[ID_Antenne],Registre[Equipementier],"Non Trouvée")</f>
        <v>ZTE</v>
      </c>
      <c r="J203" t="str">
        <f>_xlfn.XLOOKUP(Logs_Reseau6[[#This Row],[Id_Client]],Clients_Churn[ID_Client],Clients_Churn[Type_Forfait],"Pas d'information")</f>
        <v>Bloqué 5Go</v>
      </c>
      <c r="K203" s="5" t="str">
        <f>IF(Logs_Reseau6[[#This Row],[Type_Forfait]]="Pro Monde","B2B","B2C")</f>
        <v>B2C</v>
      </c>
      <c r="L203" s="5">
        <f>_xlfn.XLOOKUP(Logs_Reseau6[[#This Row],[Id_Client]],Clients_Churn[ID_Client],Clients_Churn[Duree_Cumulee_Panne_Min],"Non Trouvée")</f>
        <v>52</v>
      </c>
      <c r="M203" s="5">
        <f>_xlfn.XLOOKUP(Logs_Reseau6[[#This Row],[Id_Client]],Clients_Churn[ID_Client],Clients_Churn[Anciennete_Mois],"Rien à signaler")</f>
        <v>98</v>
      </c>
      <c r="N203" s="11">
        <f>Logs_Reseau6[[#This Row],[Anciennette]]/24</f>
        <v>4.083333333333333</v>
      </c>
      <c r="O203" s="1">
        <f>Logs_Reseau6[[#This Row],[Duree_Cumulée_Panne]]/1440</f>
        <v>3.6111111111111108E-2</v>
      </c>
      <c r="P20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04" spans="1:16" x14ac:dyDescent="0.25">
      <c r="A204" s="2">
        <v>45210</v>
      </c>
      <c r="B204" s="1">
        <v>0.68611111111111112</v>
      </c>
      <c r="C204" t="s">
        <v>1081</v>
      </c>
      <c r="D204">
        <v>62</v>
      </c>
      <c r="E204" t="s">
        <v>1303</v>
      </c>
      <c r="F204" t="str">
        <f>_xlfn.XLOOKUP(Logs_Reseau6[[#This Row],[Cell_ID]],Registre[ID_Antenne],Registre[Province_RDC],"Non Trouvée")</f>
        <v>Nord-Ubangi</v>
      </c>
      <c r="G204" t="str">
        <f>_xlfn.XLOOKUP(Logs_Reseau6[[#This Row],[Province]],Clients_Churn[Province_Client],Clients_Churn[ID_Client],"Aucun")</f>
        <v>CLI-00112</v>
      </c>
      <c r="H204" t="str">
        <f>_xlfn.XLOOKUP(Logs_Reseau6[[#This Row],[Cell_ID]],Registre[ID_Antenne],Registre[Technologie],"Rien à signaler")</f>
        <v>3G</v>
      </c>
      <c r="I204" t="str">
        <f>_xlfn.XLOOKUP(Logs_Reseau6[[#This Row],[Cell_ID]],Registre[ID_Antenne],Registre[Equipementier],"Non Trouvée")</f>
        <v>ZTE</v>
      </c>
      <c r="J204" t="str">
        <f>_xlfn.XLOOKUP(Logs_Reseau6[[#This Row],[Id_Client]],Clients_Churn[ID_Client],Clients_Churn[Type_Forfait],"Pas d'information")</f>
        <v>Bloqué 5Go</v>
      </c>
      <c r="K204" s="5" t="str">
        <f>IF(Logs_Reseau6[[#This Row],[Type_Forfait]]="Pro Monde","B2B","B2C")</f>
        <v>B2C</v>
      </c>
      <c r="L204" s="5">
        <f>_xlfn.XLOOKUP(Logs_Reseau6[[#This Row],[Id_Client]],Clients_Churn[ID_Client],Clients_Churn[Duree_Cumulee_Panne_Min],"Non Trouvée")</f>
        <v>52</v>
      </c>
      <c r="M204" s="5">
        <f>_xlfn.XLOOKUP(Logs_Reseau6[[#This Row],[Id_Client]],Clients_Churn[ID_Client],Clients_Churn[Anciennete_Mois],"Rien à signaler")</f>
        <v>98</v>
      </c>
      <c r="N204" s="11">
        <f>Logs_Reseau6[[#This Row],[Anciennette]]/24</f>
        <v>4.083333333333333</v>
      </c>
      <c r="O204" s="1">
        <f>Logs_Reseau6[[#This Row],[Duree_Cumulée_Panne]]/1440</f>
        <v>3.6111111111111108E-2</v>
      </c>
      <c r="P20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05" spans="1:16" x14ac:dyDescent="0.25">
      <c r="A205" s="2">
        <v>45216</v>
      </c>
      <c r="B205" s="1">
        <v>7.8472222222222221E-2</v>
      </c>
      <c r="C205" t="s">
        <v>1256</v>
      </c>
      <c r="D205">
        <v>48</v>
      </c>
      <c r="E205" t="s">
        <v>1303</v>
      </c>
      <c r="F205" t="str">
        <f>_xlfn.XLOOKUP(Logs_Reseau6[[#This Row],[Cell_ID]],Registre[ID_Antenne],Registre[Province_RDC],"Non Trouvée")</f>
        <v>Sud-Ubangi</v>
      </c>
      <c r="G205" t="str">
        <f>_xlfn.XLOOKUP(Logs_Reseau6[[#This Row],[Province]],Clients_Churn[Province_Client],Clients_Churn[ID_Client],"Aucun")</f>
        <v>CLI-00070</v>
      </c>
      <c r="H205" t="str">
        <f>_xlfn.XLOOKUP(Logs_Reseau6[[#This Row],[Cell_ID]],Registre[ID_Antenne],Registre[Technologie],"Rien à signaler")</f>
        <v>3G</v>
      </c>
      <c r="I205" t="str">
        <f>_xlfn.XLOOKUP(Logs_Reseau6[[#This Row],[Cell_ID]],Registre[ID_Antenne],Registre[Equipementier],"Non Trouvée")</f>
        <v>Ericsson</v>
      </c>
      <c r="J205" t="str">
        <f>_xlfn.XLOOKUP(Logs_Reseau6[[#This Row],[Id_Client]],Clients_Churn[ID_Client],Clients_Churn[Type_Forfait],"Pas d'information")</f>
        <v>Illimité 50Go</v>
      </c>
      <c r="K205" s="5" t="str">
        <f>IF(Logs_Reseau6[[#This Row],[Type_Forfait]]="Pro Monde","B2B","B2C")</f>
        <v>B2C</v>
      </c>
      <c r="L205" s="5">
        <f>_xlfn.XLOOKUP(Logs_Reseau6[[#This Row],[Id_Client]],Clients_Churn[ID_Client],Clients_Churn[Duree_Cumulee_Panne_Min],"Non Trouvée")</f>
        <v>119</v>
      </c>
      <c r="M205" s="5">
        <f>_xlfn.XLOOKUP(Logs_Reseau6[[#This Row],[Id_Client]],Clients_Churn[ID_Client],Clients_Churn[Anciennete_Mois],"Rien à signaler")</f>
        <v>52</v>
      </c>
      <c r="N205" s="11">
        <f>Logs_Reseau6[[#This Row],[Anciennette]]/24</f>
        <v>2.1666666666666665</v>
      </c>
      <c r="O205" s="1">
        <f>Logs_Reseau6[[#This Row],[Duree_Cumulée_Panne]]/1440</f>
        <v>8.2638888888888887E-2</v>
      </c>
      <c r="P20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06" spans="1:16" hidden="1" x14ac:dyDescent="0.25">
      <c r="A206" s="2">
        <v>45210</v>
      </c>
      <c r="B206" s="1">
        <v>0.27013888888888887</v>
      </c>
      <c r="C206" t="s">
        <v>1365</v>
      </c>
      <c r="D206">
        <v>104</v>
      </c>
      <c r="E206" t="s">
        <v>1305</v>
      </c>
      <c r="F206" t="str">
        <f>_xlfn.XLOOKUP(Logs_Reseau6[[#This Row],[Cell_ID]],Registre[ID_Antenne],Registre[Province_RDC],"Non Trouvée")</f>
        <v>Non Trouvée</v>
      </c>
      <c r="G206" t="str">
        <f>_xlfn.XLOOKUP(Logs_Reseau6[[#This Row],[Province]],Clients_Churn[Province_Client],Clients_Churn[ID_Client],"Aucun")</f>
        <v>Aucun</v>
      </c>
      <c r="H206" t="str">
        <f>_xlfn.XLOOKUP(Logs_Reseau6[[#This Row],[Cell_ID]],Registre[ID_Antenne],Registre[Technologie],"Rien à signaler")</f>
        <v>Rien à signaler</v>
      </c>
      <c r="I206" t="str">
        <f>_xlfn.XLOOKUP(Logs_Reseau6[[#This Row],[Cell_ID]],Registre[ID_Antenne],Registre[Equipementier],"Non Trouvée")</f>
        <v>Non Trouvée</v>
      </c>
      <c r="J206" t="str">
        <f>_xlfn.XLOOKUP(Logs_Reseau6[[#This Row],[Id_Client]],Clients_Churn[ID_Client],Clients_Churn[Type_Forfait],"Pas d'information")</f>
        <v>Pas d'information</v>
      </c>
      <c r="K206" s="5" t="str">
        <f>IF(Logs_Reseau6[[#This Row],[Type_Forfait]]="Pro Monde","B2B","B2C")</f>
        <v>B2C</v>
      </c>
      <c r="L206" s="5" t="str">
        <f>_xlfn.XLOOKUP(Logs_Reseau6[[#This Row],[Id_Client]],Clients_Churn[ID_Client],Clients_Churn[Duree_Cumulee_Panne_Min],"Non Trouvée")</f>
        <v>Non Trouvée</v>
      </c>
      <c r="M206" s="5" t="str">
        <f>_xlfn.XLOOKUP(Logs_Reseau6[[#This Row],[Id_Client]],Clients_Churn[ID_Client],Clients_Churn[Anciennete_Mois],"Rien à signaler")</f>
        <v>Rien à signaler</v>
      </c>
      <c r="N206" s="5" t="e">
        <f>Logs_Reseau6[[#This Row],[Anciennette]]/24</f>
        <v>#VALUE!</v>
      </c>
      <c r="O206" s="5" t="e">
        <f>Logs_Reseau6[[#This Row],[Duree_Cumulée_Panne]]/1440</f>
        <v>#VALUE!</v>
      </c>
      <c r="P20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07" spans="1:16" hidden="1" x14ac:dyDescent="0.25">
      <c r="A207" s="2">
        <v>45203</v>
      </c>
      <c r="B207" s="1">
        <v>0.9916666666666667</v>
      </c>
      <c r="C207" t="s">
        <v>1508</v>
      </c>
      <c r="D207">
        <v>5</v>
      </c>
      <c r="E207" t="s">
        <v>1305</v>
      </c>
      <c r="F207" t="str">
        <f>_xlfn.XLOOKUP(Logs_Reseau6[[#This Row],[Cell_ID]],Registre[ID_Antenne],Registre[Province_RDC],"Non Trouvée")</f>
        <v>Non Trouvée</v>
      </c>
      <c r="G207" t="str">
        <f>_xlfn.XLOOKUP(Logs_Reseau6[[#This Row],[Province]],Clients_Churn[Province_Client],Clients_Churn[ID_Client],"Aucun")</f>
        <v>Aucun</v>
      </c>
      <c r="H207" t="str">
        <f>_xlfn.XLOOKUP(Logs_Reseau6[[#This Row],[Cell_ID]],Registre[ID_Antenne],Registre[Technologie],"Rien à signaler")</f>
        <v>Rien à signaler</v>
      </c>
      <c r="I207" t="str">
        <f>_xlfn.XLOOKUP(Logs_Reseau6[[#This Row],[Cell_ID]],Registre[ID_Antenne],Registre[Equipementier],"Non Trouvée")</f>
        <v>Non Trouvée</v>
      </c>
      <c r="J207" t="str">
        <f>_xlfn.XLOOKUP(Logs_Reseau6[[#This Row],[Id_Client]],Clients_Churn[ID_Client],Clients_Churn[Type_Forfait],"Pas d'information")</f>
        <v>Pas d'information</v>
      </c>
      <c r="K207" s="5" t="str">
        <f>IF(Logs_Reseau6[[#This Row],[Type_Forfait]]="Pro Monde","B2B","B2C")</f>
        <v>B2C</v>
      </c>
      <c r="L207" s="5" t="str">
        <f>_xlfn.XLOOKUP(Logs_Reseau6[[#This Row],[Id_Client]],Clients_Churn[ID_Client],Clients_Churn[Duree_Cumulee_Panne_Min],"Non Trouvée")</f>
        <v>Non Trouvée</v>
      </c>
      <c r="M207" s="5" t="str">
        <f>_xlfn.XLOOKUP(Logs_Reseau6[[#This Row],[Id_Client]],Clients_Churn[ID_Client],Clients_Churn[Anciennete_Mois],"Rien à signaler")</f>
        <v>Rien à signaler</v>
      </c>
      <c r="N207" s="5" t="e">
        <f>Logs_Reseau6[[#This Row],[Anciennette]]/24</f>
        <v>#VALUE!</v>
      </c>
      <c r="O207" s="5" t="e">
        <f>Logs_Reseau6[[#This Row],[Duree_Cumulée_Panne]]/1440</f>
        <v>#VALUE!</v>
      </c>
      <c r="P20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08" spans="1:16" hidden="1" x14ac:dyDescent="0.25">
      <c r="A208" s="2">
        <v>45201</v>
      </c>
      <c r="B208" s="1">
        <v>0.62361111111111112</v>
      </c>
      <c r="C208" t="s">
        <v>1442</v>
      </c>
      <c r="D208">
        <v>9</v>
      </c>
      <c r="E208" t="s">
        <v>1300</v>
      </c>
      <c r="F208" t="str">
        <f>_xlfn.XLOOKUP(Logs_Reseau6[[#This Row],[Cell_ID]],Registre[ID_Antenne],Registre[Province_RDC],"Non Trouvée")</f>
        <v>Non Trouvée</v>
      </c>
      <c r="G208" t="str">
        <f>_xlfn.XLOOKUP(Logs_Reseau6[[#This Row],[Province]],Clients_Churn[Province_Client],Clients_Churn[ID_Client],"Aucun")</f>
        <v>Aucun</v>
      </c>
      <c r="H208" t="str">
        <f>_xlfn.XLOOKUP(Logs_Reseau6[[#This Row],[Cell_ID]],Registre[ID_Antenne],Registre[Technologie],"Rien à signaler")</f>
        <v>Rien à signaler</v>
      </c>
      <c r="I208" t="str">
        <f>_xlfn.XLOOKUP(Logs_Reseau6[[#This Row],[Cell_ID]],Registre[ID_Antenne],Registre[Equipementier],"Non Trouvée")</f>
        <v>Non Trouvée</v>
      </c>
      <c r="J208" t="str">
        <f>_xlfn.XLOOKUP(Logs_Reseau6[[#This Row],[Id_Client]],Clients_Churn[ID_Client],Clients_Churn[Type_Forfait],"Pas d'information")</f>
        <v>Pas d'information</v>
      </c>
      <c r="K208" s="5" t="str">
        <f>IF(Logs_Reseau6[[#This Row],[Type_Forfait]]="Pro Monde","B2B","B2C")</f>
        <v>B2C</v>
      </c>
      <c r="L208" s="5" t="str">
        <f>_xlfn.XLOOKUP(Logs_Reseau6[[#This Row],[Id_Client]],Clients_Churn[ID_Client],Clients_Churn[Duree_Cumulee_Panne_Min],"Non Trouvée")</f>
        <v>Non Trouvée</v>
      </c>
      <c r="M208" s="5" t="str">
        <f>_xlfn.XLOOKUP(Logs_Reseau6[[#This Row],[Id_Client]],Clients_Churn[ID_Client],Clients_Churn[Anciennete_Mois],"Rien à signaler")</f>
        <v>Rien à signaler</v>
      </c>
      <c r="N208" s="5" t="e">
        <f>Logs_Reseau6[[#This Row],[Anciennette]]/24</f>
        <v>#VALUE!</v>
      </c>
      <c r="O208" s="5" t="e">
        <f>Logs_Reseau6[[#This Row],[Duree_Cumulée_Panne]]/1440</f>
        <v>#VALUE!</v>
      </c>
      <c r="P20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09" spans="1:16" hidden="1" x14ac:dyDescent="0.25">
      <c r="A209" s="2">
        <v>45230</v>
      </c>
      <c r="B209" s="1">
        <v>0.7319444444444444</v>
      </c>
      <c r="C209" t="s">
        <v>1442</v>
      </c>
      <c r="D209">
        <v>52</v>
      </c>
      <c r="E209" t="s">
        <v>1300</v>
      </c>
      <c r="F209" t="str">
        <f>_xlfn.XLOOKUP(Logs_Reseau6[[#This Row],[Cell_ID]],Registre[ID_Antenne],Registre[Province_RDC],"Non Trouvée")</f>
        <v>Non Trouvée</v>
      </c>
      <c r="G209" t="str">
        <f>_xlfn.XLOOKUP(Logs_Reseau6[[#This Row],[Province]],Clients_Churn[Province_Client],Clients_Churn[ID_Client],"Aucun")</f>
        <v>Aucun</v>
      </c>
      <c r="H209" t="str">
        <f>_xlfn.XLOOKUP(Logs_Reseau6[[#This Row],[Cell_ID]],Registre[ID_Antenne],Registre[Technologie],"Rien à signaler")</f>
        <v>Rien à signaler</v>
      </c>
      <c r="I209" t="str">
        <f>_xlfn.XLOOKUP(Logs_Reseau6[[#This Row],[Cell_ID]],Registre[ID_Antenne],Registre[Equipementier],"Non Trouvée")</f>
        <v>Non Trouvée</v>
      </c>
      <c r="J209" t="str">
        <f>_xlfn.XLOOKUP(Logs_Reseau6[[#This Row],[Id_Client]],Clients_Churn[ID_Client],Clients_Churn[Type_Forfait],"Pas d'information")</f>
        <v>Pas d'information</v>
      </c>
      <c r="K209" s="5" t="str">
        <f>IF(Logs_Reseau6[[#This Row],[Type_Forfait]]="Pro Monde","B2B","B2C")</f>
        <v>B2C</v>
      </c>
      <c r="L209" s="5" t="str">
        <f>_xlfn.XLOOKUP(Logs_Reseau6[[#This Row],[Id_Client]],Clients_Churn[ID_Client],Clients_Churn[Duree_Cumulee_Panne_Min],"Non Trouvée")</f>
        <v>Non Trouvée</v>
      </c>
      <c r="M209" s="5" t="str">
        <f>_xlfn.XLOOKUP(Logs_Reseau6[[#This Row],[Id_Client]],Clients_Churn[ID_Client],Clients_Churn[Anciennete_Mois],"Rien à signaler")</f>
        <v>Rien à signaler</v>
      </c>
      <c r="N209" s="5" t="e">
        <f>Logs_Reseau6[[#This Row],[Anciennette]]/24</f>
        <v>#VALUE!</v>
      </c>
      <c r="O209" s="5" t="e">
        <f>Logs_Reseau6[[#This Row],[Duree_Cumulée_Panne]]/1440</f>
        <v>#VALUE!</v>
      </c>
      <c r="P20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10" spans="1:16" hidden="1" x14ac:dyDescent="0.25">
      <c r="A210" s="2">
        <v>45224</v>
      </c>
      <c r="B210" s="1">
        <v>0.98402777777777772</v>
      </c>
      <c r="C210" t="s">
        <v>1635</v>
      </c>
      <c r="D210">
        <v>49</v>
      </c>
      <c r="E210" t="s">
        <v>1300</v>
      </c>
      <c r="F210" t="str">
        <f>_xlfn.XLOOKUP(Logs_Reseau6[[#This Row],[Cell_ID]],Registre[ID_Antenne],Registre[Province_RDC],"Non Trouvée")</f>
        <v>Non Trouvée</v>
      </c>
      <c r="G210" t="str">
        <f>_xlfn.XLOOKUP(Logs_Reseau6[[#This Row],[Province]],Clients_Churn[Province_Client],Clients_Churn[ID_Client],"Aucun")</f>
        <v>Aucun</v>
      </c>
      <c r="H210" t="str">
        <f>_xlfn.XLOOKUP(Logs_Reseau6[[#This Row],[Cell_ID]],Registre[ID_Antenne],Registre[Technologie],"Rien à signaler")</f>
        <v>Rien à signaler</v>
      </c>
      <c r="I210" t="str">
        <f>_xlfn.XLOOKUP(Logs_Reseau6[[#This Row],[Cell_ID]],Registre[ID_Antenne],Registre[Equipementier],"Non Trouvée")</f>
        <v>Non Trouvée</v>
      </c>
      <c r="J210" t="str">
        <f>_xlfn.XLOOKUP(Logs_Reseau6[[#This Row],[Id_Client]],Clients_Churn[ID_Client],Clients_Churn[Type_Forfait],"Pas d'information")</f>
        <v>Pas d'information</v>
      </c>
      <c r="K210" s="5" t="str">
        <f>IF(Logs_Reseau6[[#This Row],[Type_Forfait]]="Pro Monde","B2B","B2C")</f>
        <v>B2C</v>
      </c>
      <c r="L210" s="5" t="str">
        <f>_xlfn.XLOOKUP(Logs_Reseau6[[#This Row],[Id_Client]],Clients_Churn[ID_Client],Clients_Churn[Duree_Cumulee_Panne_Min],"Non Trouvée")</f>
        <v>Non Trouvée</v>
      </c>
      <c r="M210" s="5" t="str">
        <f>_xlfn.XLOOKUP(Logs_Reseau6[[#This Row],[Id_Client]],Clients_Churn[ID_Client],Clients_Churn[Anciennete_Mois],"Rien à signaler")</f>
        <v>Rien à signaler</v>
      </c>
      <c r="N210" s="5" t="e">
        <f>Logs_Reseau6[[#This Row],[Anciennette]]/24</f>
        <v>#VALUE!</v>
      </c>
      <c r="O210" s="5" t="e">
        <f>Logs_Reseau6[[#This Row],[Duree_Cumulée_Panne]]/1440</f>
        <v>#VALUE!</v>
      </c>
      <c r="P21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11" spans="1:16" hidden="1" x14ac:dyDescent="0.25">
      <c r="A211" s="2">
        <v>45229</v>
      </c>
      <c r="B211" s="1">
        <v>0.50347222222222221</v>
      </c>
      <c r="C211" t="s">
        <v>1314</v>
      </c>
      <c r="D211">
        <v>106</v>
      </c>
      <c r="E211" t="s">
        <v>1303</v>
      </c>
      <c r="F211" t="str">
        <f>_xlfn.XLOOKUP(Logs_Reseau6[[#This Row],[Cell_ID]],Registre[ID_Antenne],Registre[Province_RDC],"Non Trouvée")</f>
        <v>Non Trouvée</v>
      </c>
      <c r="G211" t="str">
        <f>_xlfn.XLOOKUP(Logs_Reseau6[[#This Row],[Province]],Clients_Churn[Province_Client],Clients_Churn[ID_Client],"Aucun")</f>
        <v>Aucun</v>
      </c>
      <c r="H211" t="str">
        <f>_xlfn.XLOOKUP(Logs_Reseau6[[#This Row],[Cell_ID]],Registre[ID_Antenne],Registre[Technologie],"Rien à signaler")</f>
        <v>Rien à signaler</v>
      </c>
      <c r="I211" t="str">
        <f>_xlfn.XLOOKUP(Logs_Reseau6[[#This Row],[Cell_ID]],Registre[ID_Antenne],Registre[Equipementier],"Non Trouvée")</f>
        <v>Non Trouvée</v>
      </c>
      <c r="J211" t="str">
        <f>_xlfn.XLOOKUP(Logs_Reseau6[[#This Row],[Id_Client]],Clients_Churn[ID_Client],Clients_Churn[Type_Forfait],"Pas d'information")</f>
        <v>Pas d'information</v>
      </c>
      <c r="K211" s="5" t="str">
        <f>IF(Logs_Reseau6[[#This Row],[Type_Forfait]]="Pro Monde","B2B","B2C")</f>
        <v>B2C</v>
      </c>
      <c r="L211" s="5" t="str">
        <f>_xlfn.XLOOKUP(Logs_Reseau6[[#This Row],[Id_Client]],Clients_Churn[ID_Client],Clients_Churn[Duree_Cumulee_Panne_Min],"Non Trouvée")</f>
        <v>Non Trouvée</v>
      </c>
      <c r="M211" s="5" t="str">
        <f>_xlfn.XLOOKUP(Logs_Reseau6[[#This Row],[Id_Client]],Clients_Churn[ID_Client],Clients_Churn[Anciennete_Mois],"Rien à signaler")</f>
        <v>Rien à signaler</v>
      </c>
      <c r="N211" s="5" t="e">
        <f>Logs_Reseau6[[#This Row],[Anciennette]]/24</f>
        <v>#VALUE!</v>
      </c>
      <c r="O211" s="5" t="e">
        <f>Logs_Reseau6[[#This Row],[Duree_Cumulée_Panne]]/1440</f>
        <v>#VALUE!</v>
      </c>
      <c r="P21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12" spans="1:16" x14ac:dyDescent="0.25">
      <c r="A212" s="2">
        <v>45209</v>
      </c>
      <c r="B212" s="1">
        <v>0.36527777777777776</v>
      </c>
      <c r="C212" t="s">
        <v>1258</v>
      </c>
      <c r="D212">
        <v>120</v>
      </c>
      <c r="E212" t="s">
        <v>1300</v>
      </c>
      <c r="F212" t="str">
        <f>_xlfn.XLOOKUP(Logs_Reseau6[[#This Row],[Cell_ID]],Registre[ID_Antenne],Registre[Province_RDC],"Non Trouvée")</f>
        <v>Sankuru</v>
      </c>
      <c r="G212" t="str">
        <f>_xlfn.XLOOKUP(Logs_Reseau6[[#This Row],[Province]],Clients_Churn[Province_Client],Clients_Churn[ID_Client],"Aucun")</f>
        <v>CLI-00197</v>
      </c>
      <c r="H212" t="str">
        <f>_xlfn.XLOOKUP(Logs_Reseau6[[#This Row],[Cell_ID]],Registre[ID_Antenne],Registre[Technologie],"Rien à signaler")</f>
        <v>4G</v>
      </c>
      <c r="I212" t="str">
        <f>_xlfn.XLOOKUP(Logs_Reseau6[[#This Row],[Cell_ID]],Registre[ID_Antenne],Registre[Equipementier],"Non Trouvée")</f>
        <v>ZTE</v>
      </c>
      <c r="J212" t="str">
        <f>_xlfn.XLOOKUP(Logs_Reseau6[[#This Row],[Id_Client]],Clients_Churn[ID_Client],Clients_Churn[Type_Forfait],"Pas d'information")</f>
        <v>Illimité 50Go</v>
      </c>
      <c r="K212" s="5" t="str">
        <f>IF(Logs_Reseau6[[#This Row],[Type_Forfait]]="Pro Monde","B2B","B2C")</f>
        <v>B2C</v>
      </c>
      <c r="L212" s="5">
        <f>_xlfn.XLOOKUP(Logs_Reseau6[[#This Row],[Id_Client]],Clients_Churn[ID_Client],Clients_Churn[Duree_Cumulee_Panne_Min],"Non Trouvée")</f>
        <v>84</v>
      </c>
      <c r="M212" s="5">
        <f>_xlfn.XLOOKUP(Logs_Reseau6[[#This Row],[Id_Client]],Clients_Churn[ID_Client],Clients_Churn[Anciennete_Mois],"Rien à signaler")</f>
        <v>109</v>
      </c>
      <c r="N212" s="11">
        <f>Logs_Reseau6[[#This Row],[Anciennette]]/24</f>
        <v>4.541666666666667</v>
      </c>
      <c r="O212" s="1">
        <f>Logs_Reseau6[[#This Row],[Duree_Cumulée_Panne]]/1440</f>
        <v>5.8333333333333334E-2</v>
      </c>
      <c r="P21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13" spans="1:16" x14ac:dyDescent="0.25">
      <c r="A213" s="2">
        <v>45211</v>
      </c>
      <c r="B213" s="1">
        <v>0.72499999999999998</v>
      </c>
      <c r="C213" t="s">
        <v>1258</v>
      </c>
      <c r="D213">
        <v>84</v>
      </c>
      <c r="E213" t="s">
        <v>1305</v>
      </c>
      <c r="F213" t="str">
        <f>_xlfn.XLOOKUP(Logs_Reseau6[[#This Row],[Cell_ID]],Registre[ID_Antenne],Registre[Province_RDC],"Non Trouvée")</f>
        <v>Sankuru</v>
      </c>
      <c r="G213" t="str">
        <f>_xlfn.XLOOKUP(Logs_Reseau6[[#This Row],[Province]],Clients_Churn[Province_Client],Clients_Churn[ID_Client],"Aucun")</f>
        <v>CLI-00197</v>
      </c>
      <c r="H213" t="str">
        <f>_xlfn.XLOOKUP(Logs_Reseau6[[#This Row],[Cell_ID]],Registre[ID_Antenne],Registre[Technologie],"Rien à signaler")</f>
        <v>4G</v>
      </c>
      <c r="I213" t="str">
        <f>_xlfn.XLOOKUP(Logs_Reseau6[[#This Row],[Cell_ID]],Registre[ID_Antenne],Registre[Equipementier],"Non Trouvée")</f>
        <v>ZTE</v>
      </c>
      <c r="J213" t="str">
        <f>_xlfn.XLOOKUP(Logs_Reseau6[[#This Row],[Id_Client]],Clients_Churn[ID_Client],Clients_Churn[Type_Forfait],"Pas d'information")</f>
        <v>Illimité 50Go</v>
      </c>
      <c r="K213" s="5" t="str">
        <f>IF(Logs_Reseau6[[#This Row],[Type_Forfait]]="Pro Monde","B2B","B2C")</f>
        <v>B2C</v>
      </c>
      <c r="L213" s="5">
        <f>_xlfn.XLOOKUP(Logs_Reseau6[[#This Row],[Id_Client]],Clients_Churn[ID_Client],Clients_Churn[Duree_Cumulee_Panne_Min],"Non Trouvée")</f>
        <v>84</v>
      </c>
      <c r="M213" s="5">
        <f>_xlfn.XLOOKUP(Logs_Reseau6[[#This Row],[Id_Client]],Clients_Churn[ID_Client],Clients_Churn[Anciennete_Mois],"Rien à signaler")</f>
        <v>109</v>
      </c>
      <c r="N213" s="11">
        <f>Logs_Reseau6[[#This Row],[Anciennette]]/24</f>
        <v>4.541666666666667</v>
      </c>
      <c r="O213" s="1">
        <f>Logs_Reseau6[[#This Row],[Duree_Cumulée_Panne]]/1440</f>
        <v>5.8333333333333334E-2</v>
      </c>
      <c r="P21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14" spans="1:16" x14ac:dyDescent="0.25">
      <c r="A214" s="2">
        <v>45215</v>
      </c>
      <c r="B214" s="1">
        <v>0.99027777777777781</v>
      </c>
      <c r="C214" t="s">
        <v>1258</v>
      </c>
      <c r="D214">
        <v>66</v>
      </c>
      <c r="E214" t="s">
        <v>1305</v>
      </c>
      <c r="F214" t="str">
        <f>_xlfn.XLOOKUP(Logs_Reseau6[[#This Row],[Cell_ID]],Registre[ID_Antenne],Registre[Province_RDC],"Non Trouvée")</f>
        <v>Sankuru</v>
      </c>
      <c r="G214" t="str">
        <f>_xlfn.XLOOKUP(Logs_Reseau6[[#This Row],[Province]],Clients_Churn[Province_Client],Clients_Churn[ID_Client],"Aucun")</f>
        <v>CLI-00197</v>
      </c>
      <c r="H214" t="str">
        <f>_xlfn.XLOOKUP(Logs_Reseau6[[#This Row],[Cell_ID]],Registre[ID_Antenne],Registre[Technologie],"Rien à signaler")</f>
        <v>4G</v>
      </c>
      <c r="I214" t="str">
        <f>_xlfn.XLOOKUP(Logs_Reseau6[[#This Row],[Cell_ID]],Registre[ID_Antenne],Registre[Equipementier],"Non Trouvée")</f>
        <v>ZTE</v>
      </c>
      <c r="J214" t="str">
        <f>_xlfn.XLOOKUP(Logs_Reseau6[[#This Row],[Id_Client]],Clients_Churn[ID_Client],Clients_Churn[Type_Forfait],"Pas d'information")</f>
        <v>Illimité 50Go</v>
      </c>
      <c r="K214" s="5" t="str">
        <f>IF(Logs_Reseau6[[#This Row],[Type_Forfait]]="Pro Monde","B2B","B2C")</f>
        <v>B2C</v>
      </c>
      <c r="L214" s="5">
        <f>_xlfn.XLOOKUP(Logs_Reseau6[[#This Row],[Id_Client]],Clients_Churn[ID_Client],Clients_Churn[Duree_Cumulee_Panne_Min],"Non Trouvée")</f>
        <v>84</v>
      </c>
      <c r="M214" s="5">
        <f>_xlfn.XLOOKUP(Logs_Reseau6[[#This Row],[Id_Client]],Clients_Churn[ID_Client],Clients_Churn[Anciennete_Mois],"Rien à signaler")</f>
        <v>109</v>
      </c>
      <c r="N214" s="11">
        <f>Logs_Reseau6[[#This Row],[Anciennette]]/24</f>
        <v>4.541666666666667</v>
      </c>
      <c r="O214" s="1">
        <f>Logs_Reseau6[[#This Row],[Duree_Cumulée_Panne]]/1440</f>
        <v>5.8333333333333334E-2</v>
      </c>
      <c r="P21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15" spans="1:16" x14ac:dyDescent="0.25">
      <c r="A215" s="2">
        <v>45205</v>
      </c>
      <c r="B215" s="1">
        <v>0.92986111111111114</v>
      </c>
      <c r="C215" t="s">
        <v>1188</v>
      </c>
      <c r="D215">
        <v>82</v>
      </c>
      <c r="E215" t="s">
        <v>1305</v>
      </c>
      <c r="F215" t="str">
        <f>_xlfn.XLOOKUP(Logs_Reseau6[[#This Row],[Cell_ID]],Registre[ID_Antenne],Registre[Province_RDC],"Non Trouvée")</f>
        <v>Lualaba</v>
      </c>
      <c r="G215" t="str">
        <f>_xlfn.XLOOKUP(Logs_Reseau6[[#This Row],[Province]],Clients_Churn[Province_Client],Clients_Churn[ID_Client],"Aucun")</f>
        <v>CLI-00334</v>
      </c>
      <c r="H215" t="str">
        <f>_xlfn.XLOOKUP(Logs_Reseau6[[#This Row],[Cell_ID]],Registre[ID_Antenne],Registre[Technologie],"Rien à signaler")</f>
        <v>5G</v>
      </c>
      <c r="I215" t="str">
        <f>_xlfn.XLOOKUP(Logs_Reseau6[[#This Row],[Cell_ID]],Registre[ID_Antenne],Registre[Equipementier],"Non Trouvée")</f>
        <v>Nokia</v>
      </c>
      <c r="J215" t="str">
        <f>_xlfn.XLOOKUP(Logs_Reseau6[[#This Row],[Id_Client]],Clients_Churn[ID_Client],Clients_Churn[Type_Forfait],"Pas d'information")</f>
        <v>Pro Monde</v>
      </c>
      <c r="K215" s="5" t="str">
        <f>IF(Logs_Reseau6[[#This Row],[Type_Forfait]]="Pro Monde","B2B","B2C")</f>
        <v>B2B</v>
      </c>
      <c r="L215" s="5">
        <f>_xlfn.XLOOKUP(Logs_Reseau6[[#This Row],[Id_Client]],Clients_Churn[ID_Client],Clients_Churn[Duree_Cumulee_Panne_Min],"Non Trouvée")</f>
        <v>214</v>
      </c>
      <c r="M215" s="5">
        <f>_xlfn.XLOOKUP(Logs_Reseau6[[#This Row],[Id_Client]],Clients_Churn[ID_Client],Clients_Churn[Anciennete_Mois],"Rien à signaler")</f>
        <v>16</v>
      </c>
      <c r="N215" s="11">
        <f>Logs_Reseau6[[#This Row],[Anciennette]]/24</f>
        <v>0.66666666666666663</v>
      </c>
      <c r="O215" s="1">
        <f>Logs_Reseau6[[#This Row],[Duree_Cumulée_Panne]]/1440</f>
        <v>0.14861111111111111</v>
      </c>
      <c r="P21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16" spans="1:16" x14ac:dyDescent="0.25">
      <c r="A216" s="2">
        <v>45207</v>
      </c>
      <c r="B216" s="1">
        <v>0.36805555555555558</v>
      </c>
      <c r="C216" t="s">
        <v>1110</v>
      </c>
      <c r="D216">
        <v>46</v>
      </c>
      <c r="E216" t="s">
        <v>1300</v>
      </c>
      <c r="F216" t="str">
        <f>_xlfn.XLOOKUP(Logs_Reseau6[[#This Row],[Cell_ID]],Registre[ID_Antenne],Registre[Province_RDC],"Non Trouvée")</f>
        <v>Tanganyika</v>
      </c>
      <c r="G216" t="str">
        <f>_xlfn.XLOOKUP(Logs_Reseau6[[#This Row],[Province]],Clients_Churn[Province_Client],Clients_Churn[ID_Client],"Aucun")</f>
        <v>CLI-00007</v>
      </c>
      <c r="H216" t="str">
        <f>_xlfn.XLOOKUP(Logs_Reseau6[[#This Row],[Cell_ID]],Registre[ID_Antenne],Registre[Technologie],"Rien à signaler")</f>
        <v>5G</v>
      </c>
      <c r="I216" t="str">
        <f>_xlfn.XLOOKUP(Logs_Reseau6[[#This Row],[Cell_ID]],Registre[ID_Antenne],Registre[Equipementier],"Non Trouvée")</f>
        <v>Huawei</v>
      </c>
      <c r="J216" t="str">
        <f>_xlfn.XLOOKUP(Logs_Reseau6[[#This Row],[Id_Client]],Clients_Churn[ID_Client],Clients_Churn[Type_Forfait],"Pas d'information")</f>
        <v>Bloqué 5Go</v>
      </c>
      <c r="K216" s="5" t="str">
        <f>IF(Logs_Reseau6[[#This Row],[Type_Forfait]]="Pro Monde","B2B","B2C")</f>
        <v>B2C</v>
      </c>
      <c r="L216" s="5">
        <f>_xlfn.XLOOKUP(Logs_Reseau6[[#This Row],[Id_Client]],Clients_Churn[ID_Client],Clients_Churn[Duree_Cumulee_Panne_Min],"Non Trouvée")</f>
        <v>112</v>
      </c>
      <c r="M216" s="5">
        <f>_xlfn.XLOOKUP(Logs_Reseau6[[#This Row],[Id_Client]],Clients_Churn[ID_Client],Clients_Churn[Anciennete_Mois],"Rien à signaler")</f>
        <v>110</v>
      </c>
      <c r="N216" s="11">
        <f>Logs_Reseau6[[#This Row],[Anciennette]]/24</f>
        <v>4.583333333333333</v>
      </c>
      <c r="O216" s="1">
        <f>Logs_Reseau6[[#This Row],[Duree_Cumulée_Panne]]/1440</f>
        <v>7.7777777777777779E-2</v>
      </c>
      <c r="P21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17" spans="1:16" x14ac:dyDescent="0.25">
      <c r="A217" s="2">
        <v>45206</v>
      </c>
      <c r="B217" s="1">
        <v>0.63680555555555551</v>
      </c>
      <c r="C217" t="s">
        <v>1091</v>
      </c>
      <c r="D217">
        <v>32</v>
      </c>
      <c r="E217" t="s">
        <v>1305</v>
      </c>
      <c r="F217" t="str">
        <f>_xlfn.XLOOKUP(Logs_Reseau6[[#This Row],[Cell_ID]],Registre[ID_Antenne],Registre[Province_RDC],"Non Trouvée")</f>
        <v>Sud-Kivu</v>
      </c>
      <c r="G217" t="str">
        <f>_xlfn.XLOOKUP(Logs_Reseau6[[#This Row],[Province]],Clients_Churn[Province_Client],Clients_Churn[ID_Client],"Aucun")</f>
        <v>CLI-00054</v>
      </c>
      <c r="H217" t="str">
        <f>_xlfn.XLOOKUP(Logs_Reseau6[[#This Row],[Cell_ID]],Registre[ID_Antenne],Registre[Technologie],"Rien à signaler")</f>
        <v>3G</v>
      </c>
      <c r="I217" t="str">
        <f>_xlfn.XLOOKUP(Logs_Reseau6[[#This Row],[Cell_ID]],Registre[ID_Antenne],Registre[Equipementier],"Non Trouvée")</f>
        <v>Nokia</v>
      </c>
      <c r="J217" t="str">
        <f>_xlfn.XLOOKUP(Logs_Reseau6[[#This Row],[Id_Client]],Clients_Churn[ID_Client],Clients_Churn[Type_Forfait],"Pas d'information")</f>
        <v>Bloqué 5Go</v>
      </c>
      <c r="K217" s="5" t="str">
        <f>IF(Logs_Reseau6[[#This Row],[Type_Forfait]]="Pro Monde","B2B","B2C")</f>
        <v>B2C</v>
      </c>
      <c r="L217" s="5">
        <f>_xlfn.XLOOKUP(Logs_Reseau6[[#This Row],[Id_Client]],Clients_Churn[ID_Client],Clients_Churn[Duree_Cumulee_Panne_Min],"Non Trouvée")</f>
        <v>40</v>
      </c>
      <c r="M217" s="5">
        <f>_xlfn.XLOOKUP(Logs_Reseau6[[#This Row],[Id_Client]],Clients_Churn[ID_Client],Clients_Churn[Anciennete_Mois],"Rien à signaler")</f>
        <v>34</v>
      </c>
      <c r="N217" s="11">
        <f>Logs_Reseau6[[#This Row],[Anciennette]]/24</f>
        <v>1.4166666666666667</v>
      </c>
      <c r="O217" s="1">
        <f>Logs_Reseau6[[#This Row],[Duree_Cumulée_Panne]]/1440</f>
        <v>2.7777777777777776E-2</v>
      </c>
      <c r="P21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18" spans="1:16" x14ac:dyDescent="0.25">
      <c r="A218" s="2">
        <v>45218</v>
      </c>
      <c r="B218" s="1">
        <v>0.58958333333333335</v>
      </c>
      <c r="C218" t="s">
        <v>1091</v>
      </c>
      <c r="D218">
        <v>21</v>
      </c>
      <c r="E218" t="s">
        <v>1300</v>
      </c>
      <c r="F218" t="str">
        <f>_xlfn.XLOOKUP(Logs_Reseau6[[#This Row],[Cell_ID]],Registre[ID_Antenne],Registre[Province_RDC],"Non Trouvée")</f>
        <v>Sud-Kivu</v>
      </c>
      <c r="G218" t="str">
        <f>_xlfn.XLOOKUP(Logs_Reseau6[[#This Row],[Province]],Clients_Churn[Province_Client],Clients_Churn[ID_Client],"Aucun")</f>
        <v>CLI-00054</v>
      </c>
      <c r="H218" t="str">
        <f>_xlfn.XLOOKUP(Logs_Reseau6[[#This Row],[Cell_ID]],Registre[ID_Antenne],Registre[Technologie],"Rien à signaler")</f>
        <v>3G</v>
      </c>
      <c r="I218" t="str">
        <f>_xlfn.XLOOKUP(Logs_Reseau6[[#This Row],[Cell_ID]],Registre[ID_Antenne],Registre[Equipementier],"Non Trouvée")</f>
        <v>Nokia</v>
      </c>
      <c r="J218" t="str">
        <f>_xlfn.XLOOKUP(Logs_Reseau6[[#This Row],[Id_Client]],Clients_Churn[ID_Client],Clients_Churn[Type_Forfait],"Pas d'information")</f>
        <v>Bloqué 5Go</v>
      </c>
      <c r="K218" s="5" t="str">
        <f>IF(Logs_Reseau6[[#This Row],[Type_Forfait]]="Pro Monde","B2B","B2C")</f>
        <v>B2C</v>
      </c>
      <c r="L218" s="5">
        <f>_xlfn.XLOOKUP(Logs_Reseau6[[#This Row],[Id_Client]],Clients_Churn[ID_Client],Clients_Churn[Duree_Cumulee_Panne_Min],"Non Trouvée")</f>
        <v>40</v>
      </c>
      <c r="M218" s="5">
        <f>_xlfn.XLOOKUP(Logs_Reseau6[[#This Row],[Id_Client]],Clients_Churn[ID_Client],Clients_Churn[Anciennete_Mois],"Rien à signaler")</f>
        <v>34</v>
      </c>
      <c r="N218" s="11">
        <f>Logs_Reseau6[[#This Row],[Anciennette]]/24</f>
        <v>1.4166666666666667</v>
      </c>
      <c r="O218" s="1">
        <f>Logs_Reseau6[[#This Row],[Duree_Cumulée_Panne]]/1440</f>
        <v>2.7777777777777776E-2</v>
      </c>
      <c r="P21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19" spans="1:16" x14ac:dyDescent="0.25">
      <c r="A219" s="2">
        <v>45200</v>
      </c>
      <c r="B219" s="1">
        <v>0.91388888888888886</v>
      </c>
      <c r="C219" t="s">
        <v>890</v>
      </c>
      <c r="D219">
        <v>87</v>
      </c>
      <c r="E219" t="s">
        <v>1300</v>
      </c>
      <c r="F219" t="str">
        <f>_xlfn.XLOOKUP(Logs_Reseau6[[#This Row],[Cell_ID]],Registre[ID_Antenne],Registre[Province_RDC],"Non Trouvée")</f>
        <v>Sankuru</v>
      </c>
      <c r="G219" t="str">
        <f>_xlfn.XLOOKUP(Logs_Reseau6[[#This Row],[Province]],Clients_Churn[Province_Client],Clients_Churn[ID_Client],"Aucun")</f>
        <v>CLI-00197</v>
      </c>
      <c r="H219" t="str">
        <f>_xlfn.XLOOKUP(Logs_Reseau6[[#This Row],[Cell_ID]],Registre[ID_Antenne],Registre[Technologie],"Rien à signaler")</f>
        <v>5G</v>
      </c>
      <c r="I219" t="str">
        <f>_xlfn.XLOOKUP(Logs_Reseau6[[#This Row],[Cell_ID]],Registre[ID_Antenne],Registre[Equipementier],"Non Trouvée")</f>
        <v>Ericsson</v>
      </c>
      <c r="J219" t="str">
        <f>_xlfn.XLOOKUP(Logs_Reseau6[[#This Row],[Id_Client]],Clients_Churn[ID_Client],Clients_Churn[Type_Forfait],"Pas d'information")</f>
        <v>Illimité 50Go</v>
      </c>
      <c r="K219" s="5" t="str">
        <f>IF(Logs_Reseau6[[#This Row],[Type_Forfait]]="Pro Monde","B2B","B2C")</f>
        <v>B2C</v>
      </c>
      <c r="L219" s="5">
        <f>_xlfn.XLOOKUP(Logs_Reseau6[[#This Row],[Id_Client]],Clients_Churn[ID_Client],Clients_Churn[Duree_Cumulee_Panne_Min],"Non Trouvée")</f>
        <v>84</v>
      </c>
      <c r="M219" s="5">
        <f>_xlfn.XLOOKUP(Logs_Reseau6[[#This Row],[Id_Client]],Clients_Churn[ID_Client],Clients_Churn[Anciennete_Mois],"Rien à signaler")</f>
        <v>109</v>
      </c>
      <c r="N219" s="11">
        <f>Logs_Reseau6[[#This Row],[Anciennette]]/24</f>
        <v>4.541666666666667</v>
      </c>
      <c r="O219" s="1">
        <f>Logs_Reseau6[[#This Row],[Duree_Cumulée_Panne]]/1440</f>
        <v>5.8333333333333334E-2</v>
      </c>
      <c r="P21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20" spans="1:16" hidden="1" x14ac:dyDescent="0.25">
      <c r="A220" s="2">
        <v>45213</v>
      </c>
      <c r="B220" s="1">
        <v>0.60763888888888884</v>
      </c>
      <c r="C220" t="s">
        <v>1523</v>
      </c>
      <c r="D220">
        <v>22</v>
      </c>
      <c r="E220" t="s">
        <v>1300</v>
      </c>
      <c r="F220" t="str">
        <f>_xlfn.XLOOKUP(Logs_Reseau6[[#This Row],[Cell_ID]],Registre[ID_Antenne],Registre[Province_RDC],"Non Trouvée")</f>
        <v>Non Trouvée</v>
      </c>
      <c r="G220" t="str">
        <f>_xlfn.XLOOKUP(Logs_Reseau6[[#This Row],[Province]],Clients_Churn[Province_Client],Clients_Churn[ID_Client],"Aucun")</f>
        <v>Aucun</v>
      </c>
      <c r="H220" t="str">
        <f>_xlfn.XLOOKUP(Logs_Reseau6[[#This Row],[Cell_ID]],Registre[ID_Antenne],Registre[Technologie],"Rien à signaler")</f>
        <v>Rien à signaler</v>
      </c>
      <c r="I220" t="str">
        <f>_xlfn.XLOOKUP(Logs_Reseau6[[#This Row],[Cell_ID]],Registre[ID_Antenne],Registre[Equipementier],"Non Trouvée")</f>
        <v>Non Trouvée</v>
      </c>
      <c r="J220" t="str">
        <f>_xlfn.XLOOKUP(Logs_Reseau6[[#This Row],[Id_Client]],Clients_Churn[ID_Client],Clients_Churn[Type_Forfait],"Pas d'information")</f>
        <v>Pas d'information</v>
      </c>
      <c r="K220" s="5" t="str">
        <f>IF(Logs_Reseau6[[#This Row],[Type_Forfait]]="Pro Monde","B2B","B2C")</f>
        <v>B2C</v>
      </c>
      <c r="L220" s="5" t="str">
        <f>_xlfn.XLOOKUP(Logs_Reseau6[[#This Row],[Id_Client]],Clients_Churn[ID_Client],Clients_Churn[Duree_Cumulee_Panne_Min],"Non Trouvée")</f>
        <v>Non Trouvée</v>
      </c>
      <c r="M220" s="5" t="str">
        <f>_xlfn.XLOOKUP(Logs_Reseau6[[#This Row],[Id_Client]],Clients_Churn[ID_Client],Clients_Churn[Anciennete_Mois],"Rien à signaler")</f>
        <v>Rien à signaler</v>
      </c>
      <c r="N220" s="5" t="e">
        <f>Logs_Reseau6[[#This Row],[Anciennette]]/24</f>
        <v>#VALUE!</v>
      </c>
      <c r="O220" s="5" t="e">
        <f>Logs_Reseau6[[#This Row],[Duree_Cumulée_Panne]]/1440</f>
        <v>#VALUE!</v>
      </c>
      <c r="P22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21" spans="1:16" hidden="1" x14ac:dyDescent="0.25">
      <c r="A221" s="2">
        <v>45206</v>
      </c>
      <c r="B221" s="1">
        <v>0.7680555555555556</v>
      </c>
      <c r="C221" t="s">
        <v>1481</v>
      </c>
      <c r="D221">
        <v>35</v>
      </c>
      <c r="E221" t="s">
        <v>1305</v>
      </c>
      <c r="F221" t="str">
        <f>_xlfn.XLOOKUP(Logs_Reseau6[[#This Row],[Cell_ID]],Registre[ID_Antenne],Registre[Province_RDC],"Non Trouvée")</f>
        <v>Non Trouvée</v>
      </c>
      <c r="G221" t="str">
        <f>_xlfn.XLOOKUP(Logs_Reseau6[[#This Row],[Province]],Clients_Churn[Province_Client],Clients_Churn[ID_Client],"Aucun")</f>
        <v>Aucun</v>
      </c>
      <c r="H221" t="str">
        <f>_xlfn.XLOOKUP(Logs_Reseau6[[#This Row],[Cell_ID]],Registre[ID_Antenne],Registre[Technologie],"Rien à signaler")</f>
        <v>Rien à signaler</v>
      </c>
      <c r="I221" t="str">
        <f>_xlfn.XLOOKUP(Logs_Reseau6[[#This Row],[Cell_ID]],Registre[ID_Antenne],Registre[Equipementier],"Non Trouvée")</f>
        <v>Non Trouvée</v>
      </c>
      <c r="J221" t="str">
        <f>_xlfn.XLOOKUP(Logs_Reseau6[[#This Row],[Id_Client]],Clients_Churn[ID_Client],Clients_Churn[Type_Forfait],"Pas d'information")</f>
        <v>Pas d'information</v>
      </c>
      <c r="K221" s="5" t="str">
        <f>IF(Logs_Reseau6[[#This Row],[Type_Forfait]]="Pro Monde","B2B","B2C")</f>
        <v>B2C</v>
      </c>
      <c r="L221" s="5" t="str">
        <f>_xlfn.XLOOKUP(Logs_Reseau6[[#This Row],[Id_Client]],Clients_Churn[ID_Client],Clients_Churn[Duree_Cumulee_Panne_Min],"Non Trouvée")</f>
        <v>Non Trouvée</v>
      </c>
      <c r="M221" s="5" t="str">
        <f>_xlfn.XLOOKUP(Logs_Reseau6[[#This Row],[Id_Client]],Clients_Churn[ID_Client],Clients_Churn[Anciennete_Mois],"Rien à signaler")</f>
        <v>Rien à signaler</v>
      </c>
      <c r="N221" s="5" t="e">
        <f>Logs_Reseau6[[#This Row],[Anciennette]]/24</f>
        <v>#VALUE!</v>
      </c>
      <c r="O221" s="5" t="e">
        <f>Logs_Reseau6[[#This Row],[Duree_Cumulée_Panne]]/1440</f>
        <v>#VALUE!</v>
      </c>
      <c r="P22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22" spans="1:16" x14ac:dyDescent="0.25">
      <c r="A222" s="2">
        <v>45203</v>
      </c>
      <c r="B222" s="1">
        <v>0.71597222222222223</v>
      </c>
      <c r="C222" t="s">
        <v>1253</v>
      </c>
      <c r="D222">
        <v>68</v>
      </c>
      <c r="E222" t="s">
        <v>1303</v>
      </c>
      <c r="F222" t="str">
        <f>_xlfn.XLOOKUP(Logs_Reseau6[[#This Row],[Cell_ID]],Registre[ID_Antenne],Registre[Province_RDC],"Non Trouvée")</f>
        <v>Nord-Kivu</v>
      </c>
      <c r="G222" t="str">
        <f>_xlfn.XLOOKUP(Logs_Reseau6[[#This Row],[Province]],Clients_Churn[Province_Client],Clients_Churn[ID_Client],"Aucun")</f>
        <v>CLI-00043</v>
      </c>
      <c r="H222" t="str">
        <f>_xlfn.XLOOKUP(Logs_Reseau6[[#This Row],[Cell_ID]],Registre[ID_Antenne],Registre[Technologie],"Rien à signaler")</f>
        <v>5G</v>
      </c>
      <c r="I222" t="str">
        <f>_xlfn.XLOOKUP(Logs_Reseau6[[#This Row],[Cell_ID]],Registre[ID_Antenne],Registre[Equipementier],"Non Trouvée")</f>
        <v>Huawei</v>
      </c>
      <c r="J222" t="str">
        <f>_xlfn.XLOOKUP(Logs_Reseau6[[#This Row],[Id_Client]],Clients_Churn[ID_Client],Clients_Churn[Type_Forfait],"Pas d'information")</f>
        <v>Pro Monde</v>
      </c>
      <c r="K222" s="5" t="str">
        <f>IF(Logs_Reseau6[[#This Row],[Type_Forfait]]="Pro Monde","B2B","B2C")</f>
        <v>B2B</v>
      </c>
      <c r="L222" s="5">
        <f>_xlfn.XLOOKUP(Logs_Reseau6[[#This Row],[Id_Client]],Clients_Churn[ID_Client],Clients_Churn[Duree_Cumulee_Panne_Min],"Non Trouvée")</f>
        <v>132</v>
      </c>
      <c r="M222" s="5">
        <f>_xlfn.XLOOKUP(Logs_Reseau6[[#This Row],[Id_Client]],Clients_Churn[ID_Client],Clients_Churn[Anciennete_Mois],"Rien à signaler")</f>
        <v>118</v>
      </c>
      <c r="N222" s="11">
        <f>Logs_Reseau6[[#This Row],[Anciennette]]/24</f>
        <v>4.916666666666667</v>
      </c>
      <c r="O222" s="1">
        <f>Logs_Reseau6[[#This Row],[Duree_Cumulée_Panne]]/1440</f>
        <v>9.166666666666666E-2</v>
      </c>
      <c r="P22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23" spans="1:16" x14ac:dyDescent="0.25">
      <c r="A223" s="2">
        <v>45222</v>
      </c>
      <c r="B223" s="1">
        <v>0.47916666666666669</v>
      </c>
      <c r="C223" t="s">
        <v>880</v>
      </c>
      <c r="D223">
        <v>112</v>
      </c>
      <c r="E223" t="s">
        <v>1303</v>
      </c>
      <c r="F223" t="str">
        <f>_xlfn.XLOOKUP(Logs_Reseau6[[#This Row],[Cell_ID]],Registre[ID_Antenne],Registre[Province_RDC],"Non Trouvée")</f>
        <v>Haut-Uele</v>
      </c>
      <c r="G223" t="str">
        <f>_xlfn.XLOOKUP(Logs_Reseau6[[#This Row],[Province]],Clients_Churn[Province_Client],Clients_Churn[ID_Client],"Aucun")</f>
        <v>CLI-00055</v>
      </c>
      <c r="H223" t="str">
        <f>_xlfn.XLOOKUP(Logs_Reseau6[[#This Row],[Cell_ID]],Registre[ID_Antenne],Registre[Technologie],"Rien à signaler")</f>
        <v>5G</v>
      </c>
      <c r="I223" t="str">
        <f>_xlfn.XLOOKUP(Logs_Reseau6[[#This Row],[Cell_ID]],Registre[ID_Antenne],Registre[Equipementier],"Non Trouvée")</f>
        <v>Nokia</v>
      </c>
      <c r="J223" t="str">
        <f>_xlfn.XLOOKUP(Logs_Reseau6[[#This Row],[Id_Client]],Clients_Churn[ID_Client],Clients_Churn[Type_Forfait],"Pas d'information")</f>
        <v>Pro Monde</v>
      </c>
      <c r="K223" s="5" t="str">
        <f>IF(Logs_Reseau6[[#This Row],[Type_Forfait]]="Pro Monde","B2B","B2C")</f>
        <v>B2B</v>
      </c>
      <c r="L223" s="5">
        <f>_xlfn.XLOOKUP(Logs_Reseau6[[#This Row],[Id_Client]],Clients_Churn[ID_Client],Clients_Churn[Duree_Cumulee_Panne_Min],"Non Trouvée")</f>
        <v>206</v>
      </c>
      <c r="M223" s="5">
        <f>_xlfn.XLOOKUP(Logs_Reseau6[[#This Row],[Id_Client]],Clients_Churn[ID_Client],Clients_Churn[Anciennete_Mois],"Rien à signaler")</f>
        <v>6</v>
      </c>
      <c r="N223" s="11">
        <f>Logs_Reseau6[[#This Row],[Anciennette]]/24</f>
        <v>0.25</v>
      </c>
      <c r="O223" s="1">
        <f>Logs_Reseau6[[#This Row],[Duree_Cumulée_Panne]]/1440</f>
        <v>0.14305555555555555</v>
      </c>
      <c r="P22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24" spans="1:16" x14ac:dyDescent="0.25">
      <c r="A224" s="2">
        <v>45211</v>
      </c>
      <c r="B224" s="1">
        <v>0.58750000000000002</v>
      </c>
      <c r="C224" t="s">
        <v>1234</v>
      </c>
      <c r="D224">
        <v>27</v>
      </c>
      <c r="E224" t="s">
        <v>1305</v>
      </c>
      <c r="F224" t="str">
        <f>_xlfn.XLOOKUP(Logs_Reseau6[[#This Row],[Cell_ID]],Registre[ID_Antenne],Registre[Province_RDC],"Non Trouvée")</f>
        <v>Equateur</v>
      </c>
      <c r="G224" t="str">
        <f>_xlfn.XLOOKUP(Logs_Reseau6[[#This Row],[Province]],Clients_Churn[Province_Client],Clients_Churn[ID_Client],"Aucun")</f>
        <v>CLI-00091</v>
      </c>
      <c r="H224" t="str">
        <f>_xlfn.XLOOKUP(Logs_Reseau6[[#This Row],[Cell_ID]],Registre[ID_Antenne],Registre[Technologie],"Rien à signaler")</f>
        <v>3G</v>
      </c>
      <c r="I224" t="str">
        <f>_xlfn.XLOOKUP(Logs_Reseau6[[#This Row],[Cell_ID]],Registre[ID_Antenne],Registre[Equipementier],"Non Trouvée")</f>
        <v>Ericsson</v>
      </c>
      <c r="J224" t="str">
        <f>_xlfn.XLOOKUP(Logs_Reseau6[[#This Row],[Id_Client]],Clients_Churn[ID_Client],Clients_Churn[Type_Forfait],"Pas d'information")</f>
        <v>Bloqué 5Go</v>
      </c>
      <c r="K224" s="5" t="str">
        <f>IF(Logs_Reseau6[[#This Row],[Type_Forfait]]="Pro Monde","B2B","B2C")</f>
        <v>B2C</v>
      </c>
      <c r="L224" s="5">
        <f>_xlfn.XLOOKUP(Logs_Reseau6[[#This Row],[Id_Client]],Clients_Churn[ID_Client],Clients_Churn[Duree_Cumulee_Panne_Min],"Non Trouvée")</f>
        <v>435</v>
      </c>
      <c r="M224" s="5">
        <f>_xlfn.XLOOKUP(Logs_Reseau6[[#This Row],[Id_Client]],Clients_Churn[ID_Client],Clients_Churn[Anciennete_Mois],"Rien à signaler")</f>
        <v>50</v>
      </c>
      <c r="N224" s="11">
        <f>Logs_Reseau6[[#This Row],[Anciennette]]/24</f>
        <v>2.0833333333333335</v>
      </c>
      <c r="O224" s="1">
        <f>Logs_Reseau6[[#This Row],[Duree_Cumulée_Panne]]/1440</f>
        <v>0.30208333333333331</v>
      </c>
      <c r="P22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25" spans="1:16" hidden="1" x14ac:dyDescent="0.25">
      <c r="A225" s="2">
        <v>45224</v>
      </c>
      <c r="B225" s="1">
        <v>0.67152777777777772</v>
      </c>
      <c r="C225" t="s">
        <v>1370</v>
      </c>
      <c r="D225">
        <v>14</v>
      </c>
      <c r="E225" t="s">
        <v>1305</v>
      </c>
      <c r="F225" t="str">
        <f>_xlfn.XLOOKUP(Logs_Reseau6[[#This Row],[Cell_ID]],Registre[ID_Antenne],Registre[Province_RDC],"Non Trouvée")</f>
        <v>Non Trouvée</v>
      </c>
      <c r="G225" t="str">
        <f>_xlfn.XLOOKUP(Logs_Reseau6[[#This Row],[Province]],Clients_Churn[Province_Client],Clients_Churn[ID_Client],"Aucun")</f>
        <v>Aucun</v>
      </c>
      <c r="H225" t="str">
        <f>_xlfn.XLOOKUP(Logs_Reseau6[[#This Row],[Cell_ID]],Registre[ID_Antenne],Registre[Technologie],"Rien à signaler")</f>
        <v>Rien à signaler</v>
      </c>
      <c r="I225" t="str">
        <f>_xlfn.XLOOKUP(Logs_Reseau6[[#This Row],[Cell_ID]],Registre[ID_Antenne],Registre[Equipementier],"Non Trouvée")</f>
        <v>Non Trouvée</v>
      </c>
      <c r="J225" t="str">
        <f>_xlfn.XLOOKUP(Logs_Reseau6[[#This Row],[Id_Client]],Clients_Churn[ID_Client],Clients_Churn[Type_Forfait],"Pas d'information")</f>
        <v>Pas d'information</v>
      </c>
      <c r="K225" s="5" t="str">
        <f>IF(Logs_Reseau6[[#This Row],[Type_Forfait]]="Pro Monde","B2B","B2C")</f>
        <v>B2C</v>
      </c>
      <c r="L225" s="5" t="str">
        <f>_xlfn.XLOOKUP(Logs_Reseau6[[#This Row],[Id_Client]],Clients_Churn[ID_Client],Clients_Churn[Duree_Cumulee_Panne_Min],"Non Trouvée")</f>
        <v>Non Trouvée</v>
      </c>
      <c r="M225" s="5" t="str">
        <f>_xlfn.XLOOKUP(Logs_Reseau6[[#This Row],[Id_Client]],Clients_Churn[ID_Client],Clients_Churn[Anciennete_Mois],"Rien à signaler")</f>
        <v>Rien à signaler</v>
      </c>
      <c r="N225" s="5" t="e">
        <f>Logs_Reseau6[[#This Row],[Anciennette]]/24</f>
        <v>#VALUE!</v>
      </c>
      <c r="O225" s="5" t="e">
        <f>Logs_Reseau6[[#This Row],[Duree_Cumulée_Panne]]/1440</f>
        <v>#VALUE!</v>
      </c>
      <c r="P22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26" spans="1:16" hidden="1" x14ac:dyDescent="0.25">
      <c r="A226" s="2">
        <v>45229</v>
      </c>
      <c r="B226" s="1">
        <v>0.4</v>
      </c>
      <c r="C226" t="s">
        <v>1370</v>
      </c>
      <c r="D226">
        <v>77</v>
      </c>
      <c r="E226" t="s">
        <v>1300</v>
      </c>
      <c r="F226" t="str">
        <f>_xlfn.XLOOKUP(Logs_Reseau6[[#This Row],[Cell_ID]],Registre[ID_Antenne],Registre[Province_RDC],"Non Trouvée")</f>
        <v>Non Trouvée</v>
      </c>
      <c r="G226" t="str">
        <f>_xlfn.XLOOKUP(Logs_Reseau6[[#This Row],[Province]],Clients_Churn[Province_Client],Clients_Churn[ID_Client],"Aucun")</f>
        <v>Aucun</v>
      </c>
      <c r="H226" t="str">
        <f>_xlfn.XLOOKUP(Logs_Reseau6[[#This Row],[Cell_ID]],Registre[ID_Antenne],Registre[Technologie],"Rien à signaler")</f>
        <v>Rien à signaler</v>
      </c>
      <c r="I226" t="str">
        <f>_xlfn.XLOOKUP(Logs_Reseau6[[#This Row],[Cell_ID]],Registre[ID_Antenne],Registre[Equipementier],"Non Trouvée")</f>
        <v>Non Trouvée</v>
      </c>
      <c r="J226" t="str">
        <f>_xlfn.XLOOKUP(Logs_Reseau6[[#This Row],[Id_Client]],Clients_Churn[ID_Client],Clients_Churn[Type_Forfait],"Pas d'information")</f>
        <v>Pas d'information</v>
      </c>
      <c r="K226" s="5" t="str">
        <f>IF(Logs_Reseau6[[#This Row],[Type_Forfait]]="Pro Monde","B2B","B2C")</f>
        <v>B2C</v>
      </c>
      <c r="L226" s="5" t="str">
        <f>_xlfn.XLOOKUP(Logs_Reseau6[[#This Row],[Id_Client]],Clients_Churn[ID_Client],Clients_Churn[Duree_Cumulee_Panne_Min],"Non Trouvée")</f>
        <v>Non Trouvée</v>
      </c>
      <c r="M226" s="5" t="str">
        <f>_xlfn.XLOOKUP(Logs_Reseau6[[#This Row],[Id_Client]],Clients_Churn[ID_Client],Clients_Churn[Anciennete_Mois],"Rien à signaler")</f>
        <v>Rien à signaler</v>
      </c>
      <c r="N226" s="5" t="e">
        <f>Logs_Reseau6[[#This Row],[Anciennette]]/24</f>
        <v>#VALUE!</v>
      </c>
      <c r="O226" s="5" t="e">
        <f>Logs_Reseau6[[#This Row],[Duree_Cumulée_Panne]]/1440</f>
        <v>#VALUE!</v>
      </c>
      <c r="P22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27" spans="1:16" x14ac:dyDescent="0.25">
      <c r="A227" s="2">
        <v>45203</v>
      </c>
      <c r="B227" s="1">
        <v>0.59652777777777777</v>
      </c>
      <c r="C227" t="s">
        <v>841</v>
      </c>
      <c r="D227">
        <v>13</v>
      </c>
      <c r="E227" t="s">
        <v>1303</v>
      </c>
      <c r="F227" t="str">
        <f>_xlfn.XLOOKUP(Logs_Reseau6[[#This Row],[Cell_ID]],Registre[ID_Antenne],Registre[Province_RDC],"Non Trouvée")</f>
        <v>Tshuapa</v>
      </c>
      <c r="G227" t="str">
        <f>_xlfn.XLOOKUP(Logs_Reseau6[[#This Row],[Province]],Clients_Churn[Province_Client],Clients_Churn[ID_Client],"Aucun")</f>
        <v>CLI-00033</v>
      </c>
      <c r="H227" t="str">
        <f>_xlfn.XLOOKUP(Logs_Reseau6[[#This Row],[Cell_ID]],Registre[ID_Antenne],Registre[Technologie],"Rien à signaler")</f>
        <v>4G</v>
      </c>
      <c r="I227" t="str">
        <f>_xlfn.XLOOKUP(Logs_Reseau6[[#This Row],[Cell_ID]],Registre[ID_Antenne],Registre[Equipementier],"Non Trouvée")</f>
        <v>Huawei</v>
      </c>
      <c r="J227" t="str">
        <f>_xlfn.XLOOKUP(Logs_Reseau6[[#This Row],[Id_Client]],Clients_Churn[ID_Client],Clients_Churn[Type_Forfait],"Pas d'information")</f>
        <v>Premium 5G 150Go</v>
      </c>
      <c r="K227" s="5" t="str">
        <f>IF(Logs_Reseau6[[#This Row],[Type_Forfait]]="Pro Monde","B2B","B2C")</f>
        <v>B2C</v>
      </c>
      <c r="L227" s="5">
        <f>_xlfn.XLOOKUP(Logs_Reseau6[[#This Row],[Id_Client]],Clients_Churn[ID_Client],Clients_Churn[Duree_Cumulee_Panne_Min],"Non Trouvée")</f>
        <v>201</v>
      </c>
      <c r="M227" s="5">
        <f>_xlfn.XLOOKUP(Logs_Reseau6[[#This Row],[Id_Client]],Clients_Churn[ID_Client],Clients_Churn[Anciennete_Mois],"Rien à signaler")</f>
        <v>2</v>
      </c>
      <c r="N227" s="11">
        <f>Logs_Reseau6[[#This Row],[Anciennette]]/24</f>
        <v>8.3333333333333329E-2</v>
      </c>
      <c r="O227" s="1">
        <f>Logs_Reseau6[[#This Row],[Duree_Cumulée_Panne]]/1440</f>
        <v>0.13958333333333334</v>
      </c>
      <c r="P22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28" spans="1:16" x14ac:dyDescent="0.25">
      <c r="A228" s="2">
        <v>45230</v>
      </c>
      <c r="B228" s="1">
        <v>0.91319444444444442</v>
      </c>
      <c r="C228" t="s">
        <v>841</v>
      </c>
      <c r="D228">
        <v>62</v>
      </c>
      <c r="E228" t="s">
        <v>1300</v>
      </c>
      <c r="F228" t="str">
        <f>_xlfn.XLOOKUP(Logs_Reseau6[[#This Row],[Cell_ID]],Registre[ID_Antenne],Registre[Province_RDC],"Non Trouvée")</f>
        <v>Tshuapa</v>
      </c>
      <c r="G228" t="str">
        <f>_xlfn.XLOOKUP(Logs_Reseau6[[#This Row],[Province]],Clients_Churn[Province_Client],Clients_Churn[ID_Client],"Aucun")</f>
        <v>CLI-00033</v>
      </c>
      <c r="H228" t="str">
        <f>_xlfn.XLOOKUP(Logs_Reseau6[[#This Row],[Cell_ID]],Registre[ID_Antenne],Registre[Technologie],"Rien à signaler")</f>
        <v>4G</v>
      </c>
      <c r="I228" t="str">
        <f>_xlfn.XLOOKUP(Logs_Reseau6[[#This Row],[Cell_ID]],Registre[ID_Antenne],Registre[Equipementier],"Non Trouvée")</f>
        <v>Huawei</v>
      </c>
      <c r="J228" t="str">
        <f>_xlfn.XLOOKUP(Logs_Reseau6[[#This Row],[Id_Client]],Clients_Churn[ID_Client],Clients_Churn[Type_Forfait],"Pas d'information")</f>
        <v>Premium 5G 150Go</v>
      </c>
      <c r="K228" s="5" t="str">
        <f>IF(Logs_Reseau6[[#This Row],[Type_Forfait]]="Pro Monde","B2B","B2C")</f>
        <v>B2C</v>
      </c>
      <c r="L228" s="5">
        <f>_xlfn.XLOOKUP(Logs_Reseau6[[#This Row],[Id_Client]],Clients_Churn[ID_Client],Clients_Churn[Duree_Cumulee_Panne_Min],"Non Trouvée")</f>
        <v>201</v>
      </c>
      <c r="M228" s="5">
        <f>_xlfn.XLOOKUP(Logs_Reseau6[[#This Row],[Id_Client]],Clients_Churn[ID_Client],Clients_Churn[Anciennete_Mois],"Rien à signaler")</f>
        <v>2</v>
      </c>
      <c r="N228" s="11">
        <f>Logs_Reseau6[[#This Row],[Anciennette]]/24</f>
        <v>8.3333333333333329E-2</v>
      </c>
      <c r="O228" s="1">
        <f>Logs_Reseau6[[#This Row],[Duree_Cumulée_Panne]]/1440</f>
        <v>0.13958333333333334</v>
      </c>
      <c r="P22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29" spans="1:16" hidden="1" x14ac:dyDescent="0.25">
      <c r="A229" s="2">
        <v>45212</v>
      </c>
      <c r="B229" s="1">
        <v>0.61736111111111114</v>
      </c>
      <c r="C229" t="s">
        <v>1529</v>
      </c>
      <c r="D229">
        <v>28</v>
      </c>
      <c r="E229" t="s">
        <v>1300</v>
      </c>
      <c r="F229" t="str">
        <f>_xlfn.XLOOKUP(Logs_Reseau6[[#This Row],[Cell_ID]],Registre[ID_Antenne],Registre[Province_RDC],"Non Trouvée")</f>
        <v>Non Trouvée</v>
      </c>
      <c r="G229" t="str">
        <f>_xlfn.XLOOKUP(Logs_Reseau6[[#This Row],[Province]],Clients_Churn[Province_Client],Clients_Churn[ID_Client],"Aucun")</f>
        <v>Aucun</v>
      </c>
      <c r="H229" t="str">
        <f>_xlfn.XLOOKUP(Logs_Reseau6[[#This Row],[Cell_ID]],Registre[ID_Antenne],Registre[Technologie],"Rien à signaler")</f>
        <v>Rien à signaler</v>
      </c>
      <c r="I229" t="str">
        <f>_xlfn.XLOOKUP(Logs_Reseau6[[#This Row],[Cell_ID]],Registre[ID_Antenne],Registre[Equipementier],"Non Trouvée")</f>
        <v>Non Trouvée</v>
      </c>
      <c r="J229" t="str">
        <f>_xlfn.XLOOKUP(Logs_Reseau6[[#This Row],[Id_Client]],Clients_Churn[ID_Client],Clients_Churn[Type_Forfait],"Pas d'information")</f>
        <v>Pas d'information</v>
      </c>
      <c r="K229" s="5" t="str">
        <f>IF(Logs_Reseau6[[#This Row],[Type_Forfait]]="Pro Monde","B2B","B2C")</f>
        <v>B2C</v>
      </c>
      <c r="L229" s="5" t="str">
        <f>_xlfn.XLOOKUP(Logs_Reseau6[[#This Row],[Id_Client]],Clients_Churn[ID_Client],Clients_Churn[Duree_Cumulee_Panne_Min],"Non Trouvée")</f>
        <v>Non Trouvée</v>
      </c>
      <c r="M229" s="5" t="str">
        <f>_xlfn.XLOOKUP(Logs_Reseau6[[#This Row],[Id_Client]],Clients_Churn[ID_Client],Clients_Churn[Anciennete_Mois],"Rien à signaler")</f>
        <v>Rien à signaler</v>
      </c>
      <c r="N229" s="5" t="e">
        <f>Logs_Reseau6[[#This Row],[Anciennette]]/24</f>
        <v>#VALUE!</v>
      </c>
      <c r="O229" s="5" t="e">
        <f>Logs_Reseau6[[#This Row],[Duree_Cumulée_Panne]]/1440</f>
        <v>#VALUE!</v>
      </c>
      <c r="P22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30" spans="1:16" x14ac:dyDescent="0.25">
      <c r="A230" s="2">
        <v>45204</v>
      </c>
      <c r="B230" s="1">
        <v>0.26458333333333334</v>
      </c>
      <c r="C230" t="s">
        <v>1200</v>
      </c>
      <c r="D230">
        <v>90</v>
      </c>
      <c r="E230" t="s">
        <v>1305</v>
      </c>
      <c r="F230" t="str">
        <f>_xlfn.XLOOKUP(Logs_Reseau6[[#This Row],[Cell_ID]],Registre[ID_Antenne],Registre[Province_RDC],"Non Trouvée")</f>
        <v>Lualaba</v>
      </c>
      <c r="G230" t="str">
        <f>_xlfn.XLOOKUP(Logs_Reseau6[[#This Row],[Province]],Clients_Churn[Province_Client],Clients_Churn[ID_Client],"Aucun")</f>
        <v>CLI-00334</v>
      </c>
      <c r="H230" t="str">
        <f>_xlfn.XLOOKUP(Logs_Reseau6[[#This Row],[Cell_ID]],Registre[ID_Antenne],Registre[Technologie],"Rien à signaler")</f>
        <v>4G</v>
      </c>
      <c r="I230" t="str">
        <f>_xlfn.XLOOKUP(Logs_Reseau6[[#This Row],[Cell_ID]],Registre[ID_Antenne],Registre[Equipementier],"Non Trouvée")</f>
        <v>Nokia</v>
      </c>
      <c r="J230" t="str">
        <f>_xlfn.XLOOKUP(Logs_Reseau6[[#This Row],[Id_Client]],Clients_Churn[ID_Client],Clients_Churn[Type_Forfait],"Pas d'information")</f>
        <v>Pro Monde</v>
      </c>
      <c r="K230" s="5" t="str">
        <f>IF(Logs_Reseau6[[#This Row],[Type_Forfait]]="Pro Monde","B2B","B2C")</f>
        <v>B2B</v>
      </c>
      <c r="L230" s="5">
        <f>_xlfn.XLOOKUP(Logs_Reseau6[[#This Row],[Id_Client]],Clients_Churn[ID_Client],Clients_Churn[Duree_Cumulee_Panne_Min],"Non Trouvée")</f>
        <v>214</v>
      </c>
      <c r="M230" s="5">
        <f>_xlfn.XLOOKUP(Logs_Reseau6[[#This Row],[Id_Client]],Clients_Churn[ID_Client],Clients_Churn[Anciennete_Mois],"Rien à signaler")</f>
        <v>16</v>
      </c>
      <c r="N230" s="11">
        <f>Logs_Reseau6[[#This Row],[Anciennette]]/24</f>
        <v>0.66666666666666663</v>
      </c>
      <c r="O230" s="1">
        <f>Logs_Reseau6[[#This Row],[Duree_Cumulée_Panne]]/1440</f>
        <v>0.14861111111111111</v>
      </c>
      <c r="P23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31" spans="1:16" x14ac:dyDescent="0.25">
      <c r="A231" s="2">
        <v>45228</v>
      </c>
      <c r="B231" s="1">
        <v>0.67222222222222228</v>
      </c>
      <c r="C231" t="s">
        <v>1200</v>
      </c>
      <c r="D231">
        <v>106</v>
      </c>
      <c r="E231" t="s">
        <v>1300</v>
      </c>
      <c r="F231" t="str">
        <f>_xlfn.XLOOKUP(Logs_Reseau6[[#This Row],[Cell_ID]],Registre[ID_Antenne],Registre[Province_RDC],"Non Trouvée")</f>
        <v>Lualaba</v>
      </c>
      <c r="G231" t="str">
        <f>_xlfn.XLOOKUP(Logs_Reseau6[[#This Row],[Province]],Clients_Churn[Province_Client],Clients_Churn[ID_Client],"Aucun")</f>
        <v>CLI-00334</v>
      </c>
      <c r="H231" t="str">
        <f>_xlfn.XLOOKUP(Logs_Reseau6[[#This Row],[Cell_ID]],Registre[ID_Antenne],Registre[Technologie],"Rien à signaler")</f>
        <v>4G</v>
      </c>
      <c r="I231" t="str">
        <f>_xlfn.XLOOKUP(Logs_Reseau6[[#This Row],[Cell_ID]],Registre[ID_Antenne],Registre[Equipementier],"Non Trouvée")</f>
        <v>Nokia</v>
      </c>
      <c r="J231" t="str">
        <f>_xlfn.XLOOKUP(Logs_Reseau6[[#This Row],[Id_Client]],Clients_Churn[ID_Client],Clients_Churn[Type_Forfait],"Pas d'information")</f>
        <v>Pro Monde</v>
      </c>
      <c r="K231" s="5" t="str">
        <f>IF(Logs_Reseau6[[#This Row],[Type_Forfait]]="Pro Monde","B2B","B2C")</f>
        <v>B2B</v>
      </c>
      <c r="L231" s="5">
        <f>_xlfn.XLOOKUP(Logs_Reseau6[[#This Row],[Id_Client]],Clients_Churn[ID_Client],Clients_Churn[Duree_Cumulee_Panne_Min],"Non Trouvée")</f>
        <v>214</v>
      </c>
      <c r="M231" s="5">
        <f>_xlfn.XLOOKUP(Logs_Reseau6[[#This Row],[Id_Client]],Clients_Churn[ID_Client],Clients_Churn[Anciennete_Mois],"Rien à signaler")</f>
        <v>16</v>
      </c>
      <c r="N231" s="11">
        <f>Logs_Reseau6[[#This Row],[Anciennette]]/24</f>
        <v>0.66666666666666663</v>
      </c>
      <c r="O231" s="1">
        <f>Logs_Reseau6[[#This Row],[Duree_Cumulée_Panne]]/1440</f>
        <v>0.14861111111111111</v>
      </c>
      <c r="P23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32" spans="1:16" hidden="1" x14ac:dyDescent="0.25">
      <c r="A232" s="2">
        <v>45207</v>
      </c>
      <c r="B232" s="1">
        <v>0.9194444444444444</v>
      </c>
      <c r="C232" t="s">
        <v>1583</v>
      </c>
      <c r="D232">
        <v>42</v>
      </c>
      <c r="E232" t="s">
        <v>1300</v>
      </c>
      <c r="F232" t="str">
        <f>_xlfn.XLOOKUP(Logs_Reseau6[[#This Row],[Cell_ID]],Registre[ID_Antenne],Registre[Province_RDC],"Non Trouvée")</f>
        <v>Non Trouvée</v>
      </c>
      <c r="G232" t="str">
        <f>_xlfn.XLOOKUP(Logs_Reseau6[[#This Row],[Province]],Clients_Churn[Province_Client],Clients_Churn[ID_Client],"Aucun")</f>
        <v>Aucun</v>
      </c>
      <c r="H232" t="str">
        <f>_xlfn.XLOOKUP(Logs_Reseau6[[#This Row],[Cell_ID]],Registre[ID_Antenne],Registre[Technologie],"Rien à signaler")</f>
        <v>Rien à signaler</v>
      </c>
      <c r="I232" t="str">
        <f>_xlfn.XLOOKUP(Logs_Reseau6[[#This Row],[Cell_ID]],Registre[ID_Antenne],Registre[Equipementier],"Non Trouvée")</f>
        <v>Non Trouvée</v>
      </c>
      <c r="J232" t="str">
        <f>_xlfn.XLOOKUP(Logs_Reseau6[[#This Row],[Id_Client]],Clients_Churn[ID_Client],Clients_Churn[Type_Forfait],"Pas d'information")</f>
        <v>Pas d'information</v>
      </c>
      <c r="K232" s="5" t="str">
        <f>IF(Logs_Reseau6[[#This Row],[Type_Forfait]]="Pro Monde","B2B","B2C")</f>
        <v>B2C</v>
      </c>
      <c r="L232" s="5" t="str">
        <f>_xlfn.XLOOKUP(Logs_Reseau6[[#This Row],[Id_Client]],Clients_Churn[ID_Client],Clients_Churn[Duree_Cumulee_Panne_Min],"Non Trouvée")</f>
        <v>Non Trouvée</v>
      </c>
      <c r="M232" s="5" t="str">
        <f>_xlfn.XLOOKUP(Logs_Reseau6[[#This Row],[Id_Client]],Clients_Churn[ID_Client],Clients_Churn[Anciennete_Mois],"Rien à signaler")</f>
        <v>Rien à signaler</v>
      </c>
      <c r="N232" s="5" t="e">
        <f>Logs_Reseau6[[#This Row],[Anciennette]]/24</f>
        <v>#VALUE!</v>
      </c>
      <c r="O232" s="5" t="e">
        <f>Logs_Reseau6[[#This Row],[Duree_Cumulée_Panne]]/1440</f>
        <v>#VALUE!</v>
      </c>
      <c r="P23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33" spans="1:16" x14ac:dyDescent="0.25">
      <c r="A233" s="2">
        <v>45214</v>
      </c>
      <c r="B233" s="1">
        <v>0.69791666666666663</v>
      </c>
      <c r="C233" t="s">
        <v>940</v>
      </c>
      <c r="D233">
        <v>98</v>
      </c>
      <c r="E233" t="s">
        <v>1305</v>
      </c>
      <c r="F233" t="str">
        <f>_xlfn.XLOOKUP(Logs_Reseau6[[#This Row],[Cell_ID]],Registre[ID_Antenne],Registre[Province_RDC],"Non Trouvée")</f>
        <v>Mai-Ndombe</v>
      </c>
      <c r="G233" t="str">
        <f>_xlfn.XLOOKUP(Logs_Reseau6[[#This Row],[Province]],Clients_Churn[Province_Client],Clients_Churn[ID_Client],"Aucun")</f>
        <v>CLI-00090</v>
      </c>
      <c r="H233" t="str">
        <f>_xlfn.XLOOKUP(Logs_Reseau6[[#This Row],[Cell_ID]],Registre[ID_Antenne],Registre[Technologie],"Rien à signaler")</f>
        <v>3G</v>
      </c>
      <c r="I233" t="str">
        <f>_xlfn.XLOOKUP(Logs_Reseau6[[#This Row],[Cell_ID]],Registre[ID_Antenne],Registre[Equipementier],"Non Trouvée")</f>
        <v>ZTE</v>
      </c>
      <c r="J233" t="str">
        <f>_xlfn.XLOOKUP(Logs_Reseau6[[#This Row],[Id_Client]],Clients_Churn[ID_Client],Clients_Churn[Type_Forfait],"Pas d'information")</f>
        <v>Bloqué 5Go</v>
      </c>
      <c r="K233" s="5" t="str">
        <f>IF(Logs_Reseau6[[#This Row],[Type_Forfait]]="Pro Monde","B2B","B2C")</f>
        <v>B2C</v>
      </c>
      <c r="L233" s="5">
        <f>_xlfn.XLOOKUP(Logs_Reseau6[[#This Row],[Id_Client]],Clients_Churn[ID_Client],Clients_Churn[Duree_Cumulee_Panne_Min],"Non Trouvée")</f>
        <v>400</v>
      </c>
      <c r="M233" s="5">
        <f>_xlfn.XLOOKUP(Logs_Reseau6[[#This Row],[Id_Client]],Clients_Churn[ID_Client],Clients_Churn[Anciennete_Mois],"Rien à signaler")</f>
        <v>15</v>
      </c>
      <c r="N233" s="11">
        <f>Logs_Reseau6[[#This Row],[Anciennette]]/24</f>
        <v>0.625</v>
      </c>
      <c r="O233" s="1">
        <f>Logs_Reseau6[[#This Row],[Duree_Cumulée_Panne]]/1440</f>
        <v>0.27777777777777779</v>
      </c>
      <c r="P23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34" spans="1:16" x14ac:dyDescent="0.25">
      <c r="A234" s="2">
        <v>45228</v>
      </c>
      <c r="B234" s="1">
        <v>0.15902777777777777</v>
      </c>
      <c r="C234" t="s">
        <v>883</v>
      </c>
      <c r="D234">
        <v>30</v>
      </c>
      <c r="E234" t="s">
        <v>1300</v>
      </c>
      <c r="F234" t="str">
        <f>_xlfn.XLOOKUP(Logs_Reseau6[[#This Row],[Cell_ID]],Registre[ID_Antenne],Registre[Province_RDC],"Non Trouvée")</f>
        <v>Kwilu</v>
      </c>
      <c r="G234" t="str">
        <f>_xlfn.XLOOKUP(Logs_Reseau6[[#This Row],[Province]],Clients_Churn[Province_Client],Clients_Churn[ID_Client],"Aucun")</f>
        <v>CLI-00009</v>
      </c>
      <c r="H234" t="str">
        <f>_xlfn.XLOOKUP(Logs_Reseau6[[#This Row],[Cell_ID]],Registre[ID_Antenne],Registre[Technologie],"Rien à signaler")</f>
        <v>5G</v>
      </c>
      <c r="I234" t="str">
        <f>_xlfn.XLOOKUP(Logs_Reseau6[[#This Row],[Cell_ID]],Registre[ID_Antenne],Registre[Equipementier],"Non Trouvée")</f>
        <v>Nokia</v>
      </c>
      <c r="J234" t="str">
        <f>_xlfn.XLOOKUP(Logs_Reseau6[[#This Row],[Id_Client]],Clients_Churn[ID_Client],Clients_Churn[Type_Forfait],"Pas d'information")</f>
        <v>Pro Monde</v>
      </c>
      <c r="K234" s="5" t="str">
        <f>IF(Logs_Reseau6[[#This Row],[Type_Forfait]]="Pro Monde","B2B","B2C")</f>
        <v>B2B</v>
      </c>
      <c r="L234" s="5">
        <f>_xlfn.XLOOKUP(Logs_Reseau6[[#This Row],[Id_Client]],Clients_Churn[ID_Client],Clients_Churn[Duree_Cumulee_Panne_Min],"Non Trouvée")</f>
        <v>297</v>
      </c>
      <c r="M234" s="5">
        <f>_xlfn.XLOOKUP(Logs_Reseau6[[#This Row],[Id_Client]],Clients_Churn[ID_Client],Clients_Churn[Anciennete_Mois],"Rien à signaler")</f>
        <v>105</v>
      </c>
      <c r="N234" s="11">
        <f>Logs_Reseau6[[#This Row],[Anciennette]]/24</f>
        <v>4.375</v>
      </c>
      <c r="O234" s="1">
        <f>Logs_Reseau6[[#This Row],[Duree_Cumulée_Panne]]/1440</f>
        <v>0.20624999999999999</v>
      </c>
      <c r="P23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35" spans="1:16" x14ac:dyDescent="0.25">
      <c r="A235" s="2">
        <v>45230</v>
      </c>
      <c r="B235" s="1">
        <v>0.40902777777777777</v>
      </c>
      <c r="C235" t="s">
        <v>883</v>
      </c>
      <c r="D235">
        <v>80</v>
      </c>
      <c r="E235" t="s">
        <v>1303</v>
      </c>
      <c r="F235" t="str">
        <f>_xlfn.XLOOKUP(Logs_Reseau6[[#This Row],[Cell_ID]],Registre[ID_Antenne],Registre[Province_RDC],"Non Trouvée")</f>
        <v>Kwilu</v>
      </c>
      <c r="G235" t="str">
        <f>_xlfn.XLOOKUP(Logs_Reseau6[[#This Row],[Province]],Clients_Churn[Province_Client],Clients_Churn[ID_Client],"Aucun")</f>
        <v>CLI-00009</v>
      </c>
      <c r="H235" t="str">
        <f>_xlfn.XLOOKUP(Logs_Reseau6[[#This Row],[Cell_ID]],Registre[ID_Antenne],Registre[Technologie],"Rien à signaler")</f>
        <v>5G</v>
      </c>
      <c r="I235" t="str">
        <f>_xlfn.XLOOKUP(Logs_Reseau6[[#This Row],[Cell_ID]],Registre[ID_Antenne],Registre[Equipementier],"Non Trouvée")</f>
        <v>Nokia</v>
      </c>
      <c r="J235" t="str">
        <f>_xlfn.XLOOKUP(Logs_Reseau6[[#This Row],[Id_Client]],Clients_Churn[ID_Client],Clients_Churn[Type_Forfait],"Pas d'information")</f>
        <v>Pro Monde</v>
      </c>
      <c r="K235" s="5" t="str">
        <f>IF(Logs_Reseau6[[#This Row],[Type_Forfait]]="Pro Monde","B2B","B2C")</f>
        <v>B2B</v>
      </c>
      <c r="L235" s="5">
        <f>_xlfn.XLOOKUP(Logs_Reseau6[[#This Row],[Id_Client]],Clients_Churn[ID_Client],Clients_Churn[Duree_Cumulee_Panne_Min],"Non Trouvée")</f>
        <v>297</v>
      </c>
      <c r="M235" s="5">
        <f>_xlfn.XLOOKUP(Logs_Reseau6[[#This Row],[Id_Client]],Clients_Churn[ID_Client],Clients_Churn[Anciennete_Mois],"Rien à signaler")</f>
        <v>105</v>
      </c>
      <c r="N235" s="11">
        <f>Logs_Reseau6[[#This Row],[Anciennette]]/24</f>
        <v>4.375</v>
      </c>
      <c r="O235" s="1">
        <f>Logs_Reseau6[[#This Row],[Duree_Cumulée_Panne]]/1440</f>
        <v>0.20624999999999999</v>
      </c>
      <c r="P23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36" spans="1:16" x14ac:dyDescent="0.25">
      <c r="A236" s="2">
        <v>45205</v>
      </c>
      <c r="B236" s="1">
        <v>0.52708333333333335</v>
      </c>
      <c r="C236" t="s">
        <v>1074</v>
      </c>
      <c r="D236">
        <v>40</v>
      </c>
      <c r="E236" t="s">
        <v>1305</v>
      </c>
      <c r="F236" t="str">
        <f>_xlfn.XLOOKUP(Logs_Reseau6[[#This Row],[Cell_ID]],Registre[ID_Antenne],Registre[Province_RDC],"Non Trouvée")</f>
        <v>Nord-Kivu</v>
      </c>
      <c r="G236" t="str">
        <f>_xlfn.XLOOKUP(Logs_Reseau6[[#This Row],[Province]],Clients_Churn[Province_Client],Clients_Churn[ID_Client],"Aucun")</f>
        <v>CLI-00043</v>
      </c>
      <c r="H236" t="str">
        <f>_xlfn.XLOOKUP(Logs_Reseau6[[#This Row],[Cell_ID]],Registre[ID_Antenne],Registre[Technologie],"Rien à signaler")</f>
        <v>5G</v>
      </c>
      <c r="I236" t="str">
        <f>_xlfn.XLOOKUP(Logs_Reseau6[[#This Row],[Cell_ID]],Registre[ID_Antenne],Registre[Equipementier],"Non Trouvée")</f>
        <v>Ericsson</v>
      </c>
      <c r="J236" t="str">
        <f>_xlfn.XLOOKUP(Logs_Reseau6[[#This Row],[Id_Client]],Clients_Churn[ID_Client],Clients_Churn[Type_Forfait],"Pas d'information")</f>
        <v>Pro Monde</v>
      </c>
      <c r="K236" s="5" t="str">
        <f>IF(Logs_Reseau6[[#This Row],[Type_Forfait]]="Pro Monde","B2B","B2C")</f>
        <v>B2B</v>
      </c>
      <c r="L236" s="5">
        <f>_xlfn.XLOOKUP(Logs_Reseau6[[#This Row],[Id_Client]],Clients_Churn[ID_Client],Clients_Churn[Duree_Cumulee_Panne_Min],"Non Trouvée")</f>
        <v>132</v>
      </c>
      <c r="M236" s="5">
        <f>_xlfn.XLOOKUP(Logs_Reseau6[[#This Row],[Id_Client]],Clients_Churn[ID_Client],Clients_Churn[Anciennete_Mois],"Rien à signaler")</f>
        <v>118</v>
      </c>
      <c r="N236" s="11">
        <f>Logs_Reseau6[[#This Row],[Anciennette]]/24</f>
        <v>4.916666666666667</v>
      </c>
      <c r="O236" s="1">
        <f>Logs_Reseau6[[#This Row],[Duree_Cumulée_Panne]]/1440</f>
        <v>9.166666666666666E-2</v>
      </c>
      <c r="P23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37" spans="1:16" x14ac:dyDescent="0.25">
      <c r="A237" s="2">
        <v>45220</v>
      </c>
      <c r="B237" s="1">
        <v>0.74305555555555558</v>
      </c>
      <c r="C237" t="s">
        <v>1074</v>
      </c>
      <c r="D237">
        <v>54</v>
      </c>
      <c r="E237" t="s">
        <v>1303</v>
      </c>
      <c r="F237" t="str">
        <f>_xlfn.XLOOKUP(Logs_Reseau6[[#This Row],[Cell_ID]],Registre[ID_Antenne],Registre[Province_RDC],"Non Trouvée")</f>
        <v>Nord-Kivu</v>
      </c>
      <c r="G237" t="str">
        <f>_xlfn.XLOOKUP(Logs_Reseau6[[#This Row],[Province]],Clients_Churn[Province_Client],Clients_Churn[ID_Client],"Aucun")</f>
        <v>CLI-00043</v>
      </c>
      <c r="H237" t="str">
        <f>_xlfn.XLOOKUP(Logs_Reseau6[[#This Row],[Cell_ID]],Registre[ID_Antenne],Registre[Technologie],"Rien à signaler")</f>
        <v>5G</v>
      </c>
      <c r="I237" t="str">
        <f>_xlfn.XLOOKUP(Logs_Reseau6[[#This Row],[Cell_ID]],Registre[ID_Antenne],Registre[Equipementier],"Non Trouvée")</f>
        <v>Ericsson</v>
      </c>
      <c r="J237" t="str">
        <f>_xlfn.XLOOKUP(Logs_Reseau6[[#This Row],[Id_Client]],Clients_Churn[ID_Client],Clients_Churn[Type_Forfait],"Pas d'information")</f>
        <v>Pro Monde</v>
      </c>
      <c r="K237" s="5" t="str">
        <f>IF(Logs_Reseau6[[#This Row],[Type_Forfait]]="Pro Monde","B2B","B2C")</f>
        <v>B2B</v>
      </c>
      <c r="L237" s="5">
        <f>_xlfn.XLOOKUP(Logs_Reseau6[[#This Row],[Id_Client]],Clients_Churn[ID_Client],Clients_Churn[Duree_Cumulee_Panne_Min],"Non Trouvée")</f>
        <v>132</v>
      </c>
      <c r="M237" s="5">
        <f>_xlfn.XLOOKUP(Logs_Reseau6[[#This Row],[Id_Client]],Clients_Churn[ID_Client],Clients_Churn[Anciennete_Mois],"Rien à signaler")</f>
        <v>118</v>
      </c>
      <c r="N237" s="11">
        <f>Logs_Reseau6[[#This Row],[Anciennette]]/24</f>
        <v>4.916666666666667</v>
      </c>
      <c r="O237" s="1">
        <f>Logs_Reseau6[[#This Row],[Duree_Cumulée_Panne]]/1440</f>
        <v>9.166666666666666E-2</v>
      </c>
      <c r="P23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38" spans="1:16" x14ac:dyDescent="0.25">
      <c r="A238" s="2">
        <v>45212</v>
      </c>
      <c r="B238" s="1">
        <v>0.72083333333333333</v>
      </c>
      <c r="C238" t="s">
        <v>1259</v>
      </c>
      <c r="D238">
        <v>33</v>
      </c>
      <c r="E238" t="s">
        <v>1305</v>
      </c>
      <c r="F238" t="str">
        <f>_xlfn.XLOOKUP(Logs_Reseau6[[#This Row],[Cell_ID]],Registre[ID_Antenne],Registre[Province_RDC],"Non Trouvée")</f>
        <v>Tshuapa</v>
      </c>
      <c r="G238" t="str">
        <f>_xlfn.XLOOKUP(Logs_Reseau6[[#This Row],[Province]],Clients_Churn[Province_Client],Clients_Churn[ID_Client],"Aucun")</f>
        <v>CLI-00033</v>
      </c>
      <c r="H238" t="str">
        <f>_xlfn.XLOOKUP(Logs_Reseau6[[#This Row],[Cell_ID]],Registre[ID_Antenne],Registre[Technologie],"Rien à signaler")</f>
        <v>5G</v>
      </c>
      <c r="I238" t="str">
        <f>_xlfn.XLOOKUP(Logs_Reseau6[[#This Row],[Cell_ID]],Registre[ID_Antenne],Registre[Equipementier],"Non Trouvée")</f>
        <v>Ericsson</v>
      </c>
      <c r="J238" t="str">
        <f>_xlfn.XLOOKUP(Logs_Reseau6[[#This Row],[Id_Client]],Clients_Churn[ID_Client],Clients_Churn[Type_Forfait],"Pas d'information")</f>
        <v>Premium 5G 150Go</v>
      </c>
      <c r="K238" s="5" t="str">
        <f>IF(Logs_Reseau6[[#This Row],[Type_Forfait]]="Pro Monde","B2B","B2C")</f>
        <v>B2C</v>
      </c>
      <c r="L238" s="5">
        <f>_xlfn.XLOOKUP(Logs_Reseau6[[#This Row],[Id_Client]],Clients_Churn[ID_Client],Clients_Churn[Duree_Cumulee_Panne_Min],"Non Trouvée")</f>
        <v>201</v>
      </c>
      <c r="M238" s="5">
        <f>_xlfn.XLOOKUP(Logs_Reseau6[[#This Row],[Id_Client]],Clients_Churn[ID_Client],Clients_Churn[Anciennete_Mois],"Rien à signaler")</f>
        <v>2</v>
      </c>
      <c r="N238" s="11">
        <f>Logs_Reseau6[[#This Row],[Anciennette]]/24</f>
        <v>8.3333333333333329E-2</v>
      </c>
      <c r="O238" s="1">
        <f>Logs_Reseau6[[#This Row],[Duree_Cumulée_Panne]]/1440</f>
        <v>0.13958333333333334</v>
      </c>
      <c r="P23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39" spans="1:16" hidden="1" x14ac:dyDescent="0.25">
      <c r="A239" s="2">
        <v>45211</v>
      </c>
      <c r="B239" s="1">
        <v>7.9861111111111105E-2</v>
      </c>
      <c r="C239" t="s">
        <v>1461</v>
      </c>
      <c r="D239">
        <v>59</v>
      </c>
      <c r="E239" t="s">
        <v>1303</v>
      </c>
      <c r="F239" t="str">
        <f>_xlfn.XLOOKUP(Logs_Reseau6[[#This Row],[Cell_ID]],Registre[ID_Antenne],Registre[Province_RDC],"Non Trouvée")</f>
        <v>Non Trouvée</v>
      </c>
      <c r="G239" t="str">
        <f>_xlfn.XLOOKUP(Logs_Reseau6[[#This Row],[Province]],Clients_Churn[Province_Client],Clients_Churn[ID_Client],"Aucun")</f>
        <v>Aucun</v>
      </c>
      <c r="H239" t="str">
        <f>_xlfn.XLOOKUP(Logs_Reseau6[[#This Row],[Cell_ID]],Registre[ID_Antenne],Registre[Technologie],"Rien à signaler")</f>
        <v>Rien à signaler</v>
      </c>
      <c r="I239" t="str">
        <f>_xlfn.XLOOKUP(Logs_Reseau6[[#This Row],[Cell_ID]],Registre[ID_Antenne],Registre[Equipementier],"Non Trouvée")</f>
        <v>Non Trouvée</v>
      </c>
      <c r="J239" t="str">
        <f>_xlfn.XLOOKUP(Logs_Reseau6[[#This Row],[Id_Client]],Clients_Churn[ID_Client],Clients_Churn[Type_Forfait],"Pas d'information")</f>
        <v>Pas d'information</v>
      </c>
      <c r="K239" s="5" t="str">
        <f>IF(Logs_Reseau6[[#This Row],[Type_Forfait]]="Pro Monde","B2B","B2C")</f>
        <v>B2C</v>
      </c>
      <c r="L239" s="5" t="str">
        <f>_xlfn.XLOOKUP(Logs_Reseau6[[#This Row],[Id_Client]],Clients_Churn[ID_Client],Clients_Churn[Duree_Cumulee_Panne_Min],"Non Trouvée")</f>
        <v>Non Trouvée</v>
      </c>
      <c r="M239" s="5" t="str">
        <f>_xlfn.XLOOKUP(Logs_Reseau6[[#This Row],[Id_Client]],Clients_Churn[ID_Client],Clients_Churn[Anciennete_Mois],"Rien à signaler")</f>
        <v>Rien à signaler</v>
      </c>
      <c r="N239" s="5" t="e">
        <f>Logs_Reseau6[[#This Row],[Anciennette]]/24</f>
        <v>#VALUE!</v>
      </c>
      <c r="O239" s="5" t="e">
        <f>Logs_Reseau6[[#This Row],[Duree_Cumulée_Panne]]/1440</f>
        <v>#VALUE!</v>
      </c>
      <c r="P23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0" spans="1:16" hidden="1" x14ac:dyDescent="0.25">
      <c r="A240" s="2">
        <v>45212</v>
      </c>
      <c r="B240" s="1">
        <v>0.24027777777777778</v>
      </c>
      <c r="C240" t="s">
        <v>1461</v>
      </c>
      <c r="D240">
        <v>54</v>
      </c>
      <c r="E240" t="s">
        <v>1303</v>
      </c>
      <c r="F240" t="str">
        <f>_xlfn.XLOOKUP(Logs_Reseau6[[#This Row],[Cell_ID]],Registre[ID_Antenne],Registre[Province_RDC],"Non Trouvée")</f>
        <v>Non Trouvée</v>
      </c>
      <c r="G240" t="str">
        <f>_xlfn.XLOOKUP(Logs_Reseau6[[#This Row],[Province]],Clients_Churn[Province_Client],Clients_Churn[ID_Client],"Aucun")</f>
        <v>Aucun</v>
      </c>
      <c r="H240" t="str">
        <f>_xlfn.XLOOKUP(Logs_Reseau6[[#This Row],[Cell_ID]],Registre[ID_Antenne],Registre[Technologie],"Rien à signaler")</f>
        <v>Rien à signaler</v>
      </c>
      <c r="I240" t="str">
        <f>_xlfn.XLOOKUP(Logs_Reseau6[[#This Row],[Cell_ID]],Registre[ID_Antenne],Registre[Equipementier],"Non Trouvée")</f>
        <v>Non Trouvée</v>
      </c>
      <c r="J240" t="str">
        <f>_xlfn.XLOOKUP(Logs_Reseau6[[#This Row],[Id_Client]],Clients_Churn[ID_Client],Clients_Churn[Type_Forfait],"Pas d'information")</f>
        <v>Pas d'information</v>
      </c>
      <c r="K240" s="5" t="str">
        <f>IF(Logs_Reseau6[[#This Row],[Type_Forfait]]="Pro Monde","B2B","B2C")</f>
        <v>B2C</v>
      </c>
      <c r="L240" s="5" t="str">
        <f>_xlfn.XLOOKUP(Logs_Reseau6[[#This Row],[Id_Client]],Clients_Churn[ID_Client],Clients_Churn[Duree_Cumulee_Panne_Min],"Non Trouvée")</f>
        <v>Non Trouvée</v>
      </c>
      <c r="M240" s="5" t="str">
        <f>_xlfn.XLOOKUP(Logs_Reseau6[[#This Row],[Id_Client]],Clients_Churn[ID_Client],Clients_Churn[Anciennete_Mois],"Rien à signaler")</f>
        <v>Rien à signaler</v>
      </c>
      <c r="N240" s="5" t="e">
        <f>Logs_Reseau6[[#This Row],[Anciennette]]/24</f>
        <v>#VALUE!</v>
      </c>
      <c r="O240" s="5" t="e">
        <f>Logs_Reseau6[[#This Row],[Duree_Cumulée_Panne]]/1440</f>
        <v>#VALUE!</v>
      </c>
      <c r="P24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1" spans="1:16" hidden="1" x14ac:dyDescent="0.25">
      <c r="A241" s="2">
        <v>45209</v>
      </c>
      <c r="B241" s="1">
        <v>0.3888888888888889</v>
      </c>
      <c r="C241" t="s">
        <v>1567</v>
      </c>
      <c r="D241">
        <v>44</v>
      </c>
      <c r="E241" t="s">
        <v>1300</v>
      </c>
      <c r="F241" t="str">
        <f>_xlfn.XLOOKUP(Logs_Reseau6[[#This Row],[Cell_ID]],Registre[ID_Antenne],Registre[Province_RDC],"Non Trouvée")</f>
        <v>Non Trouvée</v>
      </c>
      <c r="G241" t="str">
        <f>_xlfn.XLOOKUP(Logs_Reseau6[[#This Row],[Province]],Clients_Churn[Province_Client],Clients_Churn[ID_Client],"Aucun")</f>
        <v>Aucun</v>
      </c>
      <c r="H241" t="str">
        <f>_xlfn.XLOOKUP(Logs_Reseau6[[#This Row],[Cell_ID]],Registre[ID_Antenne],Registre[Technologie],"Rien à signaler")</f>
        <v>Rien à signaler</v>
      </c>
      <c r="I241" t="str">
        <f>_xlfn.XLOOKUP(Logs_Reseau6[[#This Row],[Cell_ID]],Registre[ID_Antenne],Registre[Equipementier],"Non Trouvée")</f>
        <v>Non Trouvée</v>
      </c>
      <c r="J241" t="str">
        <f>_xlfn.XLOOKUP(Logs_Reseau6[[#This Row],[Id_Client]],Clients_Churn[ID_Client],Clients_Churn[Type_Forfait],"Pas d'information")</f>
        <v>Pas d'information</v>
      </c>
      <c r="K241" s="5" t="str">
        <f>IF(Logs_Reseau6[[#This Row],[Type_Forfait]]="Pro Monde","B2B","B2C")</f>
        <v>B2C</v>
      </c>
      <c r="L241" s="5" t="str">
        <f>_xlfn.XLOOKUP(Logs_Reseau6[[#This Row],[Id_Client]],Clients_Churn[ID_Client],Clients_Churn[Duree_Cumulee_Panne_Min],"Non Trouvée")</f>
        <v>Non Trouvée</v>
      </c>
      <c r="M241" s="5" t="str">
        <f>_xlfn.XLOOKUP(Logs_Reseau6[[#This Row],[Id_Client]],Clients_Churn[ID_Client],Clients_Churn[Anciennete_Mois],"Rien à signaler")</f>
        <v>Rien à signaler</v>
      </c>
      <c r="N241" s="5" t="e">
        <f>Logs_Reseau6[[#This Row],[Anciennette]]/24</f>
        <v>#VALUE!</v>
      </c>
      <c r="O241" s="5" t="e">
        <f>Logs_Reseau6[[#This Row],[Duree_Cumulée_Panne]]/1440</f>
        <v>#VALUE!</v>
      </c>
      <c r="P24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2" spans="1:16" hidden="1" x14ac:dyDescent="0.25">
      <c r="A242" s="2">
        <v>45207</v>
      </c>
      <c r="B242" s="1">
        <v>0.12430555555555556</v>
      </c>
      <c r="C242" t="s">
        <v>1552</v>
      </c>
      <c r="D242">
        <v>77</v>
      </c>
      <c r="E242" t="s">
        <v>1305</v>
      </c>
      <c r="F242" t="str">
        <f>_xlfn.XLOOKUP(Logs_Reseau6[[#This Row],[Cell_ID]],Registre[ID_Antenne],Registre[Province_RDC],"Non Trouvée")</f>
        <v>Non Trouvée</v>
      </c>
      <c r="G242" t="str">
        <f>_xlfn.XLOOKUP(Logs_Reseau6[[#This Row],[Province]],Clients_Churn[Province_Client],Clients_Churn[ID_Client],"Aucun")</f>
        <v>Aucun</v>
      </c>
      <c r="H242" t="str">
        <f>_xlfn.XLOOKUP(Logs_Reseau6[[#This Row],[Cell_ID]],Registre[ID_Antenne],Registre[Technologie],"Rien à signaler")</f>
        <v>Rien à signaler</v>
      </c>
      <c r="I242" t="str">
        <f>_xlfn.XLOOKUP(Logs_Reseau6[[#This Row],[Cell_ID]],Registre[ID_Antenne],Registre[Equipementier],"Non Trouvée")</f>
        <v>Non Trouvée</v>
      </c>
      <c r="J242" t="str">
        <f>_xlfn.XLOOKUP(Logs_Reseau6[[#This Row],[Id_Client]],Clients_Churn[ID_Client],Clients_Churn[Type_Forfait],"Pas d'information")</f>
        <v>Pas d'information</v>
      </c>
      <c r="K242" s="5" t="str">
        <f>IF(Logs_Reseau6[[#This Row],[Type_Forfait]]="Pro Monde","B2B","B2C")</f>
        <v>B2C</v>
      </c>
      <c r="L242" s="5" t="str">
        <f>_xlfn.XLOOKUP(Logs_Reseau6[[#This Row],[Id_Client]],Clients_Churn[ID_Client],Clients_Churn[Duree_Cumulee_Panne_Min],"Non Trouvée")</f>
        <v>Non Trouvée</v>
      </c>
      <c r="M242" s="5" t="str">
        <f>_xlfn.XLOOKUP(Logs_Reseau6[[#This Row],[Id_Client]],Clients_Churn[ID_Client],Clients_Churn[Anciennete_Mois],"Rien à signaler")</f>
        <v>Rien à signaler</v>
      </c>
      <c r="N242" s="5" t="e">
        <f>Logs_Reseau6[[#This Row],[Anciennette]]/24</f>
        <v>#VALUE!</v>
      </c>
      <c r="O242" s="5" t="e">
        <f>Logs_Reseau6[[#This Row],[Duree_Cumulée_Panne]]/1440</f>
        <v>#VALUE!</v>
      </c>
      <c r="P24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3" spans="1:16" x14ac:dyDescent="0.25">
      <c r="A243" s="2">
        <v>45219</v>
      </c>
      <c r="B243" s="1">
        <v>0.4201388888888889</v>
      </c>
      <c r="C243" t="s">
        <v>858</v>
      </c>
      <c r="D243">
        <v>63</v>
      </c>
      <c r="E243" t="s">
        <v>1305</v>
      </c>
      <c r="F243" t="str">
        <f>_xlfn.XLOOKUP(Logs_Reseau6[[#This Row],[Cell_ID]],Registre[ID_Antenne],Registre[Province_RDC],"Non Trouvée")</f>
        <v>Lomami</v>
      </c>
      <c r="G243" t="str">
        <f>_xlfn.XLOOKUP(Logs_Reseau6[[#This Row],[Province]],Clients_Churn[Province_Client],Clients_Churn[ID_Client],"Aucun")</f>
        <v>CLI-00044</v>
      </c>
      <c r="H243" t="str">
        <f>_xlfn.XLOOKUP(Logs_Reseau6[[#This Row],[Cell_ID]],Registre[ID_Antenne],Registre[Technologie],"Rien à signaler")</f>
        <v>3G</v>
      </c>
      <c r="I243" t="str">
        <f>_xlfn.XLOOKUP(Logs_Reseau6[[#This Row],[Cell_ID]],Registre[ID_Antenne],Registre[Equipementier],"Non Trouvée")</f>
        <v>ZTE</v>
      </c>
      <c r="J243" t="str">
        <f>_xlfn.XLOOKUP(Logs_Reseau6[[#This Row],[Id_Client]],Clients_Churn[ID_Client],Clients_Churn[Type_Forfait],"Pas d'information")</f>
        <v>Illimité 50Go</v>
      </c>
      <c r="K243" s="5" t="str">
        <f>IF(Logs_Reseau6[[#This Row],[Type_Forfait]]="Pro Monde","B2B","B2C")</f>
        <v>B2C</v>
      </c>
      <c r="L243" s="5">
        <f>_xlfn.XLOOKUP(Logs_Reseau6[[#This Row],[Id_Client]],Clients_Churn[ID_Client],Clients_Churn[Duree_Cumulee_Panne_Min],"Non Trouvée")</f>
        <v>345</v>
      </c>
      <c r="M243" s="5">
        <f>_xlfn.XLOOKUP(Logs_Reseau6[[#This Row],[Id_Client]],Clients_Churn[ID_Client],Clients_Churn[Anciennete_Mois],"Rien à signaler")</f>
        <v>53</v>
      </c>
      <c r="N243" s="11">
        <f>Logs_Reseau6[[#This Row],[Anciennette]]/24</f>
        <v>2.2083333333333335</v>
      </c>
      <c r="O243" s="1">
        <f>Logs_Reseau6[[#This Row],[Duree_Cumulée_Panne]]/1440</f>
        <v>0.23958333333333334</v>
      </c>
      <c r="P24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44" spans="1:16" hidden="1" x14ac:dyDescent="0.25">
      <c r="A244" s="2">
        <v>45200</v>
      </c>
      <c r="B244" s="1">
        <v>9.3055555555555558E-2</v>
      </c>
      <c r="C244" t="s">
        <v>1322</v>
      </c>
      <c r="D244">
        <v>63</v>
      </c>
      <c r="E244" t="s">
        <v>1303</v>
      </c>
      <c r="F244" t="str">
        <f>_xlfn.XLOOKUP(Logs_Reseau6[[#This Row],[Cell_ID]],Registre[ID_Antenne],Registre[Province_RDC],"Non Trouvée")</f>
        <v>Non Trouvée</v>
      </c>
      <c r="G244" t="str">
        <f>_xlfn.XLOOKUP(Logs_Reseau6[[#This Row],[Province]],Clients_Churn[Province_Client],Clients_Churn[ID_Client],"Aucun")</f>
        <v>Aucun</v>
      </c>
      <c r="H244" t="str">
        <f>_xlfn.XLOOKUP(Logs_Reseau6[[#This Row],[Cell_ID]],Registre[ID_Antenne],Registre[Technologie],"Rien à signaler")</f>
        <v>Rien à signaler</v>
      </c>
      <c r="I244" t="str">
        <f>_xlfn.XLOOKUP(Logs_Reseau6[[#This Row],[Cell_ID]],Registre[ID_Antenne],Registre[Equipementier],"Non Trouvée")</f>
        <v>Non Trouvée</v>
      </c>
      <c r="J244" t="str">
        <f>_xlfn.XLOOKUP(Logs_Reseau6[[#This Row],[Id_Client]],Clients_Churn[ID_Client],Clients_Churn[Type_Forfait],"Pas d'information")</f>
        <v>Pas d'information</v>
      </c>
      <c r="K244" s="5" t="str">
        <f>IF(Logs_Reseau6[[#This Row],[Type_Forfait]]="Pro Monde","B2B","B2C")</f>
        <v>B2C</v>
      </c>
      <c r="L244" s="5" t="str">
        <f>_xlfn.XLOOKUP(Logs_Reseau6[[#This Row],[Id_Client]],Clients_Churn[ID_Client],Clients_Churn[Duree_Cumulee_Panne_Min],"Non Trouvée")</f>
        <v>Non Trouvée</v>
      </c>
      <c r="M244" s="5" t="str">
        <f>_xlfn.XLOOKUP(Logs_Reseau6[[#This Row],[Id_Client]],Clients_Churn[ID_Client],Clients_Churn[Anciennete_Mois],"Rien à signaler")</f>
        <v>Rien à signaler</v>
      </c>
      <c r="N244" s="5" t="e">
        <f>Logs_Reseau6[[#This Row],[Anciennette]]/24</f>
        <v>#VALUE!</v>
      </c>
      <c r="O244" s="5" t="e">
        <f>Logs_Reseau6[[#This Row],[Duree_Cumulée_Panne]]/1440</f>
        <v>#VALUE!</v>
      </c>
      <c r="P24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5" spans="1:16" hidden="1" x14ac:dyDescent="0.25">
      <c r="A245" s="2">
        <v>45228</v>
      </c>
      <c r="B245" s="1">
        <v>0.84027777777777779</v>
      </c>
      <c r="C245" t="s">
        <v>1322</v>
      </c>
      <c r="D245">
        <v>101</v>
      </c>
      <c r="E245" t="s">
        <v>1300</v>
      </c>
      <c r="F245" t="str">
        <f>_xlfn.XLOOKUP(Logs_Reseau6[[#This Row],[Cell_ID]],Registre[ID_Antenne],Registre[Province_RDC],"Non Trouvée")</f>
        <v>Non Trouvée</v>
      </c>
      <c r="G245" t="str">
        <f>_xlfn.XLOOKUP(Logs_Reseau6[[#This Row],[Province]],Clients_Churn[Province_Client],Clients_Churn[ID_Client],"Aucun")</f>
        <v>Aucun</v>
      </c>
      <c r="H245" t="str">
        <f>_xlfn.XLOOKUP(Logs_Reseau6[[#This Row],[Cell_ID]],Registre[ID_Antenne],Registre[Technologie],"Rien à signaler")</f>
        <v>Rien à signaler</v>
      </c>
      <c r="I245" t="str">
        <f>_xlfn.XLOOKUP(Logs_Reseau6[[#This Row],[Cell_ID]],Registre[ID_Antenne],Registre[Equipementier],"Non Trouvée")</f>
        <v>Non Trouvée</v>
      </c>
      <c r="J245" t="str">
        <f>_xlfn.XLOOKUP(Logs_Reseau6[[#This Row],[Id_Client]],Clients_Churn[ID_Client],Clients_Churn[Type_Forfait],"Pas d'information")</f>
        <v>Pas d'information</v>
      </c>
      <c r="K245" s="5" t="str">
        <f>IF(Logs_Reseau6[[#This Row],[Type_Forfait]]="Pro Monde","B2B","B2C")</f>
        <v>B2C</v>
      </c>
      <c r="L245" s="5" t="str">
        <f>_xlfn.XLOOKUP(Logs_Reseau6[[#This Row],[Id_Client]],Clients_Churn[ID_Client],Clients_Churn[Duree_Cumulee_Panne_Min],"Non Trouvée")</f>
        <v>Non Trouvée</v>
      </c>
      <c r="M245" s="5" t="str">
        <f>_xlfn.XLOOKUP(Logs_Reseau6[[#This Row],[Id_Client]],Clients_Churn[ID_Client],Clients_Churn[Anciennete_Mois],"Rien à signaler")</f>
        <v>Rien à signaler</v>
      </c>
      <c r="N245" s="5" t="e">
        <f>Logs_Reseau6[[#This Row],[Anciennette]]/24</f>
        <v>#VALUE!</v>
      </c>
      <c r="O245" s="5" t="e">
        <f>Logs_Reseau6[[#This Row],[Duree_Cumulée_Panne]]/1440</f>
        <v>#VALUE!</v>
      </c>
      <c r="P24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6" spans="1:16" hidden="1" x14ac:dyDescent="0.25">
      <c r="A246" s="2">
        <v>45230</v>
      </c>
      <c r="B246" s="1">
        <v>0.78888888888888886</v>
      </c>
      <c r="C246" t="s">
        <v>1322</v>
      </c>
      <c r="D246">
        <v>87</v>
      </c>
      <c r="E246" t="s">
        <v>1303</v>
      </c>
      <c r="F246" t="str">
        <f>_xlfn.XLOOKUP(Logs_Reseau6[[#This Row],[Cell_ID]],Registre[ID_Antenne],Registre[Province_RDC],"Non Trouvée")</f>
        <v>Non Trouvée</v>
      </c>
      <c r="G246" t="str">
        <f>_xlfn.XLOOKUP(Logs_Reseau6[[#This Row],[Province]],Clients_Churn[Province_Client],Clients_Churn[ID_Client],"Aucun")</f>
        <v>Aucun</v>
      </c>
      <c r="H246" t="str">
        <f>_xlfn.XLOOKUP(Logs_Reseau6[[#This Row],[Cell_ID]],Registre[ID_Antenne],Registre[Technologie],"Rien à signaler")</f>
        <v>Rien à signaler</v>
      </c>
      <c r="I246" t="str">
        <f>_xlfn.XLOOKUP(Logs_Reseau6[[#This Row],[Cell_ID]],Registre[ID_Antenne],Registre[Equipementier],"Non Trouvée")</f>
        <v>Non Trouvée</v>
      </c>
      <c r="J246" t="str">
        <f>_xlfn.XLOOKUP(Logs_Reseau6[[#This Row],[Id_Client]],Clients_Churn[ID_Client],Clients_Churn[Type_Forfait],"Pas d'information")</f>
        <v>Pas d'information</v>
      </c>
      <c r="K246" s="5" t="str">
        <f>IF(Logs_Reseau6[[#This Row],[Type_Forfait]]="Pro Monde","B2B","B2C")</f>
        <v>B2C</v>
      </c>
      <c r="L246" s="5" t="str">
        <f>_xlfn.XLOOKUP(Logs_Reseau6[[#This Row],[Id_Client]],Clients_Churn[ID_Client],Clients_Churn[Duree_Cumulee_Panne_Min],"Non Trouvée")</f>
        <v>Non Trouvée</v>
      </c>
      <c r="M246" s="5" t="str">
        <f>_xlfn.XLOOKUP(Logs_Reseau6[[#This Row],[Id_Client]],Clients_Churn[ID_Client],Clients_Churn[Anciennete_Mois],"Rien à signaler")</f>
        <v>Rien à signaler</v>
      </c>
      <c r="N246" s="5" t="e">
        <f>Logs_Reseau6[[#This Row],[Anciennette]]/24</f>
        <v>#VALUE!</v>
      </c>
      <c r="O246" s="5" t="e">
        <f>Logs_Reseau6[[#This Row],[Duree_Cumulée_Panne]]/1440</f>
        <v>#VALUE!</v>
      </c>
      <c r="P24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7" spans="1:16" hidden="1" x14ac:dyDescent="0.25">
      <c r="A247" s="2">
        <v>45218</v>
      </c>
      <c r="B247" s="1">
        <v>0.36180555555555555</v>
      </c>
      <c r="C247" t="s">
        <v>1324</v>
      </c>
      <c r="D247">
        <v>45</v>
      </c>
      <c r="E247" t="s">
        <v>1305</v>
      </c>
      <c r="F247" t="str">
        <f>_xlfn.XLOOKUP(Logs_Reseau6[[#This Row],[Cell_ID]],Registre[ID_Antenne],Registre[Province_RDC],"Non Trouvée")</f>
        <v>Non Trouvée</v>
      </c>
      <c r="G247" t="str">
        <f>_xlfn.XLOOKUP(Logs_Reseau6[[#This Row],[Province]],Clients_Churn[Province_Client],Clients_Churn[ID_Client],"Aucun")</f>
        <v>Aucun</v>
      </c>
      <c r="H247" t="str">
        <f>_xlfn.XLOOKUP(Logs_Reseau6[[#This Row],[Cell_ID]],Registre[ID_Antenne],Registre[Technologie],"Rien à signaler")</f>
        <v>Rien à signaler</v>
      </c>
      <c r="I247" t="str">
        <f>_xlfn.XLOOKUP(Logs_Reseau6[[#This Row],[Cell_ID]],Registre[ID_Antenne],Registre[Equipementier],"Non Trouvée")</f>
        <v>Non Trouvée</v>
      </c>
      <c r="J247" t="str">
        <f>_xlfn.XLOOKUP(Logs_Reseau6[[#This Row],[Id_Client]],Clients_Churn[ID_Client],Clients_Churn[Type_Forfait],"Pas d'information")</f>
        <v>Pas d'information</v>
      </c>
      <c r="K247" s="5" t="str">
        <f>IF(Logs_Reseau6[[#This Row],[Type_Forfait]]="Pro Monde","B2B","B2C")</f>
        <v>B2C</v>
      </c>
      <c r="L247" s="5" t="str">
        <f>_xlfn.XLOOKUP(Logs_Reseau6[[#This Row],[Id_Client]],Clients_Churn[ID_Client],Clients_Churn[Duree_Cumulee_Panne_Min],"Non Trouvée")</f>
        <v>Non Trouvée</v>
      </c>
      <c r="M247" s="5" t="str">
        <f>_xlfn.XLOOKUP(Logs_Reseau6[[#This Row],[Id_Client]],Clients_Churn[ID_Client],Clients_Churn[Anciennete_Mois],"Rien à signaler")</f>
        <v>Rien à signaler</v>
      </c>
      <c r="N247" s="5" t="e">
        <f>Logs_Reseau6[[#This Row],[Anciennette]]/24</f>
        <v>#VALUE!</v>
      </c>
      <c r="O247" s="5" t="e">
        <f>Logs_Reseau6[[#This Row],[Duree_Cumulée_Panne]]/1440</f>
        <v>#VALUE!</v>
      </c>
      <c r="P24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8" spans="1:16" hidden="1" x14ac:dyDescent="0.25">
      <c r="A248" s="2">
        <v>45220</v>
      </c>
      <c r="B248" s="1">
        <v>0.64236111111111116</v>
      </c>
      <c r="C248" t="s">
        <v>1324</v>
      </c>
      <c r="D248">
        <v>19</v>
      </c>
      <c r="E248" t="s">
        <v>1300</v>
      </c>
      <c r="F248" t="str">
        <f>_xlfn.XLOOKUP(Logs_Reseau6[[#This Row],[Cell_ID]],Registre[ID_Antenne],Registre[Province_RDC],"Non Trouvée")</f>
        <v>Non Trouvée</v>
      </c>
      <c r="G248" t="str">
        <f>_xlfn.XLOOKUP(Logs_Reseau6[[#This Row],[Province]],Clients_Churn[Province_Client],Clients_Churn[ID_Client],"Aucun")</f>
        <v>Aucun</v>
      </c>
      <c r="H248" t="str">
        <f>_xlfn.XLOOKUP(Logs_Reseau6[[#This Row],[Cell_ID]],Registre[ID_Antenne],Registre[Technologie],"Rien à signaler")</f>
        <v>Rien à signaler</v>
      </c>
      <c r="I248" t="str">
        <f>_xlfn.XLOOKUP(Logs_Reseau6[[#This Row],[Cell_ID]],Registre[ID_Antenne],Registre[Equipementier],"Non Trouvée")</f>
        <v>Non Trouvée</v>
      </c>
      <c r="J248" t="str">
        <f>_xlfn.XLOOKUP(Logs_Reseau6[[#This Row],[Id_Client]],Clients_Churn[ID_Client],Clients_Churn[Type_Forfait],"Pas d'information")</f>
        <v>Pas d'information</v>
      </c>
      <c r="K248" s="5" t="str">
        <f>IF(Logs_Reseau6[[#This Row],[Type_Forfait]]="Pro Monde","B2B","B2C")</f>
        <v>B2C</v>
      </c>
      <c r="L248" s="5" t="str">
        <f>_xlfn.XLOOKUP(Logs_Reseau6[[#This Row],[Id_Client]],Clients_Churn[ID_Client],Clients_Churn[Duree_Cumulee_Panne_Min],"Non Trouvée")</f>
        <v>Non Trouvée</v>
      </c>
      <c r="M248" s="5" t="str">
        <f>_xlfn.XLOOKUP(Logs_Reseau6[[#This Row],[Id_Client]],Clients_Churn[ID_Client],Clients_Churn[Anciennete_Mois],"Rien à signaler")</f>
        <v>Rien à signaler</v>
      </c>
      <c r="N248" s="5" t="e">
        <f>Logs_Reseau6[[#This Row],[Anciennette]]/24</f>
        <v>#VALUE!</v>
      </c>
      <c r="O248" s="5" t="e">
        <f>Logs_Reseau6[[#This Row],[Duree_Cumulée_Panne]]/1440</f>
        <v>#VALUE!</v>
      </c>
      <c r="P24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49" spans="1:16" hidden="1" x14ac:dyDescent="0.25">
      <c r="A249" s="2">
        <v>45220</v>
      </c>
      <c r="B249" s="1">
        <v>0.11458333333333333</v>
      </c>
      <c r="C249" t="s">
        <v>1324</v>
      </c>
      <c r="D249">
        <v>54</v>
      </c>
      <c r="E249" t="s">
        <v>1303</v>
      </c>
      <c r="F249" t="str">
        <f>_xlfn.XLOOKUP(Logs_Reseau6[[#This Row],[Cell_ID]],Registre[ID_Antenne],Registre[Province_RDC],"Non Trouvée")</f>
        <v>Non Trouvée</v>
      </c>
      <c r="G249" t="str">
        <f>_xlfn.XLOOKUP(Logs_Reseau6[[#This Row],[Province]],Clients_Churn[Province_Client],Clients_Churn[ID_Client],"Aucun")</f>
        <v>Aucun</v>
      </c>
      <c r="H249" t="str">
        <f>_xlfn.XLOOKUP(Logs_Reseau6[[#This Row],[Cell_ID]],Registre[ID_Antenne],Registre[Technologie],"Rien à signaler")</f>
        <v>Rien à signaler</v>
      </c>
      <c r="I249" t="str">
        <f>_xlfn.XLOOKUP(Logs_Reseau6[[#This Row],[Cell_ID]],Registre[ID_Antenne],Registre[Equipementier],"Non Trouvée")</f>
        <v>Non Trouvée</v>
      </c>
      <c r="J249" t="str">
        <f>_xlfn.XLOOKUP(Logs_Reseau6[[#This Row],[Id_Client]],Clients_Churn[ID_Client],Clients_Churn[Type_Forfait],"Pas d'information")</f>
        <v>Pas d'information</v>
      </c>
      <c r="K249" s="5" t="str">
        <f>IF(Logs_Reseau6[[#This Row],[Type_Forfait]]="Pro Monde","B2B","B2C")</f>
        <v>B2C</v>
      </c>
      <c r="L249" s="5" t="str">
        <f>_xlfn.XLOOKUP(Logs_Reseau6[[#This Row],[Id_Client]],Clients_Churn[ID_Client],Clients_Churn[Duree_Cumulee_Panne_Min],"Non Trouvée")</f>
        <v>Non Trouvée</v>
      </c>
      <c r="M249" s="5" t="str">
        <f>_xlfn.XLOOKUP(Logs_Reseau6[[#This Row],[Id_Client]],Clients_Churn[ID_Client],Clients_Churn[Anciennete_Mois],"Rien à signaler")</f>
        <v>Rien à signaler</v>
      </c>
      <c r="N249" s="5" t="e">
        <f>Logs_Reseau6[[#This Row],[Anciennette]]/24</f>
        <v>#VALUE!</v>
      </c>
      <c r="O249" s="5" t="e">
        <f>Logs_Reseau6[[#This Row],[Duree_Cumulée_Panne]]/1440</f>
        <v>#VALUE!</v>
      </c>
      <c r="P24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50" spans="1:16" hidden="1" x14ac:dyDescent="0.25">
      <c r="A250" s="2">
        <v>45226</v>
      </c>
      <c r="B250" s="1">
        <v>0.92013888888888884</v>
      </c>
      <c r="C250" t="s">
        <v>1324</v>
      </c>
      <c r="D250">
        <v>64</v>
      </c>
      <c r="E250" t="s">
        <v>1305</v>
      </c>
      <c r="F250" t="str">
        <f>_xlfn.XLOOKUP(Logs_Reseau6[[#This Row],[Cell_ID]],Registre[ID_Antenne],Registre[Province_RDC],"Non Trouvée")</f>
        <v>Non Trouvée</v>
      </c>
      <c r="G250" t="str">
        <f>_xlfn.XLOOKUP(Logs_Reseau6[[#This Row],[Province]],Clients_Churn[Province_Client],Clients_Churn[ID_Client],"Aucun")</f>
        <v>Aucun</v>
      </c>
      <c r="H250" t="str">
        <f>_xlfn.XLOOKUP(Logs_Reseau6[[#This Row],[Cell_ID]],Registre[ID_Antenne],Registre[Technologie],"Rien à signaler")</f>
        <v>Rien à signaler</v>
      </c>
      <c r="I250" t="str">
        <f>_xlfn.XLOOKUP(Logs_Reseau6[[#This Row],[Cell_ID]],Registre[ID_Antenne],Registre[Equipementier],"Non Trouvée")</f>
        <v>Non Trouvée</v>
      </c>
      <c r="J250" t="str">
        <f>_xlfn.XLOOKUP(Logs_Reseau6[[#This Row],[Id_Client]],Clients_Churn[ID_Client],Clients_Churn[Type_Forfait],"Pas d'information")</f>
        <v>Pas d'information</v>
      </c>
      <c r="K250" s="5" t="str">
        <f>IF(Logs_Reseau6[[#This Row],[Type_Forfait]]="Pro Monde","B2B","B2C")</f>
        <v>B2C</v>
      </c>
      <c r="L250" s="5" t="str">
        <f>_xlfn.XLOOKUP(Logs_Reseau6[[#This Row],[Id_Client]],Clients_Churn[ID_Client],Clients_Churn[Duree_Cumulee_Panne_Min],"Non Trouvée")</f>
        <v>Non Trouvée</v>
      </c>
      <c r="M250" s="5" t="str">
        <f>_xlfn.XLOOKUP(Logs_Reseau6[[#This Row],[Id_Client]],Clients_Churn[ID_Client],Clients_Churn[Anciennete_Mois],"Rien à signaler")</f>
        <v>Rien à signaler</v>
      </c>
      <c r="N250" s="5" t="e">
        <f>Logs_Reseau6[[#This Row],[Anciennette]]/24</f>
        <v>#VALUE!</v>
      </c>
      <c r="O250" s="5" t="e">
        <f>Logs_Reseau6[[#This Row],[Duree_Cumulée_Panne]]/1440</f>
        <v>#VALUE!</v>
      </c>
      <c r="P25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51" spans="1:16" hidden="1" x14ac:dyDescent="0.25">
      <c r="A251" s="2">
        <v>45229</v>
      </c>
      <c r="B251" s="1">
        <v>0.28263888888888888</v>
      </c>
      <c r="C251" t="s">
        <v>1324</v>
      </c>
      <c r="D251">
        <v>102</v>
      </c>
      <c r="E251" t="s">
        <v>1303</v>
      </c>
      <c r="F251" t="str">
        <f>_xlfn.XLOOKUP(Logs_Reseau6[[#This Row],[Cell_ID]],Registre[ID_Antenne],Registre[Province_RDC],"Non Trouvée")</f>
        <v>Non Trouvée</v>
      </c>
      <c r="G251" t="str">
        <f>_xlfn.XLOOKUP(Logs_Reseau6[[#This Row],[Province]],Clients_Churn[Province_Client],Clients_Churn[ID_Client],"Aucun")</f>
        <v>Aucun</v>
      </c>
      <c r="H251" t="str">
        <f>_xlfn.XLOOKUP(Logs_Reseau6[[#This Row],[Cell_ID]],Registre[ID_Antenne],Registre[Technologie],"Rien à signaler")</f>
        <v>Rien à signaler</v>
      </c>
      <c r="I251" t="str">
        <f>_xlfn.XLOOKUP(Logs_Reseau6[[#This Row],[Cell_ID]],Registre[ID_Antenne],Registre[Equipementier],"Non Trouvée")</f>
        <v>Non Trouvée</v>
      </c>
      <c r="J251" t="str">
        <f>_xlfn.XLOOKUP(Logs_Reseau6[[#This Row],[Id_Client]],Clients_Churn[ID_Client],Clients_Churn[Type_Forfait],"Pas d'information")</f>
        <v>Pas d'information</v>
      </c>
      <c r="K251" s="5" t="str">
        <f>IF(Logs_Reseau6[[#This Row],[Type_Forfait]]="Pro Monde","B2B","B2C")</f>
        <v>B2C</v>
      </c>
      <c r="L251" s="5" t="str">
        <f>_xlfn.XLOOKUP(Logs_Reseau6[[#This Row],[Id_Client]],Clients_Churn[ID_Client],Clients_Churn[Duree_Cumulee_Panne_Min],"Non Trouvée")</f>
        <v>Non Trouvée</v>
      </c>
      <c r="M251" s="5" t="str">
        <f>_xlfn.XLOOKUP(Logs_Reseau6[[#This Row],[Id_Client]],Clients_Churn[ID_Client],Clients_Churn[Anciennete_Mois],"Rien à signaler")</f>
        <v>Rien à signaler</v>
      </c>
      <c r="N251" s="5" t="e">
        <f>Logs_Reseau6[[#This Row],[Anciennette]]/24</f>
        <v>#VALUE!</v>
      </c>
      <c r="O251" s="5" t="e">
        <f>Logs_Reseau6[[#This Row],[Duree_Cumulée_Panne]]/1440</f>
        <v>#VALUE!</v>
      </c>
      <c r="P25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52" spans="1:16" hidden="1" x14ac:dyDescent="0.25">
      <c r="A252" s="2">
        <v>45230</v>
      </c>
      <c r="B252" s="1">
        <v>0.83472222222222225</v>
      </c>
      <c r="C252" t="s">
        <v>1324</v>
      </c>
      <c r="D252">
        <v>46</v>
      </c>
      <c r="E252" t="s">
        <v>1303</v>
      </c>
      <c r="F252" t="str">
        <f>_xlfn.XLOOKUP(Logs_Reseau6[[#This Row],[Cell_ID]],Registre[ID_Antenne],Registre[Province_RDC],"Non Trouvée")</f>
        <v>Non Trouvée</v>
      </c>
      <c r="G252" t="str">
        <f>_xlfn.XLOOKUP(Logs_Reseau6[[#This Row],[Province]],Clients_Churn[Province_Client],Clients_Churn[ID_Client],"Aucun")</f>
        <v>Aucun</v>
      </c>
      <c r="H252" t="str">
        <f>_xlfn.XLOOKUP(Logs_Reseau6[[#This Row],[Cell_ID]],Registre[ID_Antenne],Registre[Technologie],"Rien à signaler")</f>
        <v>Rien à signaler</v>
      </c>
      <c r="I252" t="str">
        <f>_xlfn.XLOOKUP(Logs_Reseau6[[#This Row],[Cell_ID]],Registre[ID_Antenne],Registre[Equipementier],"Non Trouvée")</f>
        <v>Non Trouvée</v>
      </c>
      <c r="J252" t="str">
        <f>_xlfn.XLOOKUP(Logs_Reseau6[[#This Row],[Id_Client]],Clients_Churn[ID_Client],Clients_Churn[Type_Forfait],"Pas d'information")</f>
        <v>Pas d'information</v>
      </c>
      <c r="K252" s="5" t="str">
        <f>IF(Logs_Reseau6[[#This Row],[Type_Forfait]]="Pro Monde","B2B","B2C")</f>
        <v>B2C</v>
      </c>
      <c r="L252" s="5" t="str">
        <f>_xlfn.XLOOKUP(Logs_Reseau6[[#This Row],[Id_Client]],Clients_Churn[ID_Client],Clients_Churn[Duree_Cumulee_Panne_Min],"Non Trouvée")</f>
        <v>Non Trouvée</v>
      </c>
      <c r="M252" s="5" t="str">
        <f>_xlfn.XLOOKUP(Logs_Reseau6[[#This Row],[Id_Client]],Clients_Churn[ID_Client],Clients_Churn[Anciennete_Mois],"Rien à signaler")</f>
        <v>Rien à signaler</v>
      </c>
      <c r="N252" s="5" t="e">
        <f>Logs_Reseau6[[#This Row],[Anciennette]]/24</f>
        <v>#VALUE!</v>
      </c>
      <c r="O252" s="5" t="e">
        <f>Logs_Reseau6[[#This Row],[Duree_Cumulée_Panne]]/1440</f>
        <v>#VALUE!</v>
      </c>
      <c r="P25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53" spans="1:16" x14ac:dyDescent="0.25">
      <c r="A253" s="2">
        <v>45228</v>
      </c>
      <c r="B253" s="1">
        <v>0.51180555555555551</v>
      </c>
      <c r="C253" t="s">
        <v>1260</v>
      </c>
      <c r="D253">
        <v>64</v>
      </c>
      <c r="E253" t="s">
        <v>1303</v>
      </c>
      <c r="F253" t="str">
        <f>_xlfn.XLOOKUP(Logs_Reseau6[[#This Row],[Cell_ID]],Registre[ID_Antenne],Registre[Province_RDC],"Non Trouvée")</f>
        <v>Haut-Uele</v>
      </c>
      <c r="G253" t="str">
        <f>_xlfn.XLOOKUP(Logs_Reseau6[[#This Row],[Province]],Clients_Churn[Province_Client],Clients_Churn[ID_Client],"Aucun")</f>
        <v>CLI-00055</v>
      </c>
      <c r="H253" t="str">
        <f>_xlfn.XLOOKUP(Logs_Reseau6[[#This Row],[Cell_ID]],Registre[ID_Antenne],Registre[Technologie],"Rien à signaler")</f>
        <v>4G</v>
      </c>
      <c r="I253" t="str">
        <f>_xlfn.XLOOKUP(Logs_Reseau6[[#This Row],[Cell_ID]],Registre[ID_Antenne],Registre[Equipementier],"Non Trouvée")</f>
        <v>Huawei</v>
      </c>
      <c r="J253" t="str">
        <f>_xlfn.XLOOKUP(Logs_Reseau6[[#This Row],[Id_Client]],Clients_Churn[ID_Client],Clients_Churn[Type_Forfait],"Pas d'information")</f>
        <v>Pro Monde</v>
      </c>
      <c r="K253" s="5" t="str">
        <f>IF(Logs_Reseau6[[#This Row],[Type_Forfait]]="Pro Monde","B2B","B2C")</f>
        <v>B2B</v>
      </c>
      <c r="L253" s="5">
        <f>_xlfn.XLOOKUP(Logs_Reseau6[[#This Row],[Id_Client]],Clients_Churn[ID_Client],Clients_Churn[Duree_Cumulee_Panne_Min],"Non Trouvée")</f>
        <v>206</v>
      </c>
      <c r="M253" s="5">
        <f>_xlfn.XLOOKUP(Logs_Reseau6[[#This Row],[Id_Client]],Clients_Churn[ID_Client],Clients_Churn[Anciennete_Mois],"Rien à signaler")</f>
        <v>6</v>
      </c>
      <c r="N253" s="11">
        <f>Logs_Reseau6[[#This Row],[Anciennette]]/24</f>
        <v>0.25</v>
      </c>
      <c r="O253" s="1">
        <f>Logs_Reseau6[[#This Row],[Duree_Cumulée_Panne]]/1440</f>
        <v>0.14305555555555555</v>
      </c>
      <c r="P25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54" spans="1:16" x14ac:dyDescent="0.25">
      <c r="A254" s="2">
        <v>45230</v>
      </c>
      <c r="B254" s="1">
        <v>0.32361111111111113</v>
      </c>
      <c r="C254" t="s">
        <v>1260</v>
      </c>
      <c r="D254">
        <v>105</v>
      </c>
      <c r="E254" t="s">
        <v>1300</v>
      </c>
      <c r="F254" t="str">
        <f>_xlfn.XLOOKUP(Logs_Reseau6[[#This Row],[Cell_ID]],Registre[ID_Antenne],Registre[Province_RDC],"Non Trouvée")</f>
        <v>Haut-Uele</v>
      </c>
      <c r="G254" t="str">
        <f>_xlfn.XLOOKUP(Logs_Reseau6[[#This Row],[Province]],Clients_Churn[Province_Client],Clients_Churn[ID_Client],"Aucun")</f>
        <v>CLI-00055</v>
      </c>
      <c r="H254" t="str">
        <f>_xlfn.XLOOKUP(Logs_Reseau6[[#This Row],[Cell_ID]],Registre[ID_Antenne],Registre[Technologie],"Rien à signaler")</f>
        <v>4G</v>
      </c>
      <c r="I254" t="str">
        <f>_xlfn.XLOOKUP(Logs_Reseau6[[#This Row],[Cell_ID]],Registre[ID_Antenne],Registre[Equipementier],"Non Trouvée")</f>
        <v>Huawei</v>
      </c>
      <c r="J254" t="str">
        <f>_xlfn.XLOOKUP(Logs_Reseau6[[#This Row],[Id_Client]],Clients_Churn[ID_Client],Clients_Churn[Type_Forfait],"Pas d'information")</f>
        <v>Pro Monde</v>
      </c>
      <c r="K254" s="5" t="str">
        <f>IF(Logs_Reseau6[[#This Row],[Type_Forfait]]="Pro Monde","B2B","B2C")</f>
        <v>B2B</v>
      </c>
      <c r="L254" s="5">
        <f>_xlfn.XLOOKUP(Logs_Reseau6[[#This Row],[Id_Client]],Clients_Churn[ID_Client],Clients_Churn[Duree_Cumulee_Panne_Min],"Non Trouvée")</f>
        <v>206</v>
      </c>
      <c r="M254" s="5">
        <f>_xlfn.XLOOKUP(Logs_Reseau6[[#This Row],[Id_Client]],Clients_Churn[ID_Client],Clients_Churn[Anciennete_Mois],"Rien à signaler")</f>
        <v>6</v>
      </c>
      <c r="N254" s="11">
        <f>Logs_Reseau6[[#This Row],[Anciennette]]/24</f>
        <v>0.25</v>
      </c>
      <c r="O254" s="1">
        <f>Logs_Reseau6[[#This Row],[Duree_Cumulée_Panne]]/1440</f>
        <v>0.14305555555555555</v>
      </c>
      <c r="P25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55" spans="1:16" x14ac:dyDescent="0.25">
      <c r="A255" s="2">
        <v>45202</v>
      </c>
      <c r="B255" s="1">
        <v>0.78055555555555556</v>
      </c>
      <c r="C255" t="s">
        <v>971</v>
      </c>
      <c r="D255">
        <v>53</v>
      </c>
      <c r="E255" t="s">
        <v>1305</v>
      </c>
      <c r="F255" t="str">
        <f>_xlfn.XLOOKUP(Logs_Reseau6[[#This Row],[Cell_ID]],Registre[ID_Antenne],Registre[Province_RDC],"Non Trouvée")</f>
        <v>Maniema</v>
      </c>
      <c r="G255" t="str">
        <f>_xlfn.XLOOKUP(Logs_Reseau6[[#This Row],[Province]],Clients_Churn[Province_Client],Clients_Churn[ID_Client],"Aucun")</f>
        <v>CLI-00039</v>
      </c>
      <c r="H255" t="str">
        <f>_xlfn.XLOOKUP(Logs_Reseau6[[#This Row],[Cell_ID]],Registre[ID_Antenne],Registre[Technologie],"Rien à signaler")</f>
        <v>5G</v>
      </c>
      <c r="I255" t="str">
        <f>_xlfn.XLOOKUP(Logs_Reseau6[[#This Row],[Cell_ID]],Registre[ID_Antenne],Registre[Equipementier],"Non Trouvée")</f>
        <v>Ericsson</v>
      </c>
      <c r="J255" t="str">
        <f>_xlfn.XLOOKUP(Logs_Reseau6[[#This Row],[Id_Client]],Clients_Churn[ID_Client],Clients_Churn[Type_Forfait],"Pas d'information")</f>
        <v>Pro Monde</v>
      </c>
      <c r="K255" s="5" t="str">
        <f>IF(Logs_Reseau6[[#This Row],[Type_Forfait]]="Pro Monde","B2B","B2C")</f>
        <v>B2B</v>
      </c>
      <c r="L255" s="5">
        <f>_xlfn.XLOOKUP(Logs_Reseau6[[#This Row],[Id_Client]],Clients_Churn[ID_Client],Clients_Churn[Duree_Cumulee_Panne_Min],"Non Trouvée")</f>
        <v>31</v>
      </c>
      <c r="M255" s="5">
        <f>_xlfn.XLOOKUP(Logs_Reseau6[[#This Row],[Id_Client]],Clients_Churn[ID_Client],Clients_Churn[Anciennete_Mois],"Rien à signaler")</f>
        <v>119</v>
      </c>
      <c r="N255" s="11">
        <f>Logs_Reseau6[[#This Row],[Anciennette]]/24</f>
        <v>4.958333333333333</v>
      </c>
      <c r="O255" s="1">
        <f>Logs_Reseau6[[#This Row],[Duree_Cumulée_Panne]]/1440</f>
        <v>2.1527777777777778E-2</v>
      </c>
      <c r="P25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56" spans="1:16" x14ac:dyDescent="0.25">
      <c r="A256" s="2">
        <v>45216</v>
      </c>
      <c r="B256" s="1">
        <v>0.26666666666666666</v>
      </c>
      <c r="C256" t="s">
        <v>971</v>
      </c>
      <c r="D256">
        <v>90</v>
      </c>
      <c r="E256" t="s">
        <v>1305</v>
      </c>
      <c r="F256" t="str">
        <f>_xlfn.XLOOKUP(Logs_Reseau6[[#This Row],[Cell_ID]],Registre[ID_Antenne],Registre[Province_RDC],"Non Trouvée")</f>
        <v>Maniema</v>
      </c>
      <c r="G256" t="str">
        <f>_xlfn.XLOOKUP(Logs_Reseau6[[#This Row],[Province]],Clients_Churn[Province_Client],Clients_Churn[ID_Client],"Aucun")</f>
        <v>CLI-00039</v>
      </c>
      <c r="H256" t="str">
        <f>_xlfn.XLOOKUP(Logs_Reseau6[[#This Row],[Cell_ID]],Registre[ID_Antenne],Registre[Technologie],"Rien à signaler")</f>
        <v>5G</v>
      </c>
      <c r="I256" t="str">
        <f>_xlfn.XLOOKUP(Logs_Reseau6[[#This Row],[Cell_ID]],Registre[ID_Antenne],Registre[Equipementier],"Non Trouvée")</f>
        <v>Ericsson</v>
      </c>
      <c r="J256" t="str">
        <f>_xlfn.XLOOKUP(Logs_Reseau6[[#This Row],[Id_Client]],Clients_Churn[ID_Client],Clients_Churn[Type_Forfait],"Pas d'information")</f>
        <v>Pro Monde</v>
      </c>
      <c r="K256" s="5" t="str">
        <f>IF(Logs_Reseau6[[#This Row],[Type_Forfait]]="Pro Monde","B2B","B2C")</f>
        <v>B2B</v>
      </c>
      <c r="L256" s="5">
        <f>_xlfn.XLOOKUP(Logs_Reseau6[[#This Row],[Id_Client]],Clients_Churn[ID_Client],Clients_Churn[Duree_Cumulee_Panne_Min],"Non Trouvée")</f>
        <v>31</v>
      </c>
      <c r="M256" s="5">
        <f>_xlfn.XLOOKUP(Logs_Reseau6[[#This Row],[Id_Client]],Clients_Churn[ID_Client],Clients_Churn[Anciennete_Mois],"Rien à signaler")</f>
        <v>119</v>
      </c>
      <c r="N256" s="11">
        <f>Logs_Reseau6[[#This Row],[Anciennette]]/24</f>
        <v>4.958333333333333</v>
      </c>
      <c r="O256" s="1">
        <f>Logs_Reseau6[[#This Row],[Duree_Cumulée_Panne]]/1440</f>
        <v>2.1527777777777778E-2</v>
      </c>
      <c r="P25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57" spans="1:16" x14ac:dyDescent="0.25">
      <c r="A257" s="2">
        <v>45217</v>
      </c>
      <c r="B257" s="1">
        <v>0.77569444444444446</v>
      </c>
      <c r="C257" t="s">
        <v>971</v>
      </c>
      <c r="D257">
        <v>84</v>
      </c>
      <c r="E257" t="s">
        <v>1300</v>
      </c>
      <c r="F257" t="str">
        <f>_xlfn.XLOOKUP(Logs_Reseau6[[#This Row],[Cell_ID]],Registre[ID_Antenne],Registre[Province_RDC],"Non Trouvée")</f>
        <v>Maniema</v>
      </c>
      <c r="G257" t="str">
        <f>_xlfn.XLOOKUP(Logs_Reseau6[[#This Row],[Province]],Clients_Churn[Province_Client],Clients_Churn[ID_Client],"Aucun")</f>
        <v>CLI-00039</v>
      </c>
      <c r="H257" t="str">
        <f>_xlfn.XLOOKUP(Logs_Reseau6[[#This Row],[Cell_ID]],Registre[ID_Antenne],Registre[Technologie],"Rien à signaler")</f>
        <v>5G</v>
      </c>
      <c r="I257" t="str">
        <f>_xlfn.XLOOKUP(Logs_Reseau6[[#This Row],[Cell_ID]],Registre[ID_Antenne],Registre[Equipementier],"Non Trouvée")</f>
        <v>Ericsson</v>
      </c>
      <c r="J257" t="str">
        <f>_xlfn.XLOOKUP(Logs_Reseau6[[#This Row],[Id_Client]],Clients_Churn[ID_Client],Clients_Churn[Type_Forfait],"Pas d'information")</f>
        <v>Pro Monde</v>
      </c>
      <c r="K257" s="5" t="str">
        <f>IF(Logs_Reseau6[[#This Row],[Type_Forfait]]="Pro Monde","B2B","B2C")</f>
        <v>B2B</v>
      </c>
      <c r="L257" s="5">
        <f>_xlfn.XLOOKUP(Logs_Reseau6[[#This Row],[Id_Client]],Clients_Churn[ID_Client],Clients_Churn[Duree_Cumulee_Panne_Min],"Non Trouvée")</f>
        <v>31</v>
      </c>
      <c r="M257" s="5">
        <f>_xlfn.XLOOKUP(Logs_Reseau6[[#This Row],[Id_Client]],Clients_Churn[ID_Client],Clients_Churn[Anciennete_Mois],"Rien à signaler")</f>
        <v>119</v>
      </c>
      <c r="N257" s="11">
        <f>Logs_Reseau6[[#This Row],[Anciennette]]/24</f>
        <v>4.958333333333333</v>
      </c>
      <c r="O257" s="1">
        <f>Logs_Reseau6[[#This Row],[Duree_Cumulée_Panne]]/1440</f>
        <v>2.1527777777777778E-2</v>
      </c>
      <c r="P25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58" spans="1:16" hidden="1" x14ac:dyDescent="0.25">
      <c r="A258" s="2">
        <v>45211</v>
      </c>
      <c r="B258" s="1">
        <v>0.12361111111111112</v>
      </c>
      <c r="C258" t="s">
        <v>1359</v>
      </c>
      <c r="D258">
        <v>87</v>
      </c>
      <c r="E258" t="s">
        <v>1300</v>
      </c>
      <c r="F258" t="str">
        <f>_xlfn.XLOOKUP(Logs_Reseau6[[#This Row],[Cell_ID]],Registre[ID_Antenne],Registre[Province_RDC],"Non Trouvée")</f>
        <v>Non Trouvée</v>
      </c>
      <c r="G258" t="str">
        <f>_xlfn.XLOOKUP(Logs_Reseau6[[#This Row],[Province]],Clients_Churn[Province_Client],Clients_Churn[ID_Client],"Aucun")</f>
        <v>Aucun</v>
      </c>
      <c r="H258" t="str">
        <f>_xlfn.XLOOKUP(Logs_Reseau6[[#This Row],[Cell_ID]],Registre[ID_Antenne],Registre[Technologie],"Rien à signaler")</f>
        <v>Rien à signaler</v>
      </c>
      <c r="I258" t="str">
        <f>_xlfn.XLOOKUP(Logs_Reseau6[[#This Row],[Cell_ID]],Registre[ID_Antenne],Registre[Equipementier],"Non Trouvée")</f>
        <v>Non Trouvée</v>
      </c>
      <c r="J258" t="str">
        <f>_xlfn.XLOOKUP(Logs_Reseau6[[#This Row],[Id_Client]],Clients_Churn[ID_Client],Clients_Churn[Type_Forfait],"Pas d'information")</f>
        <v>Pas d'information</v>
      </c>
      <c r="K258" s="5" t="str">
        <f>IF(Logs_Reseau6[[#This Row],[Type_Forfait]]="Pro Monde","B2B","B2C")</f>
        <v>B2C</v>
      </c>
      <c r="L258" s="5" t="str">
        <f>_xlfn.XLOOKUP(Logs_Reseau6[[#This Row],[Id_Client]],Clients_Churn[ID_Client],Clients_Churn[Duree_Cumulee_Panne_Min],"Non Trouvée")</f>
        <v>Non Trouvée</v>
      </c>
      <c r="M258" s="5" t="str">
        <f>_xlfn.XLOOKUP(Logs_Reseau6[[#This Row],[Id_Client]],Clients_Churn[ID_Client],Clients_Churn[Anciennete_Mois],"Rien à signaler")</f>
        <v>Rien à signaler</v>
      </c>
      <c r="N258" s="5" t="e">
        <f>Logs_Reseau6[[#This Row],[Anciennette]]/24</f>
        <v>#VALUE!</v>
      </c>
      <c r="O258" s="5" t="e">
        <f>Logs_Reseau6[[#This Row],[Duree_Cumulée_Panne]]/1440</f>
        <v>#VALUE!</v>
      </c>
      <c r="P25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59" spans="1:16" hidden="1" x14ac:dyDescent="0.25">
      <c r="A259" s="2">
        <v>45211</v>
      </c>
      <c r="B259" s="1">
        <v>0.49583333333333335</v>
      </c>
      <c r="C259" t="s">
        <v>1359</v>
      </c>
      <c r="D259">
        <v>61</v>
      </c>
      <c r="E259" t="s">
        <v>1303</v>
      </c>
      <c r="F259" t="str">
        <f>_xlfn.XLOOKUP(Logs_Reseau6[[#This Row],[Cell_ID]],Registre[ID_Antenne],Registre[Province_RDC],"Non Trouvée")</f>
        <v>Non Trouvée</v>
      </c>
      <c r="G259" t="str">
        <f>_xlfn.XLOOKUP(Logs_Reseau6[[#This Row],[Province]],Clients_Churn[Province_Client],Clients_Churn[ID_Client],"Aucun")</f>
        <v>Aucun</v>
      </c>
      <c r="H259" t="str">
        <f>_xlfn.XLOOKUP(Logs_Reseau6[[#This Row],[Cell_ID]],Registre[ID_Antenne],Registre[Technologie],"Rien à signaler")</f>
        <v>Rien à signaler</v>
      </c>
      <c r="I259" t="str">
        <f>_xlfn.XLOOKUP(Logs_Reseau6[[#This Row],[Cell_ID]],Registre[ID_Antenne],Registre[Equipementier],"Non Trouvée")</f>
        <v>Non Trouvée</v>
      </c>
      <c r="J259" t="str">
        <f>_xlfn.XLOOKUP(Logs_Reseau6[[#This Row],[Id_Client]],Clients_Churn[ID_Client],Clients_Churn[Type_Forfait],"Pas d'information")</f>
        <v>Pas d'information</v>
      </c>
      <c r="K259" s="5" t="str">
        <f>IF(Logs_Reseau6[[#This Row],[Type_Forfait]]="Pro Monde","B2B","B2C")</f>
        <v>B2C</v>
      </c>
      <c r="L259" s="5" t="str">
        <f>_xlfn.XLOOKUP(Logs_Reseau6[[#This Row],[Id_Client]],Clients_Churn[ID_Client],Clients_Churn[Duree_Cumulee_Panne_Min],"Non Trouvée")</f>
        <v>Non Trouvée</v>
      </c>
      <c r="M259" s="5" t="str">
        <f>_xlfn.XLOOKUP(Logs_Reseau6[[#This Row],[Id_Client]],Clients_Churn[ID_Client],Clients_Churn[Anciennete_Mois],"Rien à signaler")</f>
        <v>Rien à signaler</v>
      </c>
      <c r="N259" s="5" t="e">
        <f>Logs_Reseau6[[#This Row],[Anciennette]]/24</f>
        <v>#VALUE!</v>
      </c>
      <c r="O259" s="5" t="e">
        <f>Logs_Reseau6[[#This Row],[Duree_Cumulée_Panne]]/1440</f>
        <v>#VALUE!</v>
      </c>
      <c r="P25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60" spans="1:16" hidden="1" x14ac:dyDescent="0.25">
      <c r="A260" s="2">
        <v>45217</v>
      </c>
      <c r="B260" s="1">
        <v>0.41458333333333336</v>
      </c>
      <c r="C260" t="s">
        <v>1359</v>
      </c>
      <c r="D260">
        <v>74</v>
      </c>
      <c r="E260" t="s">
        <v>1305</v>
      </c>
      <c r="F260" t="str">
        <f>_xlfn.XLOOKUP(Logs_Reseau6[[#This Row],[Cell_ID]],Registre[ID_Antenne],Registre[Province_RDC],"Non Trouvée")</f>
        <v>Non Trouvée</v>
      </c>
      <c r="G260" t="str">
        <f>_xlfn.XLOOKUP(Logs_Reseau6[[#This Row],[Province]],Clients_Churn[Province_Client],Clients_Churn[ID_Client],"Aucun")</f>
        <v>Aucun</v>
      </c>
      <c r="H260" t="str">
        <f>_xlfn.XLOOKUP(Logs_Reseau6[[#This Row],[Cell_ID]],Registre[ID_Antenne],Registre[Technologie],"Rien à signaler")</f>
        <v>Rien à signaler</v>
      </c>
      <c r="I260" t="str">
        <f>_xlfn.XLOOKUP(Logs_Reseau6[[#This Row],[Cell_ID]],Registre[ID_Antenne],Registre[Equipementier],"Non Trouvée")</f>
        <v>Non Trouvée</v>
      </c>
      <c r="J260" t="str">
        <f>_xlfn.XLOOKUP(Logs_Reseau6[[#This Row],[Id_Client]],Clients_Churn[ID_Client],Clients_Churn[Type_Forfait],"Pas d'information")</f>
        <v>Pas d'information</v>
      </c>
      <c r="K260" s="5" t="str">
        <f>IF(Logs_Reseau6[[#This Row],[Type_Forfait]]="Pro Monde","B2B","B2C")</f>
        <v>B2C</v>
      </c>
      <c r="L260" s="5" t="str">
        <f>_xlfn.XLOOKUP(Logs_Reseau6[[#This Row],[Id_Client]],Clients_Churn[ID_Client],Clients_Churn[Duree_Cumulee_Panne_Min],"Non Trouvée")</f>
        <v>Non Trouvée</v>
      </c>
      <c r="M260" s="5" t="str">
        <f>_xlfn.XLOOKUP(Logs_Reseau6[[#This Row],[Id_Client]],Clients_Churn[ID_Client],Clients_Churn[Anciennete_Mois],"Rien à signaler")</f>
        <v>Rien à signaler</v>
      </c>
      <c r="N260" s="5" t="e">
        <f>Logs_Reseau6[[#This Row],[Anciennette]]/24</f>
        <v>#VALUE!</v>
      </c>
      <c r="O260" s="5" t="e">
        <f>Logs_Reseau6[[#This Row],[Duree_Cumulée_Panne]]/1440</f>
        <v>#VALUE!</v>
      </c>
      <c r="P26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61" spans="1:16" hidden="1" x14ac:dyDescent="0.25">
      <c r="A261" s="2">
        <v>45226</v>
      </c>
      <c r="B261" s="1">
        <v>1.3194444444444444E-2</v>
      </c>
      <c r="C261" t="s">
        <v>1359</v>
      </c>
      <c r="D261">
        <v>107</v>
      </c>
      <c r="E261" t="s">
        <v>1303</v>
      </c>
      <c r="F261" t="str">
        <f>_xlfn.XLOOKUP(Logs_Reseau6[[#This Row],[Cell_ID]],Registre[ID_Antenne],Registre[Province_RDC],"Non Trouvée")</f>
        <v>Non Trouvée</v>
      </c>
      <c r="G261" t="str">
        <f>_xlfn.XLOOKUP(Logs_Reseau6[[#This Row],[Province]],Clients_Churn[Province_Client],Clients_Churn[ID_Client],"Aucun")</f>
        <v>Aucun</v>
      </c>
      <c r="H261" t="str">
        <f>_xlfn.XLOOKUP(Logs_Reseau6[[#This Row],[Cell_ID]],Registre[ID_Antenne],Registre[Technologie],"Rien à signaler")</f>
        <v>Rien à signaler</v>
      </c>
      <c r="I261" t="str">
        <f>_xlfn.XLOOKUP(Logs_Reseau6[[#This Row],[Cell_ID]],Registre[ID_Antenne],Registre[Equipementier],"Non Trouvée")</f>
        <v>Non Trouvée</v>
      </c>
      <c r="J261" t="str">
        <f>_xlfn.XLOOKUP(Logs_Reseau6[[#This Row],[Id_Client]],Clients_Churn[ID_Client],Clients_Churn[Type_Forfait],"Pas d'information")</f>
        <v>Pas d'information</v>
      </c>
      <c r="K261" s="5" t="str">
        <f>IF(Logs_Reseau6[[#This Row],[Type_Forfait]]="Pro Monde","B2B","B2C")</f>
        <v>B2C</v>
      </c>
      <c r="L261" s="5" t="str">
        <f>_xlfn.XLOOKUP(Logs_Reseau6[[#This Row],[Id_Client]],Clients_Churn[ID_Client],Clients_Churn[Duree_Cumulee_Panne_Min],"Non Trouvée")</f>
        <v>Non Trouvée</v>
      </c>
      <c r="M261" s="5" t="str">
        <f>_xlfn.XLOOKUP(Logs_Reseau6[[#This Row],[Id_Client]],Clients_Churn[ID_Client],Clients_Churn[Anciennete_Mois],"Rien à signaler")</f>
        <v>Rien à signaler</v>
      </c>
      <c r="N261" s="5" t="e">
        <f>Logs_Reseau6[[#This Row],[Anciennette]]/24</f>
        <v>#VALUE!</v>
      </c>
      <c r="O261" s="5" t="e">
        <f>Logs_Reseau6[[#This Row],[Duree_Cumulée_Panne]]/1440</f>
        <v>#VALUE!</v>
      </c>
      <c r="P26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62" spans="1:16" x14ac:dyDescent="0.25">
      <c r="A262" s="2">
        <v>45228</v>
      </c>
      <c r="B262" s="1">
        <v>8.611111111111111E-2</v>
      </c>
      <c r="C262" t="s">
        <v>1243</v>
      </c>
      <c r="D262">
        <v>43</v>
      </c>
      <c r="E262" t="s">
        <v>1305</v>
      </c>
      <c r="F262" t="str">
        <f>_xlfn.XLOOKUP(Logs_Reseau6[[#This Row],[Cell_ID]],Registre[ID_Antenne],Registre[Province_RDC],"Non Trouvée")</f>
        <v>Sankuru</v>
      </c>
      <c r="G262" t="str">
        <f>_xlfn.XLOOKUP(Logs_Reseau6[[#This Row],[Province]],Clients_Churn[Province_Client],Clients_Churn[ID_Client],"Aucun")</f>
        <v>CLI-00197</v>
      </c>
      <c r="H262" t="str">
        <f>_xlfn.XLOOKUP(Logs_Reseau6[[#This Row],[Cell_ID]],Registre[ID_Antenne],Registre[Technologie],"Rien à signaler")</f>
        <v>5G</v>
      </c>
      <c r="I262" t="str">
        <f>_xlfn.XLOOKUP(Logs_Reseau6[[#This Row],[Cell_ID]],Registre[ID_Antenne],Registre[Equipementier],"Non Trouvée")</f>
        <v>ZTE</v>
      </c>
      <c r="J262" t="str">
        <f>_xlfn.XLOOKUP(Logs_Reseau6[[#This Row],[Id_Client]],Clients_Churn[ID_Client],Clients_Churn[Type_Forfait],"Pas d'information")</f>
        <v>Illimité 50Go</v>
      </c>
      <c r="K262" s="5" t="str">
        <f>IF(Logs_Reseau6[[#This Row],[Type_Forfait]]="Pro Monde","B2B","B2C")</f>
        <v>B2C</v>
      </c>
      <c r="L262" s="5">
        <f>_xlfn.XLOOKUP(Logs_Reseau6[[#This Row],[Id_Client]],Clients_Churn[ID_Client],Clients_Churn[Duree_Cumulee_Panne_Min],"Non Trouvée")</f>
        <v>84</v>
      </c>
      <c r="M262" s="5">
        <f>_xlfn.XLOOKUP(Logs_Reseau6[[#This Row],[Id_Client]],Clients_Churn[ID_Client],Clients_Churn[Anciennete_Mois],"Rien à signaler")</f>
        <v>109</v>
      </c>
      <c r="N262" s="11">
        <f>Logs_Reseau6[[#This Row],[Anciennette]]/24</f>
        <v>4.541666666666667</v>
      </c>
      <c r="O262" s="1">
        <f>Logs_Reseau6[[#This Row],[Duree_Cumulée_Panne]]/1440</f>
        <v>5.8333333333333334E-2</v>
      </c>
      <c r="P26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63" spans="1:16" x14ac:dyDescent="0.25">
      <c r="A263" s="2">
        <v>45217</v>
      </c>
      <c r="B263" s="1">
        <v>2.8472222222222222E-2</v>
      </c>
      <c r="C263" t="s">
        <v>1220</v>
      </c>
      <c r="D263">
        <v>120</v>
      </c>
      <c r="E263" t="s">
        <v>1305</v>
      </c>
      <c r="F263" t="str">
        <f>_xlfn.XLOOKUP(Logs_Reseau6[[#This Row],[Cell_ID]],Registre[ID_Antenne],Registre[Province_RDC],"Non Trouvée")</f>
        <v>Sud-Kivu</v>
      </c>
      <c r="G263" t="str">
        <f>_xlfn.XLOOKUP(Logs_Reseau6[[#This Row],[Province]],Clients_Churn[Province_Client],Clients_Churn[ID_Client],"Aucun")</f>
        <v>CLI-00054</v>
      </c>
      <c r="H263" t="str">
        <f>_xlfn.XLOOKUP(Logs_Reseau6[[#This Row],[Cell_ID]],Registre[ID_Antenne],Registre[Technologie],"Rien à signaler")</f>
        <v>3G</v>
      </c>
      <c r="I263" t="str">
        <f>_xlfn.XLOOKUP(Logs_Reseau6[[#This Row],[Cell_ID]],Registre[ID_Antenne],Registre[Equipementier],"Non Trouvée")</f>
        <v>Nokia</v>
      </c>
      <c r="J263" t="str">
        <f>_xlfn.XLOOKUP(Logs_Reseau6[[#This Row],[Id_Client]],Clients_Churn[ID_Client],Clients_Churn[Type_Forfait],"Pas d'information")</f>
        <v>Bloqué 5Go</v>
      </c>
      <c r="K263" s="5" t="str">
        <f>IF(Logs_Reseau6[[#This Row],[Type_Forfait]]="Pro Monde","B2B","B2C")</f>
        <v>B2C</v>
      </c>
      <c r="L263" s="5">
        <f>_xlfn.XLOOKUP(Logs_Reseau6[[#This Row],[Id_Client]],Clients_Churn[ID_Client],Clients_Churn[Duree_Cumulee_Panne_Min],"Non Trouvée")</f>
        <v>40</v>
      </c>
      <c r="M263" s="5">
        <f>_xlfn.XLOOKUP(Logs_Reseau6[[#This Row],[Id_Client]],Clients_Churn[ID_Client],Clients_Churn[Anciennete_Mois],"Rien à signaler")</f>
        <v>34</v>
      </c>
      <c r="N263" s="11">
        <f>Logs_Reseau6[[#This Row],[Anciennette]]/24</f>
        <v>1.4166666666666667</v>
      </c>
      <c r="O263" s="1">
        <f>Logs_Reseau6[[#This Row],[Duree_Cumulée_Panne]]/1440</f>
        <v>2.7777777777777776E-2</v>
      </c>
      <c r="P26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64" spans="1:16" x14ac:dyDescent="0.25">
      <c r="A264" s="2">
        <v>45230</v>
      </c>
      <c r="B264" s="1">
        <v>0.86388888888888893</v>
      </c>
      <c r="C264" t="s">
        <v>1220</v>
      </c>
      <c r="D264">
        <v>57</v>
      </c>
      <c r="E264" t="s">
        <v>1300</v>
      </c>
      <c r="F264" t="str">
        <f>_xlfn.XLOOKUP(Logs_Reseau6[[#This Row],[Cell_ID]],Registre[ID_Antenne],Registre[Province_RDC],"Non Trouvée")</f>
        <v>Sud-Kivu</v>
      </c>
      <c r="G264" t="str">
        <f>_xlfn.XLOOKUP(Logs_Reseau6[[#This Row],[Province]],Clients_Churn[Province_Client],Clients_Churn[ID_Client],"Aucun")</f>
        <v>CLI-00054</v>
      </c>
      <c r="H264" t="str">
        <f>_xlfn.XLOOKUP(Logs_Reseau6[[#This Row],[Cell_ID]],Registre[ID_Antenne],Registre[Technologie],"Rien à signaler")</f>
        <v>3G</v>
      </c>
      <c r="I264" t="str">
        <f>_xlfn.XLOOKUP(Logs_Reseau6[[#This Row],[Cell_ID]],Registre[ID_Antenne],Registre[Equipementier],"Non Trouvée")</f>
        <v>Nokia</v>
      </c>
      <c r="J264" t="str">
        <f>_xlfn.XLOOKUP(Logs_Reseau6[[#This Row],[Id_Client]],Clients_Churn[ID_Client],Clients_Churn[Type_Forfait],"Pas d'information")</f>
        <v>Bloqué 5Go</v>
      </c>
      <c r="K264" s="5" t="str">
        <f>IF(Logs_Reseau6[[#This Row],[Type_Forfait]]="Pro Monde","B2B","B2C")</f>
        <v>B2C</v>
      </c>
      <c r="L264" s="5">
        <f>_xlfn.XLOOKUP(Logs_Reseau6[[#This Row],[Id_Client]],Clients_Churn[ID_Client],Clients_Churn[Duree_Cumulee_Panne_Min],"Non Trouvée")</f>
        <v>40</v>
      </c>
      <c r="M264" s="5">
        <f>_xlfn.XLOOKUP(Logs_Reseau6[[#This Row],[Id_Client]],Clients_Churn[ID_Client],Clients_Churn[Anciennete_Mois],"Rien à signaler")</f>
        <v>34</v>
      </c>
      <c r="N264" s="11">
        <f>Logs_Reseau6[[#This Row],[Anciennette]]/24</f>
        <v>1.4166666666666667</v>
      </c>
      <c r="O264" s="1">
        <f>Logs_Reseau6[[#This Row],[Duree_Cumulée_Panne]]/1440</f>
        <v>2.7777777777777776E-2</v>
      </c>
      <c r="P26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65" spans="1:16" x14ac:dyDescent="0.25">
      <c r="A265" s="2">
        <v>45214</v>
      </c>
      <c r="B265" s="1">
        <v>0.9604166666666667</v>
      </c>
      <c r="C265" t="s">
        <v>923</v>
      </c>
      <c r="D265">
        <v>38</v>
      </c>
      <c r="E265" t="s">
        <v>1300</v>
      </c>
      <c r="F265" t="str">
        <f>_xlfn.XLOOKUP(Logs_Reseau6[[#This Row],[Cell_ID]],Registre[ID_Antenne],Registre[Province_RDC],"Non Trouvée")</f>
        <v>Lualaba</v>
      </c>
      <c r="G265" t="str">
        <f>_xlfn.XLOOKUP(Logs_Reseau6[[#This Row],[Province]],Clients_Churn[Province_Client],Clients_Churn[ID_Client],"Aucun")</f>
        <v>CLI-00334</v>
      </c>
      <c r="H265" t="str">
        <f>_xlfn.XLOOKUP(Logs_Reseau6[[#This Row],[Cell_ID]],Registre[ID_Antenne],Registre[Technologie],"Rien à signaler")</f>
        <v>3G</v>
      </c>
      <c r="I265" t="str">
        <f>_xlfn.XLOOKUP(Logs_Reseau6[[#This Row],[Cell_ID]],Registre[ID_Antenne],Registre[Equipementier],"Non Trouvée")</f>
        <v>Huawei</v>
      </c>
      <c r="J265" t="str">
        <f>_xlfn.XLOOKUP(Logs_Reseau6[[#This Row],[Id_Client]],Clients_Churn[ID_Client],Clients_Churn[Type_Forfait],"Pas d'information")</f>
        <v>Pro Monde</v>
      </c>
      <c r="K265" s="5" t="str">
        <f>IF(Logs_Reseau6[[#This Row],[Type_Forfait]]="Pro Monde","B2B","B2C")</f>
        <v>B2B</v>
      </c>
      <c r="L265" s="5">
        <f>_xlfn.XLOOKUP(Logs_Reseau6[[#This Row],[Id_Client]],Clients_Churn[ID_Client],Clients_Churn[Duree_Cumulee_Panne_Min],"Non Trouvée")</f>
        <v>214</v>
      </c>
      <c r="M265" s="5">
        <f>_xlfn.XLOOKUP(Logs_Reseau6[[#This Row],[Id_Client]],Clients_Churn[ID_Client],Clients_Churn[Anciennete_Mois],"Rien à signaler")</f>
        <v>16</v>
      </c>
      <c r="N265" s="11">
        <f>Logs_Reseau6[[#This Row],[Anciennette]]/24</f>
        <v>0.66666666666666663</v>
      </c>
      <c r="O265" s="1">
        <f>Logs_Reseau6[[#This Row],[Duree_Cumulée_Panne]]/1440</f>
        <v>0.14861111111111111</v>
      </c>
      <c r="P26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66" spans="1:16" hidden="1" x14ac:dyDescent="0.25">
      <c r="A266" s="2">
        <v>45203</v>
      </c>
      <c r="B266" s="1">
        <v>0.89166666666666672</v>
      </c>
      <c r="C266" t="s">
        <v>1377</v>
      </c>
      <c r="D266">
        <v>7</v>
      </c>
      <c r="E266" t="s">
        <v>1303</v>
      </c>
      <c r="F266" t="str">
        <f>_xlfn.XLOOKUP(Logs_Reseau6[[#This Row],[Cell_ID]],Registre[ID_Antenne],Registre[Province_RDC],"Non Trouvée")</f>
        <v>Non Trouvée</v>
      </c>
      <c r="G266" t="str">
        <f>_xlfn.XLOOKUP(Logs_Reseau6[[#This Row],[Province]],Clients_Churn[Province_Client],Clients_Churn[ID_Client],"Aucun")</f>
        <v>Aucun</v>
      </c>
      <c r="H266" t="str">
        <f>_xlfn.XLOOKUP(Logs_Reseau6[[#This Row],[Cell_ID]],Registre[ID_Antenne],Registre[Technologie],"Rien à signaler")</f>
        <v>Rien à signaler</v>
      </c>
      <c r="I266" t="str">
        <f>_xlfn.XLOOKUP(Logs_Reseau6[[#This Row],[Cell_ID]],Registre[ID_Antenne],Registre[Equipementier],"Non Trouvée")</f>
        <v>Non Trouvée</v>
      </c>
      <c r="J266" t="str">
        <f>_xlfn.XLOOKUP(Logs_Reseau6[[#This Row],[Id_Client]],Clients_Churn[ID_Client],Clients_Churn[Type_Forfait],"Pas d'information")</f>
        <v>Pas d'information</v>
      </c>
      <c r="K266" s="5" t="str">
        <f>IF(Logs_Reseau6[[#This Row],[Type_Forfait]]="Pro Monde","B2B","B2C")</f>
        <v>B2C</v>
      </c>
      <c r="L266" s="5" t="str">
        <f>_xlfn.XLOOKUP(Logs_Reseau6[[#This Row],[Id_Client]],Clients_Churn[ID_Client],Clients_Churn[Duree_Cumulee_Panne_Min],"Non Trouvée")</f>
        <v>Non Trouvée</v>
      </c>
      <c r="M266" s="5" t="str">
        <f>_xlfn.XLOOKUP(Logs_Reseau6[[#This Row],[Id_Client]],Clients_Churn[ID_Client],Clients_Churn[Anciennete_Mois],"Rien à signaler")</f>
        <v>Rien à signaler</v>
      </c>
      <c r="N266" s="5" t="e">
        <f>Logs_Reseau6[[#This Row],[Anciennette]]/24</f>
        <v>#VALUE!</v>
      </c>
      <c r="O266" s="5" t="e">
        <f>Logs_Reseau6[[#This Row],[Duree_Cumulée_Panne]]/1440</f>
        <v>#VALUE!</v>
      </c>
      <c r="P26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67" spans="1:16" hidden="1" x14ac:dyDescent="0.25">
      <c r="A267" s="2">
        <v>45212</v>
      </c>
      <c r="B267" s="1">
        <v>0.31597222222222221</v>
      </c>
      <c r="C267" t="s">
        <v>1377</v>
      </c>
      <c r="D267">
        <v>112</v>
      </c>
      <c r="E267" t="s">
        <v>1300</v>
      </c>
      <c r="F267" t="str">
        <f>_xlfn.XLOOKUP(Logs_Reseau6[[#This Row],[Cell_ID]],Registre[ID_Antenne],Registre[Province_RDC],"Non Trouvée")</f>
        <v>Non Trouvée</v>
      </c>
      <c r="G267" t="str">
        <f>_xlfn.XLOOKUP(Logs_Reseau6[[#This Row],[Province]],Clients_Churn[Province_Client],Clients_Churn[ID_Client],"Aucun")</f>
        <v>Aucun</v>
      </c>
      <c r="H267" t="str">
        <f>_xlfn.XLOOKUP(Logs_Reseau6[[#This Row],[Cell_ID]],Registre[ID_Antenne],Registre[Technologie],"Rien à signaler")</f>
        <v>Rien à signaler</v>
      </c>
      <c r="I267" t="str">
        <f>_xlfn.XLOOKUP(Logs_Reseau6[[#This Row],[Cell_ID]],Registre[ID_Antenne],Registre[Equipementier],"Non Trouvée")</f>
        <v>Non Trouvée</v>
      </c>
      <c r="J267" t="str">
        <f>_xlfn.XLOOKUP(Logs_Reseau6[[#This Row],[Id_Client]],Clients_Churn[ID_Client],Clients_Churn[Type_Forfait],"Pas d'information")</f>
        <v>Pas d'information</v>
      </c>
      <c r="K267" s="5" t="str">
        <f>IF(Logs_Reseau6[[#This Row],[Type_Forfait]]="Pro Monde","B2B","B2C")</f>
        <v>B2C</v>
      </c>
      <c r="L267" s="5" t="str">
        <f>_xlfn.XLOOKUP(Logs_Reseau6[[#This Row],[Id_Client]],Clients_Churn[ID_Client],Clients_Churn[Duree_Cumulee_Panne_Min],"Non Trouvée")</f>
        <v>Non Trouvée</v>
      </c>
      <c r="M267" s="5" t="str">
        <f>_xlfn.XLOOKUP(Logs_Reseau6[[#This Row],[Id_Client]],Clients_Churn[ID_Client],Clients_Churn[Anciennete_Mois],"Rien à signaler")</f>
        <v>Rien à signaler</v>
      </c>
      <c r="N267" s="5" t="e">
        <f>Logs_Reseau6[[#This Row],[Anciennette]]/24</f>
        <v>#VALUE!</v>
      </c>
      <c r="O267" s="5" t="e">
        <f>Logs_Reseau6[[#This Row],[Duree_Cumulée_Panne]]/1440</f>
        <v>#VALUE!</v>
      </c>
      <c r="P26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68" spans="1:16" hidden="1" x14ac:dyDescent="0.25">
      <c r="A268" s="2">
        <v>45215</v>
      </c>
      <c r="B268" s="1">
        <v>0.59791666666666665</v>
      </c>
      <c r="C268" t="s">
        <v>1377</v>
      </c>
      <c r="D268">
        <v>7</v>
      </c>
      <c r="E268" t="s">
        <v>1305</v>
      </c>
      <c r="F268" t="str">
        <f>_xlfn.XLOOKUP(Logs_Reseau6[[#This Row],[Cell_ID]],Registre[ID_Antenne],Registre[Province_RDC],"Non Trouvée")</f>
        <v>Non Trouvée</v>
      </c>
      <c r="G268" t="str">
        <f>_xlfn.XLOOKUP(Logs_Reseau6[[#This Row],[Province]],Clients_Churn[Province_Client],Clients_Churn[ID_Client],"Aucun")</f>
        <v>Aucun</v>
      </c>
      <c r="H268" t="str">
        <f>_xlfn.XLOOKUP(Logs_Reseau6[[#This Row],[Cell_ID]],Registre[ID_Antenne],Registre[Technologie],"Rien à signaler")</f>
        <v>Rien à signaler</v>
      </c>
      <c r="I268" t="str">
        <f>_xlfn.XLOOKUP(Logs_Reseau6[[#This Row],[Cell_ID]],Registre[ID_Antenne],Registre[Equipementier],"Non Trouvée")</f>
        <v>Non Trouvée</v>
      </c>
      <c r="J268" t="str">
        <f>_xlfn.XLOOKUP(Logs_Reseau6[[#This Row],[Id_Client]],Clients_Churn[ID_Client],Clients_Churn[Type_Forfait],"Pas d'information")</f>
        <v>Pas d'information</v>
      </c>
      <c r="K268" s="5" t="str">
        <f>IF(Logs_Reseau6[[#This Row],[Type_Forfait]]="Pro Monde","B2B","B2C")</f>
        <v>B2C</v>
      </c>
      <c r="L268" s="5" t="str">
        <f>_xlfn.XLOOKUP(Logs_Reseau6[[#This Row],[Id_Client]],Clients_Churn[ID_Client],Clients_Churn[Duree_Cumulee_Panne_Min],"Non Trouvée")</f>
        <v>Non Trouvée</v>
      </c>
      <c r="M268" s="5" t="str">
        <f>_xlfn.XLOOKUP(Logs_Reseau6[[#This Row],[Id_Client]],Clients_Churn[ID_Client],Clients_Churn[Anciennete_Mois],"Rien à signaler")</f>
        <v>Rien à signaler</v>
      </c>
      <c r="N268" s="5" t="e">
        <f>Logs_Reseau6[[#This Row],[Anciennette]]/24</f>
        <v>#VALUE!</v>
      </c>
      <c r="O268" s="5" t="e">
        <f>Logs_Reseau6[[#This Row],[Duree_Cumulée_Panne]]/1440</f>
        <v>#VALUE!</v>
      </c>
      <c r="P26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69" spans="1:16" hidden="1" x14ac:dyDescent="0.25">
      <c r="A269" s="2">
        <v>45220</v>
      </c>
      <c r="B269" s="1">
        <v>0.65138888888888891</v>
      </c>
      <c r="C269" t="s">
        <v>1377</v>
      </c>
      <c r="D269">
        <v>36</v>
      </c>
      <c r="E269" t="s">
        <v>1300</v>
      </c>
      <c r="F269" t="str">
        <f>_xlfn.XLOOKUP(Logs_Reseau6[[#This Row],[Cell_ID]],Registre[ID_Antenne],Registre[Province_RDC],"Non Trouvée")</f>
        <v>Non Trouvée</v>
      </c>
      <c r="G269" t="str">
        <f>_xlfn.XLOOKUP(Logs_Reseau6[[#This Row],[Province]],Clients_Churn[Province_Client],Clients_Churn[ID_Client],"Aucun")</f>
        <v>Aucun</v>
      </c>
      <c r="H269" t="str">
        <f>_xlfn.XLOOKUP(Logs_Reseau6[[#This Row],[Cell_ID]],Registre[ID_Antenne],Registre[Technologie],"Rien à signaler")</f>
        <v>Rien à signaler</v>
      </c>
      <c r="I269" t="str">
        <f>_xlfn.XLOOKUP(Logs_Reseau6[[#This Row],[Cell_ID]],Registre[ID_Antenne],Registre[Equipementier],"Non Trouvée")</f>
        <v>Non Trouvée</v>
      </c>
      <c r="J269" t="str">
        <f>_xlfn.XLOOKUP(Logs_Reseau6[[#This Row],[Id_Client]],Clients_Churn[ID_Client],Clients_Churn[Type_Forfait],"Pas d'information")</f>
        <v>Pas d'information</v>
      </c>
      <c r="K269" s="5" t="str">
        <f>IF(Logs_Reseau6[[#This Row],[Type_Forfait]]="Pro Monde","B2B","B2C")</f>
        <v>B2C</v>
      </c>
      <c r="L269" s="5" t="str">
        <f>_xlfn.XLOOKUP(Logs_Reseau6[[#This Row],[Id_Client]],Clients_Churn[ID_Client],Clients_Churn[Duree_Cumulee_Panne_Min],"Non Trouvée")</f>
        <v>Non Trouvée</v>
      </c>
      <c r="M269" s="5" t="str">
        <f>_xlfn.XLOOKUP(Logs_Reseau6[[#This Row],[Id_Client]],Clients_Churn[ID_Client],Clients_Churn[Anciennete_Mois],"Rien à signaler")</f>
        <v>Rien à signaler</v>
      </c>
      <c r="N269" s="5" t="e">
        <f>Logs_Reseau6[[#This Row],[Anciennette]]/24</f>
        <v>#VALUE!</v>
      </c>
      <c r="O269" s="5" t="e">
        <f>Logs_Reseau6[[#This Row],[Duree_Cumulée_Panne]]/1440</f>
        <v>#VALUE!</v>
      </c>
      <c r="P26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70" spans="1:16" hidden="1" x14ac:dyDescent="0.25">
      <c r="A270" s="2">
        <v>45207</v>
      </c>
      <c r="B270" s="1">
        <v>0.35069444444444442</v>
      </c>
      <c r="C270" t="s">
        <v>1622</v>
      </c>
      <c r="D270">
        <v>75</v>
      </c>
      <c r="E270" t="s">
        <v>1305</v>
      </c>
      <c r="F270" t="str">
        <f>_xlfn.XLOOKUP(Logs_Reseau6[[#This Row],[Cell_ID]],Registre[ID_Antenne],Registre[Province_RDC],"Non Trouvée")</f>
        <v>Non Trouvée</v>
      </c>
      <c r="G270" t="str">
        <f>_xlfn.XLOOKUP(Logs_Reseau6[[#This Row],[Province]],Clients_Churn[Province_Client],Clients_Churn[ID_Client],"Aucun")</f>
        <v>Aucun</v>
      </c>
      <c r="H270" t="str">
        <f>_xlfn.XLOOKUP(Logs_Reseau6[[#This Row],[Cell_ID]],Registre[ID_Antenne],Registre[Technologie],"Rien à signaler")</f>
        <v>Rien à signaler</v>
      </c>
      <c r="I270" t="str">
        <f>_xlfn.XLOOKUP(Logs_Reseau6[[#This Row],[Cell_ID]],Registre[ID_Antenne],Registre[Equipementier],"Non Trouvée")</f>
        <v>Non Trouvée</v>
      </c>
      <c r="J270" t="str">
        <f>_xlfn.XLOOKUP(Logs_Reseau6[[#This Row],[Id_Client]],Clients_Churn[ID_Client],Clients_Churn[Type_Forfait],"Pas d'information")</f>
        <v>Pas d'information</v>
      </c>
      <c r="K270" s="5" t="str">
        <f>IF(Logs_Reseau6[[#This Row],[Type_Forfait]]="Pro Monde","B2B","B2C")</f>
        <v>B2C</v>
      </c>
      <c r="L270" s="5" t="str">
        <f>_xlfn.XLOOKUP(Logs_Reseau6[[#This Row],[Id_Client]],Clients_Churn[ID_Client],Clients_Churn[Duree_Cumulee_Panne_Min],"Non Trouvée")</f>
        <v>Non Trouvée</v>
      </c>
      <c r="M270" s="5" t="str">
        <f>_xlfn.XLOOKUP(Logs_Reseau6[[#This Row],[Id_Client]],Clients_Churn[ID_Client],Clients_Churn[Anciennete_Mois],"Rien à signaler")</f>
        <v>Rien à signaler</v>
      </c>
      <c r="N270" s="5" t="e">
        <f>Logs_Reseau6[[#This Row],[Anciennette]]/24</f>
        <v>#VALUE!</v>
      </c>
      <c r="O270" s="5" t="e">
        <f>Logs_Reseau6[[#This Row],[Duree_Cumulée_Panne]]/1440</f>
        <v>#VALUE!</v>
      </c>
      <c r="P27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71" spans="1:16" x14ac:dyDescent="0.25">
      <c r="A271" s="2">
        <v>45221</v>
      </c>
      <c r="B271" s="1">
        <v>3.9583333333333331E-2</v>
      </c>
      <c r="C271" t="s">
        <v>1080</v>
      </c>
      <c r="D271">
        <v>33</v>
      </c>
      <c r="E271" t="s">
        <v>1303</v>
      </c>
      <c r="F271" t="str">
        <f>_xlfn.XLOOKUP(Logs_Reseau6[[#This Row],[Cell_ID]],Registre[ID_Antenne],Registre[Province_RDC],"Non Trouvée")</f>
        <v>Kinshasa</v>
      </c>
      <c r="G271" t="str">
        <f>_xlfn.XLOOKUP(Logs_Reseau6[[#This Row],[Province]],Clients_Churn[Province_Client],Clients_Churn[ID_Client],"Aucun")</f>
        <v>CLI-00184</v>
      </c>
      <c r="H271" t="str">
        <f>_xlfn.XLOOKUP(Logs_Reseau6[[#This Row],[Cell_ID]],Registre[ID_Antenne],Registre[Technologie],"Rien à signaler")</f>
        <v>4G</v>
      </c>
      <c r="I271" t="str">
        <f>_xlfn.XLOOKUP(Logs_Reseau6[[#This Row],[Cell_ID]],Registre[ID_Antenne],Registre[Equipementier],"Non Trouvée")</f>
        <v>Huawei</v>
      </c>
      <c r="J271" t="str">
        <f>_xlfn.XLOOKUP(Logs_Reseau6[[#This Row],[Id_Client]],Clients_Churn[ID_Client],Clients_Churn[Type_Forfait],"Pas d'information")</f>
        <v>Premium 5G 150Go</v>
      </c>
      <c r="K271" s="5" t="str">
        <f>IF(Logs_Reseau6[[#This Row],[Type_Forfait]]="Pro Monde","B2B","B2C")</f>
        <v>B2C</v>
      </c>
      <c r="L271" s="5">
        <f>_xlfn.XLOOKUP(Logs_Reseau6[[#This Row],[Id_Client]],Clients_Churn[ID_Client],Clients_Churn[Duree_Cumulee_Panne_Min],"Non Trouvée")</f>
        <v>191</v>
      </c>
      <c r="M271" s="5">
        <f>_xlfn.XLOOKUP(Logs_Reseau6[[#This Row],[Id_Client]],Clients_Churn[ID_Client],Clients_Churn[Anciennete_Mois],"Rien à signaler")</f>
        <v>71</v>
      </c>
      <c r="N271" s="11">
        <f>Logs_Reseau6[[#This Row],[Anciennette]]/24</f>
        <v>2.9583333333333335</v>
      </c>
      <c r="O271" s="1">
        <f>Logs_Reseau6[[#This Row],[Duree_Cumulée_Panne]]/1440</f>
        <v>0.13263888888888889</v>
      </c>
      <c r="P27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72" spans="1:16" hidden="1" x14ac:dyDescent="0.25">
      <c r="A272" s="2">
        <v>45205</v>
      </c>
      <c r="B272" s="1">
        <v>0.81666666666666665</v>
      </c>
      <c r="C272" t="s">
        <v>1358</v>
      </c>
      <c r="D272">
        <v>33</v>
      </c>
      <c r="E272" t="s">
        <v>1305</v>
      </c>
      <c r="F272" t="str">
        <f>_xlfn.XLOOKUP(Logs_Reseau6[[#This Row],[Cell_ID]],Registre[ID_Antenne],Registre[Province_RDC],"Non Trouvée")</f>
        <v>Non Trouvée</v>
      </c>
      <c r="G272" t="str">
        <f>_xlfn.XLOOKUP(Logs_Reseau6[[#This Row],[Province]],Clients_Churn[Province_Client],Clients_Churn[ID_Client],"Aucun")</f>
        <v>Aucun</v>
      </c>
      <c r="H272" t="str">
        <f>_xlfn.XLOOKUP(Logs_Reseau6[[#This Row],[Cell_ID]],Registre[ID_Antenne],Registre[Technologie],"Rien à signaler")</f>
        <v>Rien à signaler</v>
      </c>
      <c r="I272" t="str">
        <f>_xlfn.XLOOKUP(Logs_Reseau6[[#This Row],[Cell_ID]],Registre[ID_Antenne],Registre[Equipementier],"Non Trouvée")</f>
        <v>Non Trouvée</v>
      </c>
      <c r="J272" t="str">
        <f>_xlfn.XLOOKUP(Logs_Reseau6[[#This Row],[Id_Client]],Clients_Churn[ID_Client],Clients_Churn[Type_Forfait],"Pas d'information")</f>
        <v>Pas d'information</v>
      </c>
      <c r="K272" s="5" t="str">
        <f>IF(Logs_Reseau6[[#This Row],[Type_Forfait]]="Pro Monde","B2B","B2C")</f>
        <v>B2C</v>
      </c>
      <c r="L272" s="5" t="str">
        <f>_xlfn.XLOOKUP(Logs_Reseau6[[#This Row],[Id_Client]],Clients_Churn[ID_Client],Clients_Churn[Duree_Cumulee_Panne_Min],"Non Trouvée")</f>
        <v>Non Trouvée</v>
      </c>
      <c r="M272" s="5" t="str">
        <f>_xlfn.XLOOKUP(Logs_Reseau6[[#This Row],[Id_Client]],Clients_Churn[ID_Client],Clients_Churn[Anciennete_Mois],"Rien à signaler")</f>
        <v>Rien à signaler</v>
      </c>
      <c r="N272" s="5" t="e">
        <f>Logs_Reseau6[[#This Row],[Anciennette]]/24</f>
        <v>#VALUE!</v>
      </c>
      <c r="O272" s="5" t="e">
        <f>Logs_Reseau6[[#This Row],[Duree_Cumulée_Panne]]/1440</f>
        <v>#VALUE!</v>
      </c>
      <c r="P27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73" spans="1:16" x14ac:dyDescent="0.25">
      <c r="A273" s="2">
        <v>45200</v>
      </c>
      <c r="B273" s="1">
        <v>0.46666666666666667</v>
      </c>
      <c r="C273" t="s">
        <v>1102</v>
      </c>
      <c r="D273">
        <v>31</v>
      </c>
      <c r="E273" t="s">
        <v>1303</v>
      </c>
      <c r="F273" t="str">
        <f>_xlfn.XLOOKUP(Logs_Reseau6[[#This Row],[Cell_ID]],Registre[ID_Antenne],Registre[Province_RDC],"Non Trouvée")</f>
        <v>Lomami</v>
      </c>
      <c r="G273" t="str">
        <f>_xlfn.XLOOKUP(Logs_Reseau6[[#This Row],[Province]],Clients_Churn[Province_Client],Clients_Churn[ID_Client],"Aucun")</f>
        <v>CLI-00044</v>
      </c>
      <c r="H273" t="str">
        <f>_xlfn.XLOOKUP(Logs_Reseau6[[#This Row],[Cell_ID]],Registre[ID_Antenne],Registre[Technologie],"Rien à signaler")</f>
        <v>4G</v>
      </c>
      <c r="I273" t="str">
        <f>_xlfn.XLOOKUP(Logs_Reseau6[[#This Row],[Cell_ID]],Registre[ID_Antenne],Registre[Equipementier],"Non Trouvée")</f>
        <v>Nokia</v>
      </c>
      <c r="J273" t="str">
        <f>_xlfn.XLOOKUP(Logs_Reseau6[[#This Row],[Id_Client]],Clients_Churn[ID_Client],Clients_Churn[Type_Forfait],"Pas d'information")</f>
        <v>Illimité 50Go</v>
      </c>
      <c r="K273" s="5" t="str">
        <f>IF(Logs_Reseau6[[#This Row],[Type_Forfait]]="Pro Monde","B2B","B2C")</f>
        <v>B2C</v>
      </c>
      <c r="L273" s="5">
        <f>_xlfn.XLOOKUP(Logs_Reseau6[[#This Row],[Id_Client]],Clients_Churn[ID_Client],Clients_Churn[Duree_Cumulee_Panne_Min],"Non Trouvée")</f>
        <v>345</v>
      </c>
      <c r="M273" s="5">
        <f>_xlfn.XLOOKUP(Logs_Reseau6[[#This Row],[Id_Client]],Clients_Churn[ID_Client],Clients_Churn[Anciennete_Mois],"Rien à signaler")</f>
        <v>53</v>
      </c>
      <c r="N273" s="11">
        <f>Logs_Reseau6[[#This Row],[Anciennette]]/24</f>
        <v>2.2083333333333335</v>
      </c>
      <c r="O273" s="1">
        <f>Logs_Reseau6[[#This Row],[Duree_Cumulée_Panne]]/1440</f>
        <v>0.23958333333333334</v>
      </c>
      <c r="P27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74" spans="1:16" x14ac:dyDescent="0.25">
      <c r="A274" s="2">
        <v>45201</v>
      </c>
      <c r="B274" s="1">
        <v>0.29305555555555557</v>
      </c>
      <c r="C274" t="s">
        <v>1102</v>
      </c>
      <c r="D274">
        <v>95</v>
      </c>
      <c r="E274" t="s">
        <v>1305</v>
      </c>
      <c r="F274" t="str">
        <f>_xlfn.XLOOKUP(Logs_Reseau6[[#This Row],[Cell_ID]],Registre[ID_Antenne],Registre[Province_RDC],"Non Trouvée")</f>
        <v>Lomami</v>
      </c>
      <c r="G274" t="str">
        <f>_xlfn.XLOOKUP(Logs_Reseau6[[#This Row],[Province]],Clients_Churn[Province_Client],Clients_Churn[ID_Client],"Aucun")</f>
        <v>CLI-00044</v>
      </c>
      <c r="H274" t="str">
        <f>_xlfn.XLOOKUP(Logs_Reseau6[[#This Row],[Cell_ID]],Registre[ID_Antenne],Registre[Technologie],"Rien à signaler")</f>
        <v>4G</v>
      </c>
      <c r="I274" t="str">
        <f>_xlfn.XLOOKUP(Logs_Reseau6[[#This Row],[Cell_ID]],Registre[ID_Antenne],Registre[Equipementier],"Non Trouvée")</f>
        <v>Nokia</v>
      </c>
      <c r="J274" t="str">
        <f>_xlfn.XLOOKUP(Logs_Reseau6[[#This Row],[Id_Client]],Clients_Churn[ID_Client],Clients_Churn[Type_Forfait],"Pas d'information")</f>
        <v>Illimité 50Go</v>
      </c>
      <c r="K274" s="5" t="str">
        <f>IF(Logs_Reseau6[[#This Row],[Type_Forfait]]="Pro Monde","B2B","B2C")</f>
        <v>B2C</v>
      </c>
      <c r="L274" s="5">
        <f>_xlfn.XLOOKUP(Logs_Reseau6[[#This Row],[Id_Client]],Clients_Churn[ID_Client],Clients_Churn[Duree_Cumulee_Panne_Min],"Non Trouvée")</f>
        <v>345</v>
      </c>
      <c r="M274" s="5">
        <f>_xlfn.XLOOKUP(Logs_Reseau6[[#This Row],[Id_Client]],Clients_Churn[ID_Client],Clients_Churn[Anciennete_Mois],"Rien à signaler")</f>
        <v>53</v>
      </c>
      <c r="N274" s="11">
        <f>Logs_Reseau6[[#This Row],[Anciennette]]/24</f>
        <v>2.2083333333333335</v>
      </c>
      <c r="O274" s="1">
        <f>Logs_Reseau6[[#This Row],[Duree_Cumulée_Panne]]/1440</f>
        <v>0.23958333333333334</v>
      </c>
      <c r="P27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75" spans="1:16" hidden="1" x14ac:dyDescent="0.25">
      <c r="A275" s="2">
        <v>45200</v>
      </c>
      <c r="B275" s="1">
        <v>0.51111111111111107</v>
      </c>
      <c r="C275" t="s">
        <v>1335</v>
      </c>
      <c r="D275">
        <v>108</v>
      </c>
      <c r="E275" t="s">
        <v>1305</v>
      </c>
      <c r="F275" t="str">
        <f>_xlfn.XLOOKUP(Logs_Reseau6[[#This Row],[Cell_ID]],Registre[ID_Antenne],Registre[Province_RDC],"Non Trouvée")</f>
        <v>Non Trouvée</v>
      </c>
      <c r="G275" t="str">
        <f>_xlfn.XLOOKUP(Logs_Reseau6[[#This Row],[Province]],Clients_Churn[Province_Client],Clients_Churn[ID_Client],"Aucun")</f>
        <v>Aucun</v>
      </c>
      <c r="H275" t="str">
        <f>_xlfn.XLOOKUP(Logs_Reseau6[[#This Row],[Cell_ID]],Registre[ID_Antenne],Registre[Technologie],"Rien à signaler")</f>
        <v>Rien à signaler</v>
      </c>
      <c r="I275" t="str">
        <f>_xlfn.XLOOKUP(Logs_Reseau6[[#This Row],[Cell_ID]],Registre[ID_Antenne],Registre[Equipementier],"Non Trouvée")</f>
        <v>Non Trouvée</v>
      </c>
      <c r="J275" t="str">
        <f>_xlfn.XLOOKUP(Logs_Reseau6[[#This Row],[Id_Client]],Clients_Churn[ID_Client],Clients_Churn[Type_Forfait],"Pas d'information")</f>
        <v>Pas d'information</v>
      </c>
      <c r="K275" s="5" t="str">
        <f>IF(Logs_Reseau6[[#This Row],[Type_Forfait]]="Pro Monde","B2B","B2C")</f>
        <v>B2C</v>
      </c>
      <c r="L275" s="5" t="str">
        <f>_xlfn.XLOOKUP(Logs_Reseau6[[#This Row],[Id_Client]],Clients_Churn[ID_Client],Clients_Churn[Duree_Cumulee_Panne_Min],"Non Trouvée")</f>
        <v>Non Trouvée</v>
      </c>
      <c r="M275" s="5" t="str">
        <f>_xlfn.XLOOKUP(Logs_Reseau6[[#This Row],[Id_Client]],Clients_Churn[ID_Client],Clients_Churn[Anciennete_Mois],"Rien à signaler")</f>
        <v>Rien à signaler</v>
      </c>
      <c r="N275" s="5" t="e">
        <f>Logs_Reseau6[[#This Row],[Anciennette]]/24</f>
        <v>#VALUE!</v>
      </c>
      <c r="O275" s="5" t="e">
        <f>Logs_Reseau6[[#This Row],[Duree_Cumulée_Panne]]/1440</f>
        <v>#VALUE!</v>
      </c>
      <c r="P27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76" spans="1:16" x14ac:dyDescent="0.25">
      <c r="A276" s="2">
        <v>45202</v>
      </c>
      <c r="B276" s="1">
        <v>0.25972222222222224</v>
      </c>
      <c r="C276" t="s">
        <v>807</v>
      </c>
      <c r="D276">
        <v>79</v>
      </c>
      <c r="E276" t="s">
        <v>1300</v>
      </c>
      <c r="F276" t="str">
        <f>_xlfn.XLOOKUP(Logs_Reseau6[[#This Row],[Cell_ID]],Registre[ID_Antenne],Registre[Province_RDC],"Non Trouvée")</f>
        <v>Kasai-Central</v>
      </c>
      <c r="G276" t="str">
        <f>_xlfn.XLOOKUP(Logs_Reseau6[[#This Row],[Province]],Clients_Churn[Province_Client],Clients_Churn[ID_Client],"Aucun")</f>
        <v>CLI-00060</v>
      </c>
      <c r="H276" t="str">
        <f>_xlfn.XLOOKUP(Logs_Reseau6[[#This Row],[Cell_ID]],Registre[ID_Antenne],Registre[Technologie],"Rien à signaler")</f>
        <v>5G</v>
      </c>
      <c r="I276" t="str">
        <f>_xlfn.XLOOKUP(Logs_Reseau6[[#This Row],[Cell_ID]],Registre[ID_Antenne],Registre[Equipementier],"Non Trouvée")</f>
        <v>Ericsson</v>
      </c>
      <c r="J276" t="str">
        <f>_xlfn.XLOOKUP(Logs_Reseau6[[#This Row],[Id_Client]],Clients_Churn[ID_Client],Clients_Churn[Type_Forfait],"Pas d'information")</f>
        <v>Pro Monde</v>
      </c>
      <c r="K276" s="5" t="str">
        <f>IF(Logs_Reseau6[[#This Row],[Type_Forfait]]="Pro Monde","B2B","B2C")</f>
        <v>B2B</v>
      </c>
      <c r="L276" s="5">
        <f>_xlfn.XLOOKUP(Logs_Reseau6[[#This Row],[Id_Client]],Clients_Churn[ID_Client],Clients_Churn[Duree_Cumulee_Panne_Min],"Non Trouvée")</f>
        <v>160</v>
      </c>
      <c r="M276" s="5">
        <f>_xlfn.XLOOKUP(Logs_Reseau6[[#This Row],[Id_Client]],Clients_Churn[ID_Client],Clients_Churn[Anciennete_Mois],"Rien à signaler")</f>
        <v>72</v>
      </c>
      <c r="N276" s="11">
        <f>Logs_Reseau6[[#This Row],[Anciennette]]/24</f>
        <v>3</v>
      </c>
      <c r="O276" s="1">
        <f>Logs_Reseau6[[#This Row],[Duree_Cumulée_Panne]]/1440</f>
        <v>0.1111111111111111</v>
      </c>
      <c r="P27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77" spans="1:16" x14ac:dyDescent="0.25">
      <c r="A277" s="2">
        <v>45221</v>
      </c>
      <c r="B277" s="1">
        <v>0.18055555555555555</v>
      </c>
      <c r="C277" t="s">
        <v>807</v>
      </c>
      <c r="D277">
        <v>8</v>
      </c>
      <c r="E277" t="s">
        <v>1300</v>
      </c>
      <c r="F277" t="str">
        <f>_xlfn.XLOOKUP(Logs_Reseau6[[#This Row],[Cell_ID]],Registre[ID_Antenne],Registre[Province_RDC],"Non Trouvée")</f>
        <v>Kasai-Central</v>
      </c>
      <c r="G277" t="str">
        <f>_xlfn.XLOOKUP(Logs_Reseau6[[#This Row],[Province]],Clients_Churn[Province_Client],Clients_Churn[ID_Client],"Aucun")</f>
        <v>CLI-00060</v>
      </c>
      <c r="H277" t="str">
        <f>_xlfn.XLOOKUP(Logs_Reseau6[[#This Row],[Cell_ID]],Registre[ID_Antenne],Registre[Technologie],"Rien à signaler")</f>
        <v>5G</v>
      </c>
      <c r="I277" t="str">
        <f>_xlfn.XLOOKUP(Logs_Reseau6[[#This Row],[Cell_ID]],Registre[ID_Antenne],Registre[Equipementier],"Non Trouvée")</f>
        <v>Ericsson</v>
      </c>
      <c r="J277" t="str">
        <f>_xlfn.XLOOKUP(Logs_Reseau6[[#This Row],[Id_Client]],Clients_Churn[ID_Client],Clients_Churn[Type_Forfait],"Pas d'information")</f>
        <v>Pro Monde</v>
      </c>
      <c r="K277" s="5" t="str">
        <f>IF(Logs_Reseau6[[#This Row],[Type_Forfait]]="Pro Monde","B2B","B2C")</f>
        <v>B2B</v>
      </c>
      <c r="L277" s="5">
        <f>_xlfn.XLOOKUP(Logs_Reseau6[[#This Row],[Id_Client]],Clients_Churn[ID_Client],Clients_Churn[Duree_Cumulee_Panne_Min],"Non Trouvée")</f>
        <v>160</v>
      </c>
      <c r="M277" s="5">
        <f>_xlfn.XLOOKUP(Logs_Reseau6[[#This Row],[Id_Client]],Clients_Churn[ID_Client],Clients_Churn[Anciennete_Mois],"Rien à signaler")</f>
        <v>72</v>
      </c>
      <c r="N277" s="11">
        <f>Logs_Reseau6[[#This Row],[Anciennette]]/24</f>
        <v>3</v>
      </c>
      <c r="O277" s="1">
        <f>Logs_Reseau6[[#This Row],[Duree_Cumulée_Panne]]/1440</f>
        <v>0.1111111111111111</v>
      </c>
      <c r="P27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78" spans="1:16" x14ac:dyDescent="0.25">
      <c r="A278" s="2">
        <v>45213</v>
      </c>
      <c r="B278" s="1">
        <v>0.25416666666666665</v>
      </c>
      <c r="C278" t="s">
        <v>885</v>
      </c>
      <c r="D278">
        <v>73</v>
      </c>
      <c r="E278" t="s">
        <v>1305</v>
      </c>
      <c r="F278" t="str">
        <f>_xlfn.XLOOKUP(Logs_Reseau6[[#This Row],[Cell_ID]],Registre[ID_Antenne],Registre[Province_RDC],"Non Trouvée")</f>
        <v>Tshuapa</v>
      </c>
      <c r="G278" t="str">
        <f>_xlfn.XLOOKUP(Logs_Reseau6[[#This Row],[Province]],Clients_Churn[Province_Client],Clients_Churn[ID_Client],"Aucun")</f>
        <v>CLI-00033</v>
      </c>
      <c r="H278" t="str">
        <f>_xlfn.XLOOKUP(Logs_Reseau6[[#This Row],[Cell_ID]],Registre[ID_Antenne],Registre[Technologie],"Rien à signaler")</f>
        <v>5G</v>
      </c>
      <c r="I278" t="str">
        <f>_xlfn.XLOOKUP(Logs_Reseau6[[#This Row],[Cell_ID]],Registre[ID_Antenne],Registre[Equipementier],"Non Trouvée")</f>
        <v>ZTE</v>
      </c>
      <c r="J278" t="str">
        <f>_xlfn.XLOOKUP(Logs_Reseau6[[#This Row],[Id_Client]],Clients_Churn[ID_Client],Clients_Churn[Type_Forfait],"Pas d'information")</f>
        <v>Premium 5G 150Go</v>
      </c>
      <c r="K278" s="5" t="str">
        <f>IF(Logs_Reseau6[[#This Row],[Type_Forfait]]="Pro Monde","B2B","B2C")</f>
        <v>B2C</v>
      </c>
      <c r="L278" s="5">
        <f>_xlfn.XLOOKUP(Logs_Reseau6[[#This Row],[Id_Client]],Clients_Churn[ID_Client],Clients_Churn[Duree_Cumulee_Panne_Min],"Non Trouvée")</f>
        <v>201</v>
      </c>
      <c r="M278" s="5">
        <f>_xlfn.XLOOKUP(Logs_Reseau6[[#This Row],[Id_Client]],Clients_Churn[ID_Client],Clients_Churn[Anciennete_Mois],"Rien à signaler")</f>
        <v>2</v>
      </c>
      <c r="N278" s="11">
        <f>Logs_Reseau6[[#This Row],[Anciennette]]/24</f>
        <v>8.3333333333333329E-2</v>
      </c>
      <c r="O278" s="1">
        <f>Logs_Reseau6[[#This Row],[Duree_Cumulée_Panne]]/1440</f>
        <v>0.13958333333333334</v>
      </c>
      <c r="P27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79" spans="1:16" x14ac:dyDescent="0.25">
      <c r="A279" s="2">
        <v>45226</v>
      </c>
      <c r="B279" s="1">
        <v>0.17083333333333334</v>
      </c>
      <c r="C279" t="s">
        <v>885</v>
      </c>
      <c r="D279">
        <v>54</v>
      </c>
      <c r="E279" t="s">
        <v>1300</v>
      </c>
      <c r="F279" t="str">
        <f>_xlfn.XLOOKUP(Logs_Reseau6[[#This Row],[Cell_ID]],Registre[ID_Antenne],Registre[Province_RDC],"Non Trouvée")</f>
        <v>Tshuapa</v>
      </c>
      <c r="G279" t="str">
        <f>_xlfn.XLOOKUP(Logs_Reseau6[[#This Row],[Province]],Clients_Churn[Province_Client],Clients_Churn[ID_Client],"Aucun")</f>
        <v>CLI-00033</v>
      </c>
      <c r="H279" t="str">
        <f>_xlfn.XLOOKUP(Logs_Reseau6[[#This Row],[Cell_ID]],Registre[ID_Antenne],Registre[Technologie],"Rien à signaler")</f>
        <v>5G</v>
      </c>
      <c r="I279" t="str">
        <f>_xlfn.XLOOKUP(Logs_Reseau6[[#This Row],[Cell_ID]],Registre[ID_Antenne],Registre[Equipementier],"Non Trouvée")</f>
        <v>ZTE</v>
      </c>
      <c r="J279" t="str">
        <f>_xlfn.XLOOKUP(Logs_Reseau6[[#This Row],[Id_Client]],Clients_Churn[ID_Client],Clients_Churn[Type_Forfait],"Pas d'information")</f>
        <v>Premium 5G 150Go</v>
      </c>
      <c r="K279" s="5" t="str">
        <f>IF(Logs_Reseau6[[#This Row],[Type_Forfait]]="Pro Monde","B2B","B2C")</f>
        <v>B2C</v>
      </c>
      <c r="L279" s="5">
        <f>_xlfn.XLOOKUP(Logs_Reseau6[[#This Row],[Id_Client]],Clients_Churn[ID_Client],Clients_Churn[Duree_Cumulee_Panne_Min],"Non Trouvée")</f>
        <v>201</v>
      </c>
      <c r="M279" s="5">
        <f>_xlfn.XLOOKUP(Logs_Reseau6[[#This Row],[Id_Client]],Clients_Churn[ID_Client],Clients_Churn[Anciennete_Mois],"Rien à signaler")</f>
        <v>2</v>
      </c>
      <c r="N279" s="11">
        <f>Logs_Reseau6[[#This Row],[Anciennette]]/24</f>
        <v>8.3333333333333329E-2</v>
      </c>
      <c r="O279" s="1">
        <f>Logs_Reseau6[[#This Row],[Duree_Cumulée_Panne]]/1440</f>
        <v>0.13958333333333334</v>
      </c>
      <c r="P27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80" spans="1:16" hidden="1" x14ac:dyDescent="0.25">
      <c r="A280" s="2">
        <v>45210</v>
      </c>
      <c r="B280" s="1">
        <v>0.89027777777777772</v>
      </c>
      <c r="C280" t="s">
        <v>1387</v>
      </c>
      <c r="D280">
        <v>118</v>
      </c>
      <c r="E280" t="s">
        <v>1300</v>
      </c>
      <c r="F280" t="str">
        <f>_xlfn.XLOOKUP(Logs_Reseau6[[#This Row],[Cell_ID]],Registre[ID_Antenne],Registre[Province_RDC],"Non Trouvée")</f>
        <v>Non Trouvée</v>
      </c>
      <c r="G280" t="str">
        <f>_xlfn.XLOOKUP(Logs_Reseau6[[#This Row],[Province]],Clients_Churn[Province_Client],Clients_Churn[ID_Client],"Aucun")</f>
        <v>Aucun</v>
      </c>
      <c r="H280" t="str">
        <f>_xlfn.XLOOKUP(Logs_Reseau6[[#This Row],[Cell_ID]],Registre[ID_Antenne],Registre[Technologie],"Rien à signaler")</f>
        <v>Rien à signaler</v>
      </c>
      <c r="I280" t="str">
        <f>_xlfn.XLOOKUP(Logs_Reseau6[[#This Row],[Cell_ID]],Registre[ID_Antenne],Registre[Equipementier],"Non Trouvée")</f>
        <v>Non Trouvée</v>
      </c>
      <c r="J280" t="str">
        <f>_xlfn.XLOOKUP(Logs_Reseau6[[#This Row],[Id_Client]],Clients_Churn[ID_Client],Clients_Churn[Type_Forfait],"Pas d'information")</f>
        <v>Pas d'information</v>
      </c>
      <c r="K280" s="5" t="str">
        <f>IF(Logs_Reseau6[[#This Row],[Type_Forfait]]="Pro Monde","B2B","B2C")</f>
        <v>B2C</v>
      </c>
      <c r="L280" s="5" t="str">
        <f>_xlfn.XLOOKUP(Logs_Reseau6[[#This Row],[Id_Client]],Clients_Churn[ID_Client],Clients_Churn[Duree_Cumulee_Panne_Min],"Non Trouvée")</f>
        <v>Non Trouvée</v>
      </c>
      <c r="M280" s="5" t="str">
        <f>_xlfn.XLOOKUP(Logs_Reseau6[[#This Row],[Id_Client]],Clients_Churn[ID_Client],Clients_Churn[Anciennete_Mois],"Rien à signaler")</f>
        <v>Rien à signaler</v>
      </c>
      <c r="N280" s="5" t="e">
        <f>Logs_Reseau6[[#This Row],[Anciennette]]/24</f>
        <v>#VALUE!</v>
      </c>
      <c r="O280" s="5" t="e">
        <f>Logs_Reseau6[[#This Row],[Duree_Cumulée_Panne]]/1440</f>
        <v>#VALUE!</v>
      </c>
      <c r="P28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81" spans="1:16" hidden="1" x14ac:dyDescent="0.25">
      <c r="A281" s="2">
        <v>45211</v>
      </c>
      <c r="B281" s="1">
        <v>0.38611111111111113</v>
      </c>
      <c r="C281" t="s">
        <v>1387</v>
      </c>
      <c r="D281">
        <v>13</v>
      </c>
      <c r="E281" t="s">
        <v>1303</v>
      </c>
      <c r="F281" t="str">
        <f>_xlfn.XLOOKUP(Logs_Reseau6[[#This Row],[Cell_ID]],Registre[ID_Antenne],Registre[Province_RDC],"Non Trouvée")</f>
        <v>Non Trouvée</v>
      </c>
      <c r="G281" t="str">
        <f>_xlfn.XLOOKUP(Logs_Reseau6[[#This Row],[Province]],Clients_Churn[Province_Client],Clients_Churn[ID_Client],"Aucun")</f>
        <v>Aucun</v>
      </c>
      <c r="H281" t="str">
        <f>_xlfn.XLOOKUP(Logs_Reseau6[[#This Row],[Cell_ID]],Registre[ID_Antenne],Registre[Technologie],"Rien à signaler")</f>
        <v>Rien à signaler</v>
      </c>
      <c r="I281" t="str">
        <f>_xlfn.XLOOKUP(Logs_Reseau6[[#This Row],[Cell_ID]],Registre[ID_Antenne],Registre[Equipementier],"Non Trouvée")</f>
        <v>Non Trouvée</v>
      </c>
      <c r="J281" t="str">
        <f>_xlfn.XLOOKUP(Logs_Reseau6[[#This Row],[Id_Client]],Clients_Churn[ID_Client],Clients_Churn[Type_Forfait],"Pas d'information")</f>
        <v>Pas d'information</v>
      </c>
      <c r="K281" s="5" t="str">
        <f>IF(Logs_Reseau6[[#This Row],[Type_Forfait]]="Pro Monde","B2B","B2C")</f>
        <v>B2C</v>
      </c>
      <c r="L281" s="5" t="str">
        <f>_xlfn.XLOOKUP(Logs_Reseau6[[#This Row],[Id_Client]],Clients_Churn[ID_Client],Clients_Churn[Duree_Cumulee_Panne_Min],"Non Trouvée")</f>
        <v>Non Trouvée</v>
      </c>
      <c r="M281" s="5" t="str">
        <f>_xlfn.XLOOKUP(Logs_Reseau6[[#This Row],[Id_Client]],Clients_Churn[ID_Client],Clients_Churn[Anciennete_Mois],"Rien à signaler")</f>
        <v>Rien à signaler</v>
      </c>
      <c r="N281" s="5" t="e">
        <f>Logs_Reseau6[[#This Row],[Anciennette]]/24</f>
        <v>#VALUE!</v>
      </c>
      <c r="O281" s="5" t="e">
        <f>Logs_Reseau6[[#This Row],[Duree_Cumulée_Panne]]/1440</f>
        <v>#VALUE!</v>
      </c>
      <c r="P28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82" spans="1:16" hidden="1" x14ac:dyDescent="0.25">
      <c r="A282" s="2">
        <v>45225</v>
      </c>
      <c r="B282" s="1">
        <v>0.85902777777777772</v>
      </c>
      <c r="C282" t="s">
        <v>1387</v>
      </c>
      <c r="D282">
        <v>90</v>
      </c>
      <c r="E282" t="s">
        <v>1303</v>
      </c>
      <c r="F282" t="str">
        <f>_xlfn.XLOOKUP(Logs_Reseau6[[#This Row],[Cell_ID]],Registre[ID_Antenne],Registre[Province_RDC],"Non Trouvée")</f>
        <v>Non Trouvée</v>
      </c>
      <c r="G282" t="str">
        <f>_xlfn.XLOOKUP(Logs_Reseau6[[#This Row],[Province]],Clients_Churn[Province_Client],Clients_Churn[ID_Client],"Aucun")</f>
        <v>Aucun</v>
      </c>
      <c r="H282" t="str">
        <f>_xlfn.XLOOKUP(Logs_Reseau6[[#This Row],[Cell_ID]],Registre[ID_Antenne],Registre[Technologie],"Rien à signaler")</f>
        <v>Rien à signaler</v>
      </c>
      <c r="I282" t="str">
        <f>_xlfn.XLOOKUP(Logs_Reseau6[[#This Row],[Cell_ID]],Registre[ID_Antenne],Registre[Equipementier],"Non Trouvée")</f>
        <v>Non Trouvée</v>
      </c>
      <c r="J282" t="str">
        <f>_xlfn.XLOOKUP(Logs_Reseau6[[#This Row],[Id_Client]],Clients_Churn[ID_Client],Clients_Churn[Type_Forfait],"Pas d'information")</f>
        <v>Pas d'information</v>
      </c>
      <c r="K282" s="5" t="str">
        <f>IF(Logs_Reseau6[[#This Row],[Type_Forfait]]="Pro Monde","B2B","B2C")</f>
        <v>B2C</v>
      </c>
      <c r="L282" s="5" t="str">
        <f>_xlfn.XLOOKUP(Logs_Reseau6[[#This Row],[Id_Client]],Clients_Churn[ID_Client],Clients_Churn[Duree_Cumulee_Panne_Min],"Non Trouvée")</f>
        <v>Non Trouvée</v>
      </c>
      <c r="M282" s="5" t="str">
        <f>_xlfn.XLOOKUP(Logs_Reseau6[[#This Row],[Id_Client]],Clients_Churn[ID_Client],Clients_Churn[Anciennete_Mois],"Rien à signaler")</f>
        <v>Rien à signaler</v>
      </c>
      <c r="N282" s="5" t="e">
        <f>Logs_Reseau6[[#This Row],[Anciennette]]/24</f>
        <v>#VALUE!</v>
      </c>
      <c r="O282" s="5" t="e">
        <f>Logs_Reseau6[[#This Row],[Duree_Cumulée_Panne]]/1440</f>
        <v>#VALUE!</v>
      </c>
      <c r="P28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83" spans="1:16" hidden="1" x14ac:dyDescent="0.25">
      <c r="A283" s="2">
        <v>45205</v>
      </c>
      <c r="B283" s="1">
        <v>0.96875</v>
      </c>
      <c r="C283" t="s">
        <v>1534</v>
      </c>
      <c r="D283">
        <v>84</v>
      </c>
      <c r="E283" t="s">
        <v>1303</v>
      </c>
      <c r="F283" t="str">
        <f>_xlfn.XLOOKUP(Logs_Reseau6[[#This Row],[Cell_ID]],Registre[ID_Antenne],Registre[Province_RDC],"Non Trouvée")</f>
        <v>Non Trouvée</v>
      </c>
      <c r="G283" t="str">
        <f>_xlfn.XLOOKUP(Logs_Reseau6[[#This Row],[Province]],Clients_Churn[Province_Client],Clients_Churn[ID_Client],"Aucun")</f>
        <v>Aucun</v>
      </c>
      <c r="H283" t="str">
        <f>_xlfn.XLOOKUP(Logs_Reseau6[[#This Row],[Cell_ID]],Registre[ID_Antenne],Registre[Technologie],"Rien à signaler")</f>
        <v>Rien à signaler</v>
      </c>
      <c r="I283" t="str">
        <f>_xlfn.XLOOKUP(Logs_Reseau6[[#This Row],[Cell_ID]],Registre[ID_Antenne],Registre[Equipementier],"Non Trouvée")</f>
        <v>Non Trouvée</v>
      </c>
      <c r="J283" t="str">
        <f>_xlfn.XLOOKUP(Logs_Reseau6[[#This Row],[Id_Client]],Clients_Churn[ID_Client],Clients_Churn[Type_Forfait],"Pas d'information")</f>
        <v>Pas d'information</v>
      </c>
      <c r="K283" s="5" t="str">
        <f>IF(Logs_Reseau6[[#This Row],[Type_Forfait]]="Pro Monde","B2B","B2C")</f>
        <v>B2C</v>
      </c>
      <c r="L283" s="5" t="str">
        <f>_xlfn.XLOOKUP(Logs_Reseau6[[#This Row],[Id_Client]],Clients_Churn[ID_Client],Clients_Churn[Duree_Cumulee_Panne_Min],"Non Trouvée")</f>
        <v>Non Trouvée</v>
      </c>
      <c r="M283" s="5" t="str">
        <f>_xlfn.XLOOKUP(Logs_Reseau6[[#This Row],[Id_Client]],Clients_Churn[ID_Client],Clients_Churn[Anciennete_Mois],"Rien à signaler")</f>
        <v>Rien à signaler</v>
      </c>
      <c r="N283" s="5" t="e">
        <f>Logs_Reseau6[[#This Row],[Anciennette]]/24</f>
        <v>#VALUE!</v>
      </c>
      <c r="O283" s="5" t="e">
        <f>Logs_Reseau6[[#This Row],[Duree_Cumulée_Panne]]/1440</f>
        <v>#VALUE!</v>
      </c>
      <c r="P28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84" spans="1:16" x14ac:dyDescent="0.25">
      <c r="A284" s="2">
        <v>45226</v>
      </c>
      <c r="B284" s="1">
        <v>0.22500000000000001</v>
      </c>
      <c r="C284" t="s">
        <v>1254</v>
      </c>
      <c r="D284">
        <v>11</v>
      </c>
      <c r="E284" t="s">
        <v>1303</v>
      </c>
      <c r="F284" t="str">
        <f>_xlfn.XLOOKUP(Logs_Reseau6[[#This Row],[Cell_ID]],Registre[ID_Antenne],Registre[Province_RDC],"Non Trouvée")</f>
        <v>Sankuru</v>
      </c>
      <c r="G284" t="str">
        <f>_xlfn.XLOOKUP(Logs_Reseau6[[#This Row],[Province]],Clients_Churn[Province_Client],Clients_Churn[ID_Client],"Aucun")</f>
        <v>CLI-00197</v>
      </c>
      <c r="H284" t="str">
        <f>_xlfn.XLOOKUP(Logs_Reseau6[[#This Row],[Cell_ID]],Registre[ID_Antenne],Registre[Technologie],"Rien à signaler")</f>
        <v>4G</v>
      </c>
      <c r="I284" t="str">
        <f>_xlfn.XLOOKUP(Logs_Reseau6[[#This Row],[Cell_ID]],Registre[ID_Antenne],Registre[Equipementier],"Non Trouvée")</f>
        <v>Ericsson</v>
      </c>
      <c r="J284" t="str">
        <f>_xlfn.XLOOKUP(Logs_Reseau6[[#This Row],[Id_Client]],Clients_Churn[ID_Client],Clients_Churn[Type_Forfait],"Pas d'information")</f>
        <v>Illimité 50Go</v>
      </c>
      <c r="K284" s="5" t="str">
        <f>IF(Logs_Reseau6[[#This Row],[Type_Forfait]]="Pro Monde","B2B","B2C")</f>
        <v>B2C</v>
      </c>
      <c r="L284" s="5">
        <f>_xlfn.XLOOKUP(Logs_Reseau6[[#This Row],[Id_Client]],Clients_Churn[ID_Client],Clients_Churn[Duree_Cumulee_Panne_Min],"Non Trouvée")</f>
        <v>84</v>
      </c>
      <c r="M284" s="5">
        <f>_xlfn.XLOOKUP(Logs_Reseau6[[#This Row],[Id_Client]],Clients_Churn[ID_Client],Clients_Churn[Anciennete_Mois],"Rien à signaler")</f>
        <v>109</v>
      </c>
      <c r="N284" s="11">
        <f>Logs_Reseau6[[#This Row],[Anciennette]]/24</f>
        <v>4.541666666666667</v>
      </c>
      <c r="O284" s="1">
        <f>Logs_Reseau6[[#This Row],[Duree_Cumulée_Panne]]/1440</f>
        <v>5.8333333333333334E-2</v>
      </c>
      <c r="P28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85" spans="1:16" x14ac:dyDescent="0.25">
      <c r="A285" s="2">
        <v>45230</v>
      </c>
      <c r="B285" s="1">
        <v>0.64166666666666672</v>
      </c>
      <c r="C285" t="s">
        <v>1288</v>
      </c>
      <c r="D285">
        <v>106</v>
      </c>
      <c r="E285" t="s">
        <v>1300</v>
      </c>
      <c r="F285" t="str">
        <f>_xlfn.XLOOKUP(Logs_Reseau6[[#This Row],[Cell_ID]],Registre[ID_Antenne],Registre[Province_RDC],"Non Trouvée")</f>
        <v>Nord-Ubangi</v>
      </c>
      <c r="G285" t="str">
        <f>_xlfn.XLOOKUP(Logs_Reseau6[[#This Row],[Province]],Clients_Churn[Province_Client],Clients_Churn[ID_Client],"Aucun")</f>
        <v>CLI-00112</v>
      </c>
      <c r="H285" t="str">
        <f>_xlfn.XLOOKUP(Logs_Reseau6[[#This Row],[Cell_ID]],Registre[ID_Antenne],Registre[Technologie],"Rien à signaler")</f>
        <v>5G</v>
      </c>
      <c r="I285" t="str">
        <f>_xlfn.XLOOKUP(Logs_Reseau6[[#This Row],[Cell_ID]],Registre[ID_Antenne],Registre[Equipementier],"Non Trouvée")</f>
        <v>Huawei</v>
      </c>
      <c r="J285" t="str">
        <f>_xlfn.XLOOKUP(Logs_Reseau6[[#This Row],[Id_Client]],Clients_Churn[ID_Client],Clients_Churn[Type_Forfait],"Pas d'information")</f>
        <v>Bloqué 5Go</v>
      </c>
      <c r="K285" s="5" t="str">
        <f>IF(Logs_Reseau6[[#This Row],[Type_Forfait]]="Pro Monde","B2B","B2C")</f>
        <v>B2C</v>
      </c>
      <c r="L285" s="5">
        <f>_xlfn.XLOOKUP(Logs_Reseau6[[#This Row],[Id_Client]],Clients_Churn[ID_Client],Clients_Churn[Duree_Cumulee_Panne_Min],"Non Trouvée")</f>
        <v>52</v>
      </c>
      <c r="M285" s="5">
        <f>_xlfn.XLOOKUP(Logs_Reseau6[[#This Row],[Id_Client]],Clients_Churn[ID_Client],Clients_Churn[Anciennete_Mois],"Rien à signaler")</f>
        <v>98</v>
      </c>
      <c r="N285" s="11">
        <f>Logs_Reseau6[[#This Row],[Anciennette]]/24</f>
        <v>4.083333333333333</v>
      </c>
      <c r="O285" s="1">
        <f>Logs_Reseau6[[#This Row],[Duree_Cumulée_Panne]]/1440</f>
        <v>3.6111111111111108E-2</v>
      </c>
      <c r="P28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286" spans="1:16" hidden="1" x14ac:dyDescent="0.25">
      <c r="A286" s="2">
        <v>45229</v>
      </c>
      <c r="B286" s="1">
        <v>0.75624999999999998</v>
      </c>
      <c r="C286" t="s">
        <v>1414</v>
      </c>
      <c r="D286">
        <v>82</v>
      </c>
      <c r="E286" t="s">
        <v>1305</v>
      </c>
      <c r="F286" t="str">
        <f>_xlfn.XLOOKUP(Logs_Reseau6[[#This Row],[Cell_ID]],Registre[ID_Antenne],Registre[Province_RDC],"Non Trouvée")</f>
        <v>Non Trouvée</v>
      </c>
      <c r="G286" t="str">
        <f>_xlfn.XLOOKUP(Logs_Reseau6[[#This Row],[Province]],Clients_Churn[Province_Client],Clients_Churn[ID_Client],"Aucun")</f>
        <v>Aucun</v>
      </c>
      <c r="H286" t="str">
        <f>_xlfn.XLOOKUP(Logs_Reseau6[[#This Row],[Cell_ID]],Registre[ID_Antenne],Registre[Technologie],"Rien à signaler")</f>
        <v>Rien à signaler</v>
      </c>
      <c r="I286" t="str">
        <f>_xlfn.XLOOKUP(Logs_Reseau6[[#This Row],[Cell_ID]],Registre[ID_Antenne],Registre[Equipementier],"Non Trouvée")</f>
        <v>Non Trouvée</v>
      </c>
      <c r="J286" t="str">
        <f>_xlfn.XLOOKUP(Logs_Reseau6[[#This Row],[Id_Client]],Clients_Churn[ID_Client],Clients_Churn[Type_Forfait],"Pas d'information")</f>
        <v>Pas d'information</v>
      </c>
      <c r="K286" s="5" t="str">
        <f>IF(Logs_Reseau6[[#This Row],[Type_Forfait]]="Pro Monde","B2B","B2C")</f>
        <v>B2C</v>
      </c>
      <c r="L286" s="5" t="str">
        <f>_xlfn.XLOOKUP(Logs_Reseau6[[#This Row],[Id_Client]],Clients_Churn[ID_Client],Clients_Churn[Duree_Cumulee_Panne_Min],"Non Trouvée")</f>
        <v>Non Trouvée</v>
      </c>
      <c r="M286" s="5" t="str">
        <f>_xlfn.XLOOKUP(Logs_Reseau6[[#This Row],[Id_Client]],Clients_Churn[ID_Client],Clients_Churn[Anciennete_Mois],"Rien à signaler")</f>
        <v>Rien à signaler</v>
      </c>
      <c r="N286" s="5" t="e">
        <f>Logs_Reseau6[[#This Row],[Anciennette]]/24</f>
        <v>#VALUE!</v>
      </c>
      <c r="O286" s="5" t="e">
        <f>Logs_Reseau6[[#This Row],[Duree_Cumulée_Panne]]/1440</f>
        <v>#VALUE!</v>
      </c>
      <c r="P28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87" spans="1:16" x14ac:dyDescent="0.25">
      <c r="A287" s="2">
        <v>45201</v>
      </c>
      <c r="B287" s="1">
        <v>0.51180555555555551</v>
      </c>
      <c r="C287" t="s">
        <v>1277</v>
      </c>
      <c r="D287">
        <v>62</v>
      </c>
      <c r="E287" t="s">
        <v>1303</v>
      </c>
      <c r="F287" t="str">
        <f>_xlfn.XLOOKUP(Logs_Reseau6[[#This Row],[Cell_ID]],Registre[ID_Antenne],Registre[Province_RDC],"Non Trouvée")</f>
        <v>Nord-Kivu</v>
      </c>
      <c r="G287" t="str">
        <f>_xlfn.XLOOKUP(Logs_Reseau6[[#This Row],[Province]],Clients_Churn[Province_Client],Clients_Churn[ID_Client],"Aucun")</f>
        <v>CLI-00043</v>
      </c>
      <c r="H287" t="str">
        <f>_xlfn.XLOOKUP(Logs_Reseau6[[#This Row],[Cell_ID]],Registre[ID_Antenne],Registre[Technologie],"Rien à signaler")</f>
        <v>4G</v>
      </c>
      <c r="I287" t="str">
        <f>_xlfn.XLOOKUP(Logs_Reseau6[[#This Row],[Cell_ID]],Registre[ID_Antenne],Registre[Equipementier],"Non Trouvée")</f>
        <v>Huawei</v>
      </c>
      <c r="J287" t="str">
        <f>_xlfn.XLOOKUP(Logs_Reseau6[[#This Row],[Id_Client]],Clients_Churn[ID_Client],Clients_Churn[Type_Forfait],"Pas d'information")</f>
        <v>Pro Monde</v>
      </c>
      <c r="K287" s="5" t="str">
        <f>IF(Logs_Reseau6[[#This Row],[Type_Forfait]]="Pro Monde","B2B","B2C")</f>
        <v>B2B</v>
      </c>
      <c r="L287" s="5">
        <f>_xlfn.XLOOKUP(Logs_Reseau6[[#This Row],[Id_Client]],Clients_Churn[ID_Client],Clients_Churn[Duree_Cumulee_Panne_Min],"Non Trouvée")</f>
        <v>132</v>
      </c>
      <c r="M287" s="5">
        <f>_xlfn.XLOOKUP(Logs_Reseau6[[#This Row],[Id_Client]],Clients_Churn[ID_Client],Clients_Churn[Anciennete_Mois],"Rien à signaler")</f>
        <v>118</v>
      </c>
      <c r="N287" s="11">
        <f>Logs_Reseau6[[#This Row],[Anciennette]]/24</f>
        <v>4.916666666666667</v>
      </c>
      <c r="O287" s="1">
        <f>Logs_Reseau6[[#This Row],[Duree_Cumulée_Panne]]/1440</f>
        <v>9.166666666666666E-2</v>
      </c>
      <c r="P28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88" spans="1:16" x14ac:dyDescent="0.25">
      <c r="A288" s="2">
        <v>45207</v>
      </c>
      <c r="B288" s="1">
        <v>0.59930555555555554</v>
      </c>
      <c r="C288" t="s">
        <v>1277</v>
      </c>
      <c r="D288">
        <v>59</v>
      </c>
      <c r="E288" t="s">
        <v>1300</v>
      </c>
      <c r="F288" t="str">
        <f>_xlfn.XLOOKUP(Logs_Reseau6[[#This Row],[Cell_ID]],Registre[ID_Antenne],Registre[Province_RDC],"Non Trouvée")</f>
        <v>Nord-Kivu</v>
      </c>
      <c r="G288" t="str">
        <f>_xlfn.XLOOKUP(Logs_Reseau6[[#This Row],[Province]],Clients_Churn[Province_Client],Clients_Churn[ID_Client],"Aucun")</f>
        <v>CLI-00043</v>
      </c>
      <c r="H288" t="str">
        <f>_xlfn.XLOOKUP(Logs_Reseau6[[#This Row],[Cell_ID]],Registre[ID_Antenne],Registre[Technologie],"Rien à signaler")</f>
        <v>4G</v>
      </c>
      <c r="I288" t="str">
        <f>_xlfn.XLOOKUP(Logs_Reseau6[[#This Row],[Cell_ID]],Registre[ID_Antenne],Registre[Equipementier],"Non Trouvée")</f>
        <v>Huawei</v>
      </c>
      <c r="J288" t="str">
        <f>_xlfn.XLOOKUP(Logs_Reseau6[[#This Row],[Id_Client]],Clients_Churn[ID_Client],Clients_Churn[Type_Forfait],"Pas d'information")</f>
        <v>Pro Monde</v>
      </c>
      <c r="K288" s="5" t="str">
        <f>IF(Logs_Reseau6[[#This Row],[Type_Forfait]]="Pro Monde","B2B","B2C")</f>
        <v>B2B</v>
      </c>
      <c r="L288" s="5">
        <f>_xlfn.XLOOKUP(Logs_Reseau6[[#This Row],[Id_Client]],Clients_Churn[ID_Client],Clients_Churn[Duree_Cumulee_Panne_Min],"Non Trouvée")</f>
        <v>132</v>
      </c>
      <c r="M288" s="5">
        <f>_xlfn.XLOOKUP(Logs_Reseau6[[#This Row],[Id_Client]],Clients_Churn[ID_Client],Clients_Churn[Anciennete_Mois],"Rien à signaler")</f>
        <v>118</v>
      </c>
      <c r="N288" s="11">
        <f>Logs_Reseau6[[#This Row],[Anciennette]]/24</f>
        <v>4.916666666666667</v>
      </c>
      <c r="O288" s="1">
        <f>Logs_Reseau6[[#This Row],[Duree_Cumulée_Panne]]/1440</f>
        <v>9.166666666666666E-2</v>
      </c>
      <c r="P28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89" spans="1:16" x14ac:dyDescent="0.25">
      <c r="A289" s="2">
        <v>45213</v>
      </c>
      <c r="B289" s="1">
        <v>0.23749999999999999</v>
      </c>
      <c r="C289" t="s">
        <v>1277</v>
      </c>
      <c r="D289">
        <v>68</v>
      </c>
      <c r="E289" t="s">
        <v>1305</v>
      </c>
      <c r="F289" t="str">
        <f>_xlfn.XLOOKUP(Logs_Reseau6[[#This Row],[Cell_ID]],Registre[ID_Antenne],Registre[Province_RDC],"Non Trouvée")</f>
        <v>Nord-Kivu</v>
      </c>
      <c r="G289" t="str">
        <f>_xlfn.XLOOKUP(Logs_Reseau6[[#This Row],[Province]],Clients_Churn[Province_Client],Clients_Churn[ID_Client],"Aucun")</f>
        <v>CLI-00043</v>
      </c>
      <c r="H289" t="str">
        <f>_xlfn.XLOOKUP(Logs_Reseau6[[#This Row],[Cell_ID]],Registre[ID_Antenne],Registre[Technologie],"Rien à signaler")</f>
        <v>4G</v>
      </c>
      <c r="I289" t="str">
        <f>_xlfn.XLOOKUP(Logs_Reseau6[[#This Row],[Cell_ID]],Registre[ID_Antenne],Registre[Equipementier],"Non Trouvée")</f>
        <v>Huawei</v>
      </c>
      <c r="J289" t="str">
        <f>_xlfn.XLOOKUP(Logs_Reseau6[[#This Row],[Id_Client]],Clients_Churn[ID_Client],Clients_Churn[Type_Forfait],"Pas d'information")</f>
        <v>Pro Monde</v>
      </c>
      <c r="K289" s="5" t="str">
        <f>IF(Logs_Reseau6[[#This Row],[Type_Forfait]]="Pro Monde","B2B","B2C")</f>
        <v>B2B</v>
      </c>
      <c r="L289" s="5">
        <f>_xlfn.XLOOKUP(Logs_Reseau6[[#This Row],[Id_Client]],Clients_Churn[ID_Client],Clients_Churn[Duree_Cumulee_Panne_Min],"Non Trouvée")</f>
        <v>132</v>
      </c>
      <c r="M289" s="5">
        <f>_xlfn.XLOOKUP(Logs_Reseau6[[#This Row],[Id_Client]],Clients_Churn[ID_Client],Clients_Churn[Anciennete_Mois],"Rien à signaler")</f>
        <v>118</v>
      </c>
      <c r="N289" s="11">
        <f>Logs_Reseau6[[#This Row],[Anciennette]]/24</f>
        <v>4.916666666666667</v>
      </c>
      <c r="O289" s="1">
        <f>Logs_Reseau6[[#This Row],[Duree_Cumulée_Panne]]/1440</f>
        <v>9.166666666666666E-2</v>
      </c>
      <c r="P28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90" spans="1:16" x14ac:dyDescent="0.25">
      <c r="A290" s="2">
        <v>45226</v>
      </c>
      <c r="B290" s="1">
        <v>0.3215277777777778</v>
      </c>
      <c r="C290" t="s">
        <v>1277</v>
      </c>
      <c r="D290">
        <v>22</v>
      </c>
      <c r="E290" t="s">
        <v>1305</v>
      </c>
      <c r="F290" t="str">
        <f>_xlfn.XLOOKUP(Logs_Reseau6[[#This Row],[Cell_ID]],Registre[ID_Antenne],Registre[Province_RDC],"Non Trouvée")</f>
        <v>Nord-Kivu</v>
      </c>
      <c r="G290" t="str">
        <f>_xlfn.XLOOKUP(Logs_Reseau6[[#This Row],[Province]],Clients_Churn[Province_Client],Clients_Churn[ID_Client],"Aucun")</f>
        <v>CLI-00043</v>
      </c>
      <c r="H290" t="str">
        <f>_xlfn.XLOOKUP(Logs_Reseau6[[#This Row],[Cell_ID]],Registre[ID_Antenne],Registre[Technologie],"Rien à signaler")</f>
        <v>4G</v>
      </c>
      <c r="I290" t="str">
        <f>_xlfn.XLOOKUP(Logs_Reseau6[[#This Row],[Cell_ID]],Registre[ID_Antenne],Registre[Equipementier],"Non Trouvée")</f>
        <v>Huawei</v>
      </c>
      <c r="J290" t="str">
        <f>_xlfn.XLOOKUP(Logs_Reseau6[[#This Row],[Id_Client]],Clients_Churn[ID_Client],Clients_Churn[Type_Forfait],"Pas d'information")</f>
        <v>Pro Monde</v>
      </c>
      <c r="K290" s="5" t="str">
        <f>IF(Logs_Reseau6[[#This Row],[Type_Forfait]]="Pro Monde","B2B","B2C")</f>
        <v>B2B</v>
      </c>
      <c r="L290" s="5">
        <f>_xlfn.XLOOKUP(Logs_Reseau6[[#This Row],[Id_Client]],Clients_Churn[ID_Client],Clients_Churn[Duree_Cumulee_Panne_Min],"Non Trouvée")</f>
        <v>132</v>
      </c>
      <c r="M290" s="5">
        <f>_xlfn.XLOOKUP(Logs_Reseau6[[#This Row],[Id_Client]],Clients_Churn[ID_Client],Clients_Churn[Anciennete_Mois],"Rien à signaler")</f>
        <v>118</v>
      </c>
      <c r="N290" s="11">
        <f>Logs_Reseau6[[#This Row],[Anciennette]]/24</f>
        <v>4.916666666666667</v>
      </c>
      <c r="O290" s="1">
        <f>Logs_Reseau6[[#This Row],[Duree_Cumulée_Panne]]/1440</f>
        <v>9.166666666666666E-2</v>
      </c>
      <c r="P29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91" spans="1:16" x14ac:dyDescent="0.25">
      <c r="A291" s="2">
        <v>45227</v>
      </c>
      <c r="B291" s="1">
        <v>0.92291666666666672</v>
      </c>
      <c r="C291" t="s">
        <v>1277</v>
      </c>
      <c r="D291">
        <v>26</v>
      </c>
      <c r="E291" t="s">
        <v>1305</v>
      </c>
      <c r="F291" t="str">
        <f>_xlfn.XLOOKUP(Logs_Reseau6[[#This Row],[Cell_ID]],Registre[ID_Antenne],Registre[Province_RDC],"Non Trouvée")</f>
        <v>Nord-Kivu</v>
      </c>
      <c r="G291" t="str">
        <f>_xlfn.XLOOKUP(Logs_Reseau6[[#This Row],[Province]],Clients_Churn[Province_Client],Clients_Churn[ID_Client],"Aucun")</f>
        <v>CLI-00043</v>
      </c>
      <c r="H291" t="str">
        <f>_xlfn.XLOOKUP(Logs_Reseau6[[#This Row],[Cell_ID]],Registre[ID_Antenne],Registre[Technologie],"Rien à signaler")</f>
        <v>4G</v>
      </c>
      <c r="I291" t="str">
        <f>_xlfn.XLOOKUP(Logs_Reseau6[[#This Row],[Cell_ID]],Registre[ID_Antenne],Registre[Equipementier],"Non Trouvée")</f>
        <v>Huawei</v>
      </c>
      <c r="J291" t="str">
        <f>_xlfn.XLOOKUP(Logs_Reseau6[[#This Row],[Id_Client]],Clients_Churn[ID_Client],Clients_Churn[Type_Forfait],"Pas d'information")</f>
        <v>Pro Monde</v>
      </c>
      <c r="K291" s="5" t="str">
        <f>IF(Logs_Reseau6[[#This Row],[Type_Forfait]]="Pro Monde","B2B","B2C")</f>
        <v>B2B</v>
      </c>
      <c r="L291" s="5">
        <f>_xlfn.XLOOKUP(Logs_Reseau6[[#This Row],[Id_Client]],Clients_Churn[ID_Client],Clients_Churn[Duree_Cumulee_Panne_Min],"Non Trouvée")</f>
        <v>132</v>
      </c>
      <c r="M291" s="5">
        <f>_xlfn.XLOOKUP(Logs_Reseau6[[#This Row],[Id_Client]],Clients_Churn[ID_Client],Clients_Churn[Anciennete_Mois],"Rien à signaler")</f>
        <v>118</v>
      </c>
      <c r="N291" s="11">
        <f>Logs_Reseau6[[#This Row],[Anciennette]]/24</f>
        <v>4.916666666666667</v>
      </c>
      <c r="O291" s="1">
        <f>Logs_Reseau6[[#This Row],[Duree_Cumulée_Panne]]/1440</f>
        <v>9.166666666666666E-2</v>
      </c>
      <c r="P29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92" spans="1:16" x14ac:dyDescent="0.25">
      <c r="A292" s="2">
        <v>45200</v>
      </c>
      <c r="B292" s="1">
        <v>0.52569444444444446</v>
      </c>
      <c r="C292" t="s">
        <v>1108</v>
      </c>
      <c r="D292">
        <v>88</v>
      </c>
      <c r="E292" t="s">
        <v>1305</v>
      </c>
      <c r="F292" t="str">
        <f>_xlfn.XLOOKUP(Logs_Reseau6[[#This Row],[Cell_ID]],Registre[ID_Antenne],Registre[Province_RDC],"Non Trouvée")</f>
        <v>Kinshasa</v>
      </c>
      <c r="G292" t="str">
        <f>_xlfn.XLOOKUP(Logs_Reseau6[[#This Row],[Province]],Clients_Churn[Province_Client],Clients_Churn[ID_Client],"Aucun")</f>
        <v>CLI-00184</v>
      </c>
      <c r="H292" t="str">
        <f>_xlfn.XLOOKUP(Logs_Reseau6[[#This Row],[Cell_ID]],Registre[ID_Antenne],Registre[Technologie],"Rien à signaler")</f>
        <v>4G</v>
      </c>
      <c r="I292" t="str">
        <f>_xlfn.XLOOKUP(Logs_Reseau6[[#This Row],[Cell_ID]],Registre[ID_Antenne],Registre[Equipementier],"Non Trouvée")</f>
        <v>Ericsson</v>
      </c>
      <c r="J292" t="str">
        <f>_xlfn.XLOOKUP(Logs_Reseau6[[#This Row],[Id_Client]],Clients_Churn[ID_Client],Clients_Churn[Type_Forfait],"Pas d'information")</f>
        <v>Premium 5G 150Go</v>
      </c>
      <c r="K292" s="5" t="str">
        <f>IF(Logs_Reseau6[[#This Row],[Type_Forfait]]="Pro Monde","B2B","B2C")</f>
        <v>B2C</v>
      </c>
      <c r="L292" s="5">
        <f>_xlfn.XLOOKUP(Logs_Reseau6[[#This Row],[Id_Client]],Clients_Churn[ID_Client],Clients_Churn[Duree_Cumulee_Panne_Min],"Non Trouvée")</f>
        <v>191</v>
      </c>
      <c r="M292" s="5">
        <f>_xlfn.XLOOKUP(Logs_Reseau6[[#This Row],[Id_Client]],Clients_Churn[ID_Client],Clients_Churn[Anciennete_Mois],"Rien à signaler")</f>
        <v>71</v>
      </c>
      <c r="N292" s="11">
        <f>Logs_Reseau6[[#This Row],[Anciennette]]/24</f>
        <v>2.9583333333333335</v>
      </c>
      <c r="O292" s="1">
        <f>Logs_Reseau6[[#This Row],[Duree_Cumulée_Panne]]/1440</f>
        <v>0.13263888888888889</v>
      </c>
      <c r="P29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93" spans="1:16" x14ac:dyDescent="0.25">
      <c r="A293" s="2">
        <v>45217</v>
      </c>
      <c r="B293" s="1">
        <v>0.1736111111111111</v>
      </c>
      <c r="C293" t="s">
        <v>1108</v>
      </c>
      <c r="D293">
        <v>53</v>
      </c>
      <c r="E293" t="s">
        <v>1303</v>
      </c>
      <c r="F293" t="str">
        <f>_xlfn.XLOOKUP(Logs_Reseau6[[#This Row],[Cell_ID]],Registre[ID_Antenne],Registre[Province_RDC],"Non Trouvée")</f>
        <v>Kinshasa</v>
      </c>
      <c r="G293" t="str">
        <f>_xlfn.XLOOKUP(Logs_Reseau6[[#This Row],[Province]],Clients_Churn[Province_Client],Clients_Churn[ID_Client],"Aucun")</f>
        <v>CLI-00184</v>
      </c>
      <c r="H293" t="str">
        <f>_xlfn.XLOOKUP(Logs_Reseau6[[#This Row],[Cell_ID]],Registre[ID_Antenne],Registre[Technologie],"Rien à signaler")</f>
        <v>4G</v>
      </c>
      <c r="I293" t="str">
        <f>_xlfn.XLOOKUP(Logs_Reseau6[[#This Row],[Cell_ID]],Registre[ID_Antenne],Registre[Equipementier],"Non Trouvée")</f>
        <v>Ericsson</v>
      </c>
      <c r="J293" t="str">
        <f>_xlfn.XLOOKUP(Logs_Reseau6[[#This Row],[Id_Client]],Clients_Churn[ID_Client],Clients_Churn[Type_Forfait],"Pas d'information")</f>
        <v>Premium 5G 150Go</v>
      </c>
      <c r="K293" s="5" t="str">
        <f>IF(Logs_Reseau6[[#This Row],[Type_Forfait]]="Pro Monde","B2B","B2C")</f>
        <v>B2C</v>
      </c>
      <c r="L293" s="5">
        <f>_xlfn.XLOOKUP(Logs_Reseau6[[#This Row],[Id_Client]],Clients_Churn[ID_Client],Clients_Churn[Duree_Cumulee_Panne_Min],"Non Trouvée")</f>
        <v>191</v>
      </c>
      <c r="M293" s="5">
        <f>_xlfn.XLOOKUP(Logs_Reseau6[[#This Row],[Id_Client]],Clients_Churn[ID_Client],Clients_Churn[Anciennete_Mois],"Rien à signaler")</f>
        <v>71</v>
      </c>
      <c r="N293" s="11">
        <f>Logs_Reseau6[[#This Row],[Anciennette]]/24</f>
        <v>2.9583333333333335</v>
      </c>
      <c r="O293" s="1">
        <f>Logs_Reseau6[[#This Row],[Duree_Cumulée_Panne]]/1440</f>
        <v>0.13263888888888889</v>
      </c>
      <c r="P29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294" spans="1:16" x14ac:dyDescent="0.25">
      <c r="A294" s="2">
        <v>45206</v>
      </c>
      <c r="B294" s="1">
        <v>0.28680555555555554</v>
      </c>
      <c r="C294" t="s">
        <v>1199</v>
      </c>
      <c r="D294">
        <v>96</v>
      </c>
      <c r="E294" t="s">
        <v>1303</v>
      </c>
      <c r="F294" t="str">
        <f>_xlfn.XLOOKUP(Logs_Reseau6[[#This Row],[Cell_ID]],Registre[ID_Antenne],Registre[Province_RDC],"Non Trouvée")</f>
        <v>Haut-Katanga</v>
      </c>
      <c r="G294" t="str">
        <f>_xlfn.XLOOKUP(Logs_Reseau6[[#This Row],[Province]],Clients_Churn[Province_Client],Clients_Churn[ID_Client],"Aucun")</f>
        <v>CLI-00059</v>
      </c>
      <c r="H294" t="str">
        <f>_xlfn.XLOOKUP(Logs_Reseau6[[#This Row],[Cell_ID]],Registre[ID_Antenne],Registre[Technologie],"Rien à signaler")</f>
        <v>4G</v>
      </c>
      <c r="I294" t="str">
        <f>_xlfn.XLOOKUP(Logs_Reseau6[[#This Row],[Cell_ID]],Registre[ID_Antenne],Registre[Equipementier],"Non Trouvée")</f>
        <v>Ericsson</v>
      </c>
      <c r="J294" t="str">
        <f>_xlfn.XLOOKUP(Logs_Reseau6[[#This Row],[Id_Client]],Clients_Churn[ID_Client],Clients_Churn[Type_Forfait],"Pas d'information")</f>
        <v>Pro Monde</v>
      </c>
      <c r="K294" s="5" t="str">
        <f>IF(Logs_Reseau6[[#This Row],[Type_Forfait]]="Pro Monde","B2B","B2C")</f>
        <v>B2B</v>
      </c>
      <c r="L294" s="5">
        <f>_xlfn.XLOOKUP(Logs_Reseau6[[#This Row],[Id_Client]],Clients_Churn[ID_Client],Clients_Churn[Duree_Cumulee_Panne_Min],"Non Trouvée")</f>
        <v>76</v>
      </c>
      <c r="M294" s="5">
        <f>_xlfn.XLOOKUP(Logs_Reseau6[[#This Row],[Id_Client]],Clients_Churn[ID_Client],Clients_Churn[Anciennete_Mois],"Rien à signaler")</f>
        <v>69</v>
      </c>
      <c r="N294" s="11">
        <f>Logs_Reseau6[[#This Row],[Anciennette]]/24</f>
        <v>2.875</v>
      </c>
      <c r="O294" s="1">
        <f>Logs_Reseau6[[#This Row],[Duree_Cumulée_Panne]]/1440</f>
        <v>5.2777777777777778E-2</v>
      </c>
      <c r="P29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95" spans="1:16" x14ac:dyDescent="0.25">
      <c r="A295" s="2">
        <v>45209</v>
      </c>
      <c r="B295" s="1">
        <v>0.93888888888888888</v>
      </c>
      <c r="C295" t="s">
        <v>1199</v>
      </c>
      <c r="D295">
        <v>37</v>
      </c>
      <c r="E295" t="s">
        <v>1303</v>
      </c>
      <c r="F295" t="str">
        <f>_xlfn.XLOOKUP(Logs_Reseau6[[#This Row],[Cell_ID]],Registre[ID_Antenne],Registre[Province_RDC],"Non Trouvée")</f>
        <v>Haut-Katanga</v>
      </c>
      <c r="G295" t="str">
        <f>_xlfn.XLOOKUP(Logs_Reseau6[[#This Row],[Province]],Clients_Churn[Province_Client],Clients_Churn[ID_Client],"Aucun")</f>
        <v>CLI-00059</v>
      </c>
      <c r="H295" t="str">
        <f>_xlfn.XLOOKUP(Logs_Reseau6[[#This Row],[Cell_ID]],Registre[ID_Antenne],Registre[Technologie],"Rien à signaler")</f>
        <v>4G</v>
      </c>
      <c r="I295" t="str">
        <f>_xlfn.XLOOKUP(Logs_Reseau6[[#This Row],[Cell_ID]],Registre[ID_Antenne],Registre[Equipementier],"Non Trouvée")</f>
        <v>Ericsson</v>
      </c>
      <c r="J295" t="str">
        <f>_xlfn.XLOOKUP(Logs_Reseau6[[#This Row],[Id_Client]],Clients_Churn[ID_Client],Clients_Churn[Type_Forfait],"Pas d'information")</f>
        <v>Pro Monde</v>
      </c>
      <c r="K295" s="5" t="str">
        <f>IF(Logs_Reseau6[[#This Row],[Type_Forfait]]="Pro Monde","B2B","B2C")</f>
        <v>B2B</v>
      </c>
      <c r="L295" s="5">
        <f>_xlfn.XLOOKUP(Logs_Reseau6[[#This Row],[Id_Client]],Clients_Churn[ID_Client],Clients_Churn[Duree_Cumulee_Panne_Min],"Non Trouvée")</f>
        <v>76</v>
      </c>
      <c r="M295" s="5">
        <f>_xlfn.XLOOKUP(Logs_Reseau6[[#This Row],[Id_Client]],Clients_Churn[ID_Client],Clients_Churn[Anciennete_Mois],"Rien à signaler")</f>
        <v>69</v>
      </c>
      <c r="N295" s="11">
        <f>Logs_Reseau6[[#This Row],[Anciennette]]/24</f>
        <v>2.875</v>
      </c>
      <c r="O295" s="1">
        <f>Logs_Reseau6[[#This Row],[Duree_Cumulée_Panne]]/1440</f>
        <v>5.2777777777777778E-2</v>
      </c>
      <c r="P29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96" spans="1:16" x14ac:dyDescent="0.25">
      <c r="A296" s="2">
        <v>45220</v>
      </c>
      <c r="B296" s="1">
        <v>0.43680555555555556</v>
      </c>
      <c r="C296" t="s">
        <v>1199</v>
      </c>
      <c r="D296">
        <v>64</v>
      </c>
      <c r="E296" t="s">
        <v>1303</v>
      </c>
      <c r="F296" t="str">
        <f>_xlfn.XLOOKUP(Logs_Reseau6[[#This Row],[Cell_ID]],Registre[ID_Antenne],Registre[Province_RDC],"Non Trouvée")</f>
        <v>Haut-Katanga</v>
      </c>
      <c r="G296" t="str">
        <f>_xlfn.XLOOKUP(Logs_Reseau6[[#This Row],[Province]],Clients_Churn[Province_Client],Clients_Churn[ID_Client],"Aucun")</f>
        <v>CLI-00059</v>
      </c>
      <c r="H296" t="str">
        <f>_xlfn.XLOOKUP(Logs_Reseau6[[#This Row],[Cell_ID]],Registre[ID_Antenne],Registre[Technologie],"Rien à signaler")</f>
        <v>4G</v>
      </c>
      <c r="I296" t="str">
        <f>_xlfn.XLOOKUP(Logs_Reseau6[[#This Row],[Cell_ID]],Registre[ID_Antenne],Registre[Equipementier],"Non Trouvée")</f>
        <v>Ericsson</v>
      </c>
      <c r="J296" t="str">
        <f>_xlfn.XLOOKUP(Logs_Reseau6[[#This Row],[Id_Client]],Clients_Churn[ID_Client],Clients_Churn[Type_Forfait],"Pas d'information")</f>
        <v>Pro Monde</v>
      </c>
      <c r="K296" s="5" t="str">
        <f>IF(Logs_Reseau6[[#This Row],[Type_Forfait]]="Pro Monde","B2B","B2C")</f>
        <v>B2B</v>
      </c>
      <c r="L296" s="5">
        <f>_xlfn.XLOOKUP(Logs_Reseau6[[#This Row],[Id_Client]],Clients_Churn[ID_Client],Clients_Churn[Duree_Cumulee_Panne_Min],"Non Trouvée")</f>
        <v>76</v>
      </c>
      <c r="M296" s="5">
        <f>_xlfn.XLOOKUP(Logs_Reseau6[[#This Row],[Id_Client]],Clients_Churn[ID_Client],Clients_Churn[Anciennete_Mois],"Rien à signaler")</f>
        <v>69</v>
      </c>
      <c r="N296" s="11">
        <f>Logs_Reseau6[[#This Row],[Anciennette]]/24</f>
        <v>2.875</v>
      </c>
      <c r="O296" s="1">
        <f>Logs_Reseau6[[#This Row],[Duree_Cumulée_Panne]]/1440</f>
        <v>5.2777777777777778E-2</v>
      </c>
      <c r="P29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97" spans="1:16" x14ac:dyDescent="0.25">
      <c r="A297" s="2">
        <v>45225</v>
      </c>
      <c r="B297" s="1">
        <v>0.71250000000000002</v>
      </c>
      <c r="C297" t="s">
        <v>1199</v>
      </c>
      <c r="D297">
        <v>25</v>
      </c>
      <c r="E297" t="s">
        <v>1300</v>
      </c>
      <c r="F297" t="str">
        <f>_xlfn.XLOOKUP(Logs_Reseau6[[#This Row],[Cell_ID]],Registre[ID_Antenne],Registre[Province_RDC],"Non Trouvée")</f>
        <v>Haut-Katanga</v>
      </c>
      <c r="G297" t="str">
        <f>_xlfn.XLOOKUP(Logs_Reseau6[[#This Row],[Province]],Clients_Churn[Province_Client],Clients_Churn[ID_Client],"Aucun")</f>
        <v>CLI-00059</v>
      </c>
      <c r="H297" t="str">
        <f>_xlfn.XLOOKUP(Logs_Reseau6[[#This Row],[Cell_ID]],Registre[ID_Antenne],Registre[Technologie],"Rien à signaler")</f>
        <v>4G</v>
      </c>
      <c r="I297" t="str">
        <f>_xlfn.XLOOKUP(Logs_Reseau6[[#This Row],[Cell_ID]],Registre[ID_Antenne],Registre[Equipementier],"Non Trouvée")</f>
        <v>Ericsson</v>
      </c>
      <c r="J297" t="str">
        <f>_xlfn.XLOOKUP(Logs_Reseau6[[#This Row],[Id_Client]],Clients_Churn[ID_Client],Clients_Churn[Type_Forfait],"Pas d'information")</f>
        <v>Pro Monde</v>
      </c>
      <c r="K297" s="5" t="str">
        <f>IF(Logs_Reseau6[[#This Row],[Type_Forfait]]="Pro Monde","B2B","B2C")</f>
        <v>B2B</v>
      </c>
      <c r="L297" s="5">
        <f>_xlfn.XLOOKUP(Logs_Reseau6[[#This Row],[Id_Client]],Clients_Churn[ID_Client],Clients_Churn[Duree_Cumulee_Panne_Min],"Non Trouvée")</f>
        <v>76</v>
      </c>
      <c r="M297" s="5">
        <f>_xlfn.XLOOKUP(Logs_Reseau6[[#This Row],[Id_Client]],Clients_Churn[ID_Client],Clients_Churn[Anciennete_Mois],"Rien à signaler")</f>
        <v>69</v>
      </c>
      <c r="N297" s="11">
        <f>Logs_Reseau6[[#This Row],[Anciennette]]/24</f>
        <v>2.875</v>
      </c>
      <c r="O297" s="1">
        <f>Logs_Reseau6[[#This Row],[Duree_Cumulée_Panne]]/1440</f>
        <v>5.2777777777777778E-2</v>
      </c>
      <c r="P29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298" spans="1:16" hidden="1" x14ac:dyDescent="0.25">
      <c r="A298" s="2">
        <v>45216</v>
      </c>
      <c r="B298" s="1">
        <v>0.2388888888888889</v>
      </c>
      <c r="C298" t="s">
        <v>1621</v>
      </c>
      <c r="D298">
        <v>11</v>
      </c>
      <c r="E298" t="s">
        <v>1300</v>
      </c>
      <c r="F298" t="str">
        <f>_xlfn.XLOOKUP(Logs_Reseau6[[#This Row],[Cell_ID]],Registre[ID_Antenne],Registre[Province_RDC],"Non Trouvée")</f>
        <v>Non Trouvée</v>
      </c>
      <c r="G298" t="str">
        <f>_xlfn.XLOOKUP(Logs_Reseau6[[#This Row],[Province]],Clients_Churn[Province_Client],Clients_Churn[ID_Client],"Aucun")</f>
        <v>Aucun</v>
      </c>
      <c r="H298" t="str">
        <f>_xlfn.XLOOKUP(Logs_Reseau6[[#This Row],[Cell_ID]],Registre[ID_Antenne],Registre[Technologie],"Rien à signaler")</f>
        <v>Rien à signaler</v>
      </c>
      <c r="I298" t="str">
        <f>_xlfn.XLOOKUP(Logs_Reseau6[[#This Row],[Cell_ID]],Registre[ID_Antenne],Registre[Equipementier],"Non Trouvée")</f>
        <v>Non Trouvée</v>
      </c>
      <c r="J298" t="str">
        <f>_xlfn.XLOOKUP(Logs_Reseau6[[#This Row],[Id_Client]],Clients_Churn[ID_Client],Clients_Churn[Type_Forfait],"Pas d'information")</f>
        <v>Pas d'information</v>
      </c>
      <c r="K298" s="5" t="str">
        <f>IF(Logs_Reseau6[[#This Row],[Type_Forfait]]="Pro Monde","B2B","B2C")</f>
        <v>B2C</v>
      </c>
      <c r="L298" s="5" t="str">
        <f>_xlfn.XLOOKUP(Logs_Reseau6[[#This Row],[Id_Client]],Clients_Churn[ID_Client],Clients_Churn[Duree_Cumulee_Panne_Min],"Non Trouvée")</f>
        <v>Non Trouvée</v>
      </c>
      <c r="M298" s="5" t="str">
        <f>_xlfn.XLOOKUP(Logs_Reseau6[[#This Row],[Id_Client]],Clients_Churn[ID_Client],Clients_Churn[Anciennete_Mois],"Rien à signaler")</f>
        <v>Rien à signaler</v>
      </c>
      <c r="N298" s="5" t="e">
        <f>Logs_Reseau6[[#This Row],[Anciennette]]/24</f>
        <v>#VALUE!</v>
      </c>
      <c r="O298" s="5" t="e">
        <f>Logs_Reseau6[[#This Row],[Duree_Cumulée_Panne]]/1440</f>
        <v>#VALUE!</v>
      </c>
      <c r="P29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299" spans="1:16" x14ac:dyDescent="0.25">
      <c r="A299" s="2">
        <v>45200</v>
      </c>
      <c r="B299" s="1">
        <v>0.51458333333333328</v>
      </c>
      <c r="C299" t="s">
        <v>1280</v>
      </c>
      <c r="D299">
        <v>24</v>
      </c>
      <c r="E299" t="s">
        <v>1305</v>
      </c>
      <c r="F299" t="str">
        <f>_xlfn.XLOOKUP(Logs_Reseau6[[#This Row],[Cell_ID]],Registre[ID_Antenne],Registre[Province_RDC],"Non Trouvée")</f>
        <v>Tshuapa</v>
      </c>
      <c r="G299" t="str">
        <f>_xlfn.XLOOKUP(Logs_Reseau6[[#This Row],[Province]],Clients_Churn[Province_Client],Clients_Churn[ID_Client],"Aucun")</f>
        <v>CLI-00033</v>
      </c>
      <c r="H299" t="str">
        <f>_xlfn.XLOOKUP(Logs_Reseau6[[#This Row],[Cell_ID]],Registre[ID_Antenne],Registre[Technologie],"Rien à signaler")</f>
        <v>5G</v>
      </c>
      <c r="I299" t="str">
        <f>_xlfn.XLOOKUP(Logs_Reseau6[[#This Row],[Cell_ID]],Registre[ID_Antenne],Registre[Equipementier],"Non Trouvée")</f>
        <v>ZTE</v>
      </c>
      <c r="J299" t="str">
        <f>_xlfn.XLOOKUP(Logs_Reseau6[[#This Row],[Id_Client]],Clients_Churn[ID_Client],Clients_Churn[Type_Forfait],"Pas d'information")</f>
        <v>Premium 5G 150Go</v>
      </c>
      <c r="K299" s="5" t="str">
        <f>IF(Logs_Reseau6[[#This Row],[Type_Forfait]]="Pro Monde","B2B","B2C")</f>
        <v>B2C</v>
      </c>
      <c r="L299" s="5">
        <f>_xlfn.XLOOKUP(Logs_Reseau6[[#This Row],[Id_Client]],Clients_Churn[ID_Client],Clients_Churn[Duree_Cumulee_Panne_Min],"Non Trouvée")</f>
        <v>201</v>
      </c>
      <c r="M299" s="5">
        <f>_xlfn.XLOOKUP(Logs_Reseau6[[#This Row],[Id_Client]],Clients_Churn[ID_Client],Clients_Churn[Anciennete_Mois],"Rien à signaler")</f>
        <v>2</v>
      </c>
      <c r="N299" s="11">
        <f>Logs_Reseau6[[#This Row],[Anciennette]]/24</f>
        <v>8.3333333333333329E-2</v>
      </c>
      <c r="O299" s="1">
        <f>Logs_Reseau6[[#This Row],[Duree_Cumulée_Panne]]/1440</f>
        <v>0.13958333333333334</v>
      </c>
      <c r="P29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00" spans="1:16" x14ac:dyDescent="0.25">
      <c r="A300" s="2">
        <v>45216</v>
      </c>
      <c r="B300" s="1">
        <v>0.70138888888888884</v>
      </c>
      <c r="C300" t="s">
        <v>1280</v>
      </c>
      <c r="D300">
        <v>80</v>
      </c>
      <c r="E300" t="s">
        <v>1300</v>
      </c>
      <c r="F300" t="str">
        <f>_xlfn.XLOOKUP(Logs_Reseau6[[#This Row],[Cell_ID]],Registre[ID_Antenne],Registre[Province_RDC],"Non Trouvée")</f>
        <v>Tshuapa</v>
      </c>
      <c r="G300" t="str">
        <f>_xlfn.XLOOKUP(Logs_Reseau6[[#This Row],[Province]],Clients_Churn[Province_Client],Clients_Churn[ID_Client],"Aucun")</f>
        <v>CLI-00033</v>
      </c>
      <c r="H300" t="str">
        <f>_xlfn.XLOOKUP(Logs_Reseau6[[#This Row],[Cell_ID]],Registre[ID_Antenne],Registre[Technologie],"Rien à signaler")</f>
        <v>5G</v>
      </c>
      <c r="I300" t="str">
        <f>_xlfn.XLOOKUP(Logs_Reseau6[[#This Row],[Cell_ID]],Registre[ID_Antenne],Registre[Equipementier],"Non Trouvée")</f>
        <v>ZTE</v>
      </c>
      <c r="J300" t="str">
        <f>_xlfn.XLOOKUP(Logs_Reseau6[[#This Row],[Id_Client]],Clients_Churn[ID_Client],Clients_Churn[Type_Forfait],"Pas d'information")</f>
        <v>Premium 5G 150Go</v>
      </c>
      <c r="K300" s="5" t="str">
        <f>IF(Logs_Reseau6[[#This Row],[Type_Forfait]]="Pro Monde","B2B","B2C")</f>
        <v>B2C</v>
      </c>
      <c r="L300" s="5">
        <f>_xlfn.XLOOKUP(Logs_Reseau6[[#This Row],[Id_Client]],Clients_Churn[ID_Client],Clients_Churn[Duree_Cumulee_Panne_Min],"Non Trouvée")</f>
        <v>201</v>
      </c>
      <c r="M300" s="5">
        <f>_xlfn.XLOOKUP(Logs_Reseau6[[#This Row],[Id_Client]],Clients_Churn[ID_Client],Clients_Churn[Anciennete_Mois],"Rien à signaler")</f>
        <v>2</v>
      </c>
      <c r="N300" s="11">
        <f>Logs_Reseau6[[#This Row],[Anciennette]]/24</f>
        <v>8.3333333333333329E-2</v>
      </c>
      <c r="O300" s="1">
        <f>Logs_Reseau6[[#This Row],[Duree_Cumulée_Panne]]/1440</f>
        <v>0.13958333333333334</v>
      </c>
      <c r="P30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01" spans="1:16" x14ac:dyDescent="0.25">
      <c r="A301" s="2">
        <v>45202</v>
      </c>
      <c r="B301" s="1">
        <v>0.69930555555555551</v>
      </c>
      <c r="C301" t="s">
        <v>800</v>
      </c>
      <c r="D301">
        <v>63</v>
      </c>
      <c r="E301" t="s">
        <v>1303</v>
      </c>
      <c r="F301" t="str">
        <f>_xlfn.XLOOKUP(Logs_Reseau6[[#This Row],[Cell_ID]],Registre[ID_Antenne],Registre[Province_RDC],"Non Trouvée")</f>
        <v>Tshopo</v>
      </c>
      <c r="G301" t="str">
        <f>_xlfn.XLOOKUP(Logs_Reseau6[[#This Row],[Province]],Clients_Churn[Province_Client],Clients_Churn[ID_Client],"Aucun")</f>
        <v>CLI-00100</v>
      </c>
      <c r="H301" t="str">
        <f>_xlfn.XLOOKUP(Logs_Reseau6[[#This Row],[Cell_ID]],Registre[ID_Antenne],Registre[Technologie],"Rien à signaler")</f>
        <v>5G</v>
      </c>
      <c r="I301" t="str">
        <f>_xlfn.XLOOKUP(Logs_Reseau6[[#This Row],[Cell_ID]],Registre[ID_Antenne],Registre[Equipementier],"Non Trouvée")</f>
        <v>ZTE</v>
      </c>
      <c r="J301" t="str">
        <f>_xlfn.XLOOKUP(Logs_Reseau6[[#This Row],[Id_Client]],Clients_Churn[ID_Client],Clients_Churn[Type_Forfait],"Pas d'information")</f>
        <v>Bloqué 5Go</v>
      </c>
      <c r="K301" s="5" t="str">
        <f>IF(Logs_Reseau6[[#This Row],[Type_Forfait]]="Pro Monde","B2B","B2C")</f>
        <v>B2C</v>
      </c>
      <c r="L301" s="5">
        <f>_xlfn.XLOOKUP(Logs_Reseau6[[#This Row],[Id_Client]],Clients_Churn[ID_Client],Clients_Churn[Duree_Cumulee_Panne_Min],"Non Trouvée")</f>
        <v>388</v>
      </c>
      <c r="M301" s="5">
        <f>_xlfn.XLOOKUP(Logs_Reseau6[[#This Row],[Id_Client]],Clients_Churn[ID_Client],Clients_Churn[Anciennete_Mois],"Rien à signaler")</f>
        <v>74</v>
      </c>
      <c r="N301" s="11">
        <f>Logs_Reseau6[[#This Row],[Anciennette]]/24</f>
        <v>3.0833333333333335</v>
      </c>
      <c r="O301" s="1">
        <f>Logs_Reseau6[[#This Row],[Duree_Cumulée_Panne]]/1440</f>
        <v>0.26944444444444443</v>
      </c>
      <c r="P30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02" spans="1:16" hidden="1" x14ac:dyDescent="0.25">
      <c r="A302" s="2">
        <v>45222</v>
      </c>
      <c r="B302" s="1">
        <v>0.60277777777777775</v>
      </c>
      <c r="C302" t="s">
        <v>1446</v>
      </c>
      <c r="D302">
        <v>53</v>
      </c>
      <c r="E302" t="s">
        <v>1303</v>
      </c>
      <c r="F302" t="str">
        <f>_xlfn.XLOOKUP(Logs_Reseau6[[#This Row],[Cell_ID]],Registre[ID_Antenne],Registre[Province_RDC],"Non Trouvée")</f>
        <v>Non Trouvée</v>
      </c>
      <c r="G302" t="str">
        <f>_xlfn.XLOOKUP(Logs_Reseau6[[#This Row],[Province]],Clients_Churn[Province_Client],Clients_Churn[ID_Client],"Aucun")</f>
        <v>Aucun</v>
      </c>
      <c r="H302" t="str">
        <f>_xlfn.XLOOKUP(Logs_Reseau6[[#This Row],[Cell_ID]],Registre[ID_Antenne],Registre[Technologie],"Rien à signaler")</f>
        <v>Rien à signaler</v>
      </c>
      <c r="I302" t="str">
        <f>_xlfn.XLOOKUP(Logs_Reseau6[[#This Row],[Cell_ID]],Registre[ID_Antenne],Registre[Equipementier],"Non Trouvée")</f>
        <v>Non Trouvée</v>
      </c>
      <c r="J302" t="str">
        <f>_xlfn.XLOOKUP(Logs_Reseau6[[#This Row],[Id_Client]],Clients_Churn[ID_Client],Clients_Churn[Type_Forfait],"Pas d'information")</f>
        <v>Pas d'information</v>
      </c>
      <c r="K302" s="5" t="str">
        <f>IF(Logs_Reseau6[[#This Row],[Type_Forfait]]="Pro Monde","B2B","B2C")</f>
        <v>B2C</v>
      </c>
      <c r="L302" s="5" t="str">
        <f>_xlfn.XLOOKUP(Logs_Reseau6[[#This Row],[Id_Client]],Clients_Churn[ID_Client],Clients_Churn[Duree_Cumulee_Panne_Min],"Non Trouvée")</f>
        <v>Non Trouvée</v>
      </c>
      <c r="M302" s="5" t="str">
        <f>_xlfn.XLOOKUP(Logs_Reseau6[[#This Row],[Id_Client]],Clients_Churn[ID_Client],Clients_Churn[Anciennete_Mois],"Rien à signaler")</f>
        <v>Rien à signaler</v>
      </c>
      <c r="N302" s="5" t="e">
        <f>Logs_Reseau6[[#This Row],[Anciennette]]/24</f>
        <v>#VALUE!</v>
      </c>
      <c r="O302" s="5" t="e">
        <f>Logs_Reseau6[[#This Row],[Duree_Cumulée_Panne]]/1440</f>
        <v>#VALUE!</v>
      </c>
      <c r="P30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03" spans="1:16" hidden="1" x14ac:dyDescent="0.25">
      <c r="A303" s="2">
        <v>45223</v>
      </c>
      <c r="B303" s="1">
        <v>0.69305555555555554</v>
      </c>
      <c r="C303" t="s">
        <v>1595</v>
      </c>
      <c r="D303">
        <v>18</v>
      </c>
      <c r="E303" t="s">
        <v>1303</v>
      </c>
      <c r="F303" t="str">
        <f>_xlfn.XLOOKUP(Logs_Reseau6[[#This Row],[Cell_ID]],Registre[ID_Antenne],Registre[Province_RDC],"Non Trouvée")</f>
        <v>Non Trouvée</v>
      </c>
      <c r="G303" t="str">
        <f>_xlfn.XLOOKUP(Logs_Reseau6[[#This Row],[Province]],Clients_Churn[Province_Client],Clients_Churn[ID_Client],"Aucun")</f>
        <v>Aucun</v>
      </c>
      <c r="H303" t="str">
        <f>_xlfn.XLOOKUP(Logs_Reseau6[[#This Row],[Cell_ID]],Registre[ID_Antenne],Registre[Technologie],"Rien à signaler")</f>
        <v>Rien à signaler</v>
      </c>
      <c r="I303" t="str">
        <f>_xlfn.XLOOKUP(Logs_Reseau6[[#This Row],[Cell_ID]],Registre[ID_Antenne],Registre[Equipementier],"Non Trouvée")</f>
        <v>Non Trouvée</v>
      </c>
      <c r="J303" t="str">
        <f>_xlfn.XLOOKUP(Logs_Reseau6[[#This Row],[Id_Client]],Clients_Churn[ID_Client],Clients_Churn[Type_Forfait],"Pas d'information")</f>
        <v>Pas d'information</v>
      </c>
      <c r="K303" s="5" t="str">
        <f>IF(Logs_Reseau6[[#This Row],[Type_Forfait]]="Pro Monde","B2B","B2C")</f>
        <v>B2C</v>
      </c>
      <c r="L303" s="5" t="str">
        <f>_xlfn.XLOOKUP(Logs_Reseau6[[#This Row],[Id_Client]],Clients_Churn[ID_Client],Clients_Churn[Duree_Cumulee_Panne_Min],"Non Trouvée")</f>
        <v>Non Trouvée</v>
      </c>
      <c r="M303" s="5" t="str">
        <f>_xlfn.XLOOKUP(Logs_Reseau6[[#This Row],[Id_Client]],Clients_Churn[ID_Client],Clients_Churn[Anciennete_Mois],"Rien à signaler")</f>
        <v>Rien à signaler</v>
      </c>
      <c r="N303" s="5" t="e">
        <f>Logs_Reseau6[[#This Row],[Anciennette]]/24</f>
        <v>#VALUE!</v>
      </c>
      <c r="O303" s="5" t="e">
        <f>Logs_Reseau6[[#This Row],[Duree_Cumulée_Panne]]/1440</f>
        <v>#VALUE!</v>
      </c>
      <c r="P30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04" spans="1:16" hidden="1" x14ac:dyDescent="0.25">
      <c r="A304" s="2">
        <v>45223</v>
      </c>
      <c r="B304" s="1">
        <v>0.56805555555555554</v>
      </c>
      <c r="C304" t="s">
        <v>1595</v>
      </c>
      <c r="D304">
        <v>21</v>
      </c>
      <c r="E304" t="s">
        <v>1300</v>
      </c>
      <c r="F304" t="str">
        <f>_xlfn.XLOOKUP(Logs_Reseau6[[#This Row],[Cell_ID]],Registre[ID_Antenne],Registre[Province_RDC],"Non Trouvée")</f>
        <v>Non Trouvée</v>
      </c>
      <c r="G304" t="str">
        <f>_xlfn.XLOOKUP(Logs_Reseau6[[#This Row],[Province]],Clients_Churn[Province_Client],Clients_Churn[ID_Client],"Aucun")</f>
        <v>Aucun</v>
      </c>
      <c r="H304" t="str">
        <f>_xlfn.XLOOKUP(Logs_Reseau6[[#This Row],[Cell_ID]],Registre[ID_Antenne],Registre[Technologie],"Rien à signaler")</f>
        <v>Rien à signaler</v>
      </c>
      <c r="I304" t="str">
        <f>_xlfn.XLOOKUP(Logs_Reseau6[[#This Row],[Cell_ID]],Registre[ID_Antenne],Registre[Equipementier],"Non Trouvée")</f>
        <v>Non Trouvée</v>
      </c>
      <c r="J304" t="str">
        <f>_xlfn.XLOOKUP(Logs_Reseau6[[#This Row],[Id_Client]],Clients_Churn[ID_Client],Clients_Churn[Type_Forfait],"Pas d'information")</f>
        <v>Pas d'information</v>
      </c>
      <c r="K304" s="5" t="str">
        <f>IF(Logs_Reseau6[[#This Row],[Type_Forfait]]="Pro Monde","B2B","B2C")</f>
        <v>B2C</v>
      </c>
      <c r="L304" s="5" t="str">
        <f>_xlfn.XLOOKUP(Logs_Reseau6[[#This Row],[Id_Client]],Clients_Churn[ID_Client],Clients_Churn[Duree_Cumulee_Panne_Min],"Non Trouvée")</f>
        <v>Non Trouvée</v>
      </c>
      <c r="M304" s="5" t="str">
        <f>_xlfn.XLOOKUP(Logs_Reseau6[[#This Row],[Id_Client]],Clients_Churn[ID_Client],Clients_Churn[Anciennete_Mois],"Rien à signaler")</f>
        <v>Rien à signaler</v>
      </c>
      <c r="N304" s="5" t="e">
        <f>Logs_Reseau6[[#This Row],[Anciennette]]/24</f>
        <v>#VALUE!</v>
      </c>
      <c r="O304" s="5" t="e">
        <f>Logs_Reseau6[[#This Row],[Duree_Cumulée_Panne]]/1440</f>
        <v>#VALUE!</v>
      </c>
      <c r="P30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05" spans="1:16" x14ac:dyDescent="0.25">
      <c r="A305" s="2">
        <v>45202</v>
      </c>
      <c r="B305" s="1">
        <v>0.41249999999999998</v>
      </c>
      <c r="C305" t="s">
        <v>1194</v>
      </c>
      <c r="D305">
        <v>35</v>
      </c>
      <c r="E305" t="s">
        <v>1300</v>
      </c>
      <c r="F305" t="str">
        <f>_xlfn.XLOOKUP(Logs_Reseau6[[#This Row],[Cell_ID]],Registre[ID_Antenne],Registre[Province_RDC],"Non Trouvée")</f>
        <v>Bas-Uele</v>
      </c>
      <c r="G305" t="str">
        <f>_xlfn.XLOOKUP(Logs_Reseau6[[#This Row],[Province]],Clients_Churn[Province_Client],Clients_Churn[ID_Client],"Aucun")</f>
        <v>CLI-00029</v>
      </c>
      <c r="H305" t="str">
        <f>_xlfn.XLOOKUP(Logs_Reseau6[[#This Row],[Cell_ID]],Registre[ID_Antenne],Registre[Technologie],"Rien à signaler")</f>
        <v>3G</v>
      </c>
      <c r="I305" t="str">
        <f>_xlfn.XLOOKUP(Logs_Reseau6[[#This Row],[Cell_ID]],Registre[ID_Antenne],Registre[Equipementier],"Non Trouvée")</f>
        <v>Ericsson</v>
      </c>
      <c r="J305" t="str">
        <f>_xlfn.XLOOKUP(Logs_Reseau6[[#This Row],[Id_Client]],Clients_Churn[ID_Client],Clients_Churn[Type_Forfait],"Pas d'information")</f>
        <v>Pro Monde</v>
      </c>
      <c r="K305" s="5" t="str">
        <f>IF(Logs_Reseau6[[#This Row],[Type_Forfait]]="Pro Monde","B2B","B2C")</f>
        <v>B2B</v>
      </c>
      <c r="L305" s="5">
        <f>_xlfn.XLOOKUP(Logs_Reseau6[[#This Row],[Id_Client]],Clients_Churn[ID_Client],Clients_Churn[Duree_Cumulee_Panne_Min],"Non Trouvée")</f>
        <v>344</v>
      </c>
      <c r="M305" s="5">
        <f>_xlfn.XLOOKUP(Logs_Reseau6[[#This Row],[Id_Client]],Clients_Churn[ID_Client],Clients_Churn[Anciennete_Mois],"Rien à signaler")</f>
        <v>119</v>
      </c>
      <c r="N305" s="11">
        <f>Logs_Reseau6[[#This Row],[Anciennette]]/24</f>
        <v>4.958333333333333</v>
      </c>
      <c r="O305" s="1">
        <f>Logs_Reseau6[[#This Row],[Duree_Cumulée_Panne]]/1440</f>
        <v>0.2388888888888889</v>
      </c>
      <c r="P30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06" spans="1:16" x14ac:dyDescent="0.25">
      <c r="A306" s="2">
        <v>45209</v>
      </c>
      <c r="B306" s="1">
        <v>0.91388888888888886</v>
      </c>
      <c r="C306" t="s">
        <v>1194</v>
      </c>
      <c r="D306">
        <v>111</v>
      </c>
      <c r="E306" t="s">
        <v>1305</v>
      </c>
      <c r="F306" t="str">
        <f>_xlfn.XLOOKUP(Logs_Reseau6[[#This Row],[Cell_ID]],Registre[ID_Antenne],Registre[Province_RDC],"Non Trouvée")</f>
        <v>Bas-Uele</v>
      </c>
      <c r="G306" t="str">
        <f>_xlfn.XLOOKUP(Logs_Reseau6[[#This Row],[Province]],Clients_Churn[Province_Client],Clients_Churn[ID_Client],"Aucun")</f>
        <v>CLI-00029</v>
      </c>
      <c r="H306" t="str">
        <f>_xlfn.XLOOKUP(Logs_Reseau6[[#This Row],[Cell_ID]],Registre[ID_Antenne],Registre[Technologie],"Rien à signaler")</f>
        <v>3G</v>
      </c>
      <c r="I306" t="str">
        <f>_xlfn.XLOOKUP(Logs_Reseau6[[#This Row],[Cell_ID]],Registre[ID_Antenne],Registre[Equipementier],"Non Trouvée")</f>
        <v>Ericsson</v>
      </c>
      <c r="J306" t="str">
        <f>_xlfn.XLOOKUP(Logs_Reseau6[[#This Row],[Id_Client]],Clients_Churn[ID_Client],Clients_Churn[Type_Forfait],"Pas d'information")</f>
        <v>Pro Monde</v>
      </c>
      <c r="K306" s="5" t="str">
        <f>IF(Logs_Reseau6[[#This Row],[Type_Forfait]]="Pro Monde","B2B","B2C")</f>
        <v>B2B</v>
      </c>
      <c r="L306" s="5">
        <f>_xlfn.XLOOKUP(Logs_Reseau6[[#This Row],[Id_Client]],Clients_Churn[ID_Client],Clients_Churn[Duree_Cumulee_Panne_Min],"Non Trouvée")</f>
        <v>344</v>
      </c>
      <c r="M306" s="5">
        <f>_xlfn.XLOOKUP(Logs_Reseau6[[#This Row],[Id_Client]],Clients_Churn[ID_Client],Clients_Churn[Anciennete_Mois],"Rien à signaler")</f>
        <v>119</v>
      </c>
      <c r="N306" s="11">
        <f>Logs_Reseau6[[#This Row],[Anciennette]]/24</f>
        <v>4.958333333333333</v>
      </c>
      <c r="O306" s="1">
        <f>Logs_Reseau6[[#This Row],[Duree_Cumulée_Panne]]/1440</f>
        <v>0.2388888888888889</v>
      </c>
      <c r="P30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07" spans="1:16" x14ac:dyDescent="0.25">
      <c r="A307" s="2">
        <v>45216</v>
      </c>
      <c r="B307" s="1">
        <v>0.97013888888888888</v>
      </c>
      <c r="C307" t="s">
        <v>1194</v>
      </c>
      <c r="D307">
        <v>13</v>
      </c>
      <c r="E307" t="s">
        <v>1305</v>
      </c>
      <c r="F307" t="str">
        <f>_xlfn.XLOOKUP(Logs_Reseau6[[#This Row],[Cell_ID]],Registre[ID_Antenne],Registre[Province_RDC],"Non Trouvée")</f>
        <v>Bas-Uele</v>
      </c>
      <c r="G307" t="str">
        <f>_xlfn.XLOOKUP(Logs_Reseau6[[#This Row],[Province]],Clients_Churn[Province_Client],Clients_Churn[ID_Client],"Aucun")</f>
        <v>CLI-00029</v>
      </c>
      <c r="H307" t="str">
        <f>_xlfn.XLOOKUP(Logs_Reseau6[[#This Row],[Cell_ID]],Registre[ID_Antenne],Registre[Technologie],"Rien à signaler")</f>
        <v>3G</v>
      </c>
      <c r="I307" t="str">
        <f>_xlfn.XLOOKUP(Logs_Reseau6[[#This Row],[Cell_ID]],Registre[ID_Antenne],Registre[Equipementier],"Non Trouvée")</f>
        <v>Ericsson</v>
      </c>
      <c r="J307" t="str">
        <f>_xlfn.XLOOKUP(Logs_Reseau6[[#This Row],[Id_Client]],Clients_Churn[ID_Client],Clients_Churn[Type_Forfait],"Pas d'information")</f>
        <v>Pro Monde</v>
      </c>
      <c r="K307" s="5" t="str">
        <f>IF(Logs_Reseau6[[#This Row],[Type_Forfait]]="Pro Monde","B2B","B2C")</f>
        <v>B2B</v>
      </c>
      <c r="L307" s="5">
        <f>_xlfn.XLOOKUP(Logs_Reseau6[[#This Row],[Id_Client]],Clients_Churn[ID_Client],Clients_Churn[Duree_Cumulee_Panne_Min],"Non Trouvée")</f>
        <v>344</v>
      </c>
      <c r="M307" s="5">
        <f>_xlfn.XLOOKUP(Logs_Reseau6[[#This Row],[Id_Client]],Clients_Churn[ID_Client],Clients_Churn[Anciennete_Mois],"Rien à signaler")</f>
        <v>119</v>
      </c>
      <c r="N307" s="11">
        <f>Logs_Reseau6[[#This Row],[Anciennette]]/24</f>
        <v>4.958333333333333</v>
      </c>
      <c r="O307" s="1">
        <f>Logs_Reseau6[[#This Row],[Duree_Cumulée_Panne]]/1440</f>
        <v>0.2388888888888889</v>
      </c>
      <c r="P30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08" spans="1:16" x14ac:dyDescent="0.25">
      <c r="A308" s="2">
        <v>45219</v>
      </c>
      <c r="B308" s="1">
        <v>0.10347222222222222</v>
      </c>
      <c r="C308" t="s">
        <v>1168</v>
      </c>
      <c r="D308">
        <v>72</v>
      </c>
      <c r="E308" t="s">
        <v>1303</v>
      </c>
      <c r="F308" t="str">
        <f>_xlfn.XLOOKUP(Logs_Reseau6[[#This Row],[Cell_ID]],Registre[ID_Antenne],Registre[Province_RDC],"Non Trouvée")</f>
        <v>Lomami</v>
      </c>
      <c r="G308" t="str">
        <f>_xlfn.XLOOKUP(Logs_Reseau6[[#This Row],[Province]],Clients_Churn[Province_Client],Clients_Churn[ID_Client],"Aucun")</f>
        <v>CLI-00044</v>
      </c>
      <c r="H308" t="str">
        <f>_xlfn.XLOOKUP(Logs_Reseau6[[#This Row],[Cell_ID]],Registre[ID_Antenne],Registre[Technologie],"Rien à signaler")</f>
        <v>5G</v>
      </c>
      <c r="I308" t="str">
        <f>_xlfn.XLOOKUP(Logs_Reseau6[[#This Row],[Cell_ID]],Registre[ID_Antenne],Registre[Equipementier],"Non Trouvée")</f>
        <v>Nokia</v>
      </c>
      <c r="J308" t="str">
        <f>_xlfn.XLOOKUP(Logs_Reseau6[[#This Row],[Id_Client]],Clients_Churn[ID_Client],Clients_Churn[Type_Forfait],"Pas d'information")</f>
        <v>Illimité 50Go</v>
      </c>
      <c r="K308" s="5" t="str">
        <f>IF(Logs_Reseau6[[#This Row],[Type_Forfait]]="Pro Monde","B2B","B2C")</f>
        <v>B2C</v>
      </c>
      <c r="L308" s="5">
        <f>_xlfn.XLOOKUP(Logs_Reseau6[[#This Row],[Id_Client]],Clients_Churn[ID_Client],Clients_Churn[Duree_Cumulee_Panne_Min],"Non Trouvée")</f>
        <v>345</v>
      </c>
      <c r="M308" s="5">
        <f>_xlfn.XLOOKUP(Logs_Reseau6[[#This Row],[Id_Client]],Clients_Churn[ID_Client],Clients_Churn[Anciennete_Mois],"Rien à signaler")</f>
        <v>53</v>
      </c>
      <c r="N308" s="11">
        <f>Logs_Reseau6[[#This Row],[Anciennette]]/24</f>
        <v>2.2083333333333335</v>
      </c>
      <c r="O308" s="1">
        <f>Logs_Reseau6[[#This Row],[Duree_Cumulée_Panne]]/1440</f>
        <v>0.23958333333333334</v>
      </c>
      <c r="P30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09" spans="1:16" x14ac:dyDescent="0.25">
      <c r="A309" s="2">
        <v>45230</v>
      </c>
      <c r="B309" s="1">
        <v>0.22847222222222222</v>
      </c>
      <c r="C309" t="s">
        <v>1168</v>
      </c>
      <c r="D309">
        <v>39</v>
      </c>
      <c r="E309" t="s">
        <v>1305</v>
      </c>
      <c r="F309" t="str">
        <f>_xlfn.XLOOKUP(Logs_Reseau6[[#This Row],[Cell_ID]],Registre[ID_Antenne],Registre[Province_RDC],"Non Trouvée")</f>
        <v>Lomami</v>
      </c>
      <c r="G309" t="str">
        <f>_xlfn.XLOOKUP(Logs_Reseau6[[#This Row],[Province]],Clients_Churn[Province_Client],Clients_Churn[ID_Client],"Aucun")</f>
        <v>CLI-00044</v>
      </c>
      <c r="H309" t="str">
        <f>_xlfn.XLOOKUP(Logs_Reseau6[[#This Row],[Cell_ID]],Registre[ID_Antenne],Registre[Technologie],"Rien à signaler")</f>
        <v>5G</v>
      </c>
      <c r="I309" t="str">
        <f>_xlfn.XLOOKUP(Logs_Reseau6[[#This Row],[Cell_ID]],Registre[ID_Antenne],Registre[Equipementier],"Non Trouvée")</f>
        <v>Nokia</v>
      </c>
      <c r="J309" t="str">
        <f>_xlfn.XLOOKUP(Logs_Reseau6[[#This Row],[Id_Client]],Clients_Churn[ID_Client],Clients_Churn[Type_Forfait],"Pas d'information")</f>
        <v>Illimité 50Go</v>
      </c>
      <c r="K309" s="5" t="str">
        <f>IF(Logs_Reseau6[[#This Row],[Type_Forfait]]="Pro Monde","B2B","B2C")</f>
        <v>B2C</v>
      </c>
      <c r="L309" s="5">
        <f>_xlfn.XLOOKUP(Logs_Reseau6[[#This Row],[Id_Client]],Clients_Churn[ID_Client],Clients_Churn[Duree_Cumulee_Panne_Min],"Non Trouvée")</f>
        <v>345</v>
      </c>
      <c r="M309" s="5">
        <f>_xlfn.XLOOKUP(Logs_Reseau6[[#This Row],[Id_Client]],Clients_Churn[ID_Client],Clients_Churn[Anciennete_Mois],"Rien à signaler")</f>
        <v>53</v>
      </c>
      <c r="N309" s="11">
        <f>Logs_Reseau6[[#This Row],[Anciennette]]/24</f>
        <v>2.2083333333333335</v>
      </c>
      <c r="O309" s="1">
        <f>Logs_Reseau6[[#This Row],[Duree_Cumulée_Panne]]/1440</f>
        <v>0.23958333333333334</v>
      </c>
      <c r="P30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10" spans="1:16" x14ac:dyDescent="0.25">
      <c r="A310" s="2">
        <v>45201</v>
      </c>
      <c r="B310" s="1">
        <v>0.72638888888888886</v>
      </c>
      <c r="C310" t="s">
        <v>1159</v>
      </c>
      <c r="D310">
        <v>97</v>
      </c>
      <c r="E310" t="s">
        <v>1303</v>
      </c>
      <c r="F310" t="str">
        <f>_xlfn.XLOOKUP(Logs_Reseau6[[#This Row],[Cell_ID]],Registre[ID_Antenne],Registre[Province_RDC],"Non Trouvée")</f>
        <v>Kasai-Oriental</v>
      </c>
      <c r="G310" t="str">
        <f>_xlfn.XLOOKUP(Logs_Reseau6[[#This Row],[Province]],Clients_Churn[Province_Client],Clients_Churn[ID_Client],"Aucun")</f>
        <v>CLI-00107</v>
      </c>
      <c r="H310" t="str">
        <f>_xlfn.XLOOKUP(Logs_Reseau6[[#This Row],[Cell_ID]],Registre[ID_Antenne],Registre[Technologie],"Rien à signaler")</f>
        <v>5G</v>
      </c>
      <c r="I310" t="str">
        <f>_xlfn.XLOOKUP(Logs_Reseau6[[#This Row],[Cell_ID]],Registre[ID_Antenne],Registre[Equipementier],"Non Trouvée")</f>
        <v>Huawei</v>
      </c>
      <c r="J310" t="str">
        <f>_xlfn.XLOOKUP(Logs_Reseau6[[#This Row],[Id_Client]],Clients_Churn[ID_Client],Clients_Churn[Type_Forfait],"Pas d'information")</f>
        <v>Premium 5G 150Go</v>
      </c>
      <c r="K310" s="5" t="str">
        <f>IF(Logs_Reseau6[[#This Row],[Type_Forfait]]="Pro Monde","B2B","B2C")</f>
        <v>B2C</v>
      </c>
      <c r="L310" s="5">
        <f>_xlfn.XLOOKUP(Logs_Reseau6[[#This Row],[Id_Client]],Clients_Churn[ID_Client],Clients_Churn[Duree_Cumulee_Panne_Min],"Non Trouvée")</f>
        <v>88</v>
      </c>
      <c r="M310" s="5">
        <f>_xlfn.XLOOKUP(Logs_Reseau6[[#This Row],[Id_Client]],Clients_Churn[ID_Client],Clients_Churn[Anciennete_Mois],"Rien à signaler")</f>
        <v>82</v>
      </c>
      <c r="N310" s="11">
        <f>Logs_Reseau6[[#This Row],[Anciennette]]/24</f>
        <v>3.4166666666666665</v>
      </c>
      <c r="O310" s="1">
        <f>Logs_Reseau6[[#This Row],[Duree_Cumulée_Panne]]/1440</f>
        <v>6.1111111111111109E-2</v>
      </c>
      <c r="P31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11" spans="1:16" x14ac:dyDescent="0.25">
      <c r="A311" s="2">
        <v>45208</v>
      </c>
      <c r="B311" s="1">
        <v>0.16944444444444445</v>
      </c>
      <c r="C311" t="s">
        <v>1244</v>
      </c>
      <c r="D311">
        <v>47</v>
      </c>
      <c r="E311" t="s">
        <v>1300</v>
      </c>
      <c r="F311" t="str">
        <f>_xlfn.XLOOKUP(Logs_Reseau6[[#This Row],[Cell_ID]],Registre[ID_Antenne],Registre[Province_RDC],"Non Trouvée")</f>
        <v>Kasai</v>
      </c>
      <c r="G311" t="str">
        <f>_xlfn.XLOOKUP(Logs_Reseau6[[#This Row],[Province]],Clients_Churn[Province_Client],Clients_Churn[ID_Client],"Aucun")</f>
        <v>CLI-00057</v>
      </c>
      <c r="H311" t="str">
        <f>_xlfn.XLOOKUP(Logs_Reseau6[[#This Row],[Cell_ID]],Registre[ID_Antenne],Registre[Technologie],"Rien à signaler")</f>
        <v>5G</v>
      </c>
      <c r="I311" t="str">
        <f>_xlfn.XLOOKUP(Logs_Reseau6[[#This Row],[Cell_ID]],Registre[ID_Antenne],Registre[Equipementier],"Non Trouvée")</f>
        <v>Nokia</v>
      </c>
      <c r="J311" t="str">
        <f>_xlfn.XLOOKUP(Logs_Reseau6[[#This Row],[Id_Client]],Clients_Churn[ID_Client],Clients_Churn[Type_Forfait],"Pas d'information")</f>
        <v>Bloqué 5Go</v>
      </c>
      <c r="K311" s="5" t="str">
        <f>IF(Logs_Reseau6[[#This Row],[Type_Forfait]]="Pro Monde","B2B","B2C")</f>
        <v>B2C</v>
      </c>
      <c r="L311" s="5">
        <f>_xlfn.XLOOKUP(Logs_Reseau6[[#This Row],[Id_Client]],Clients_Churn[ID_Client],Clients_Churn[Duree_Cumulee_Panne_Min],"Non Trouvée")</f>
        <v>182</v>
      </c>
      <c r="M311" s="5">
        <f>_xlfn.XLOOKUP(Logs_Reseau6[[#This Row],[Id_Client]],Clients_Churn[ID_Client],Clients_Churn[Anciennete_Mois],"Rien à signaler")</f>
        <v>4</v>
      </c>
      <c r="N311" s="11">
        <f>Logs_Reseau6[[#This Row],[Anciennette]]/24</f>
        <v>0.16666666666666666</v>
      </c>
      <c r="O311" s="1">
        <f>Logs_Reseau6[[#This Row],[Duree_Cumulée_Panne]]/1440</f>
        <v>0.12638888888888888</v>
      </c>
      <c r="P31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12" spans="1:16" x14ac:dyDescent="0.25">
      <c r="A312" s="2">
        <v>45210</v>
      </c>
      <c r="B312" s="1">
        <v>0.89583333333333337</v>
      </c>
      <c r="C312" t="s">
        <v>1244</v>
      </c>
      <c r="D312">
        <v>110</v>
      </c>
      <c r="E312" t="s">
        <v>1305</v>
      </c>
      <c r="F312" t="str">
        <f>_xlfn.XLOOKUP(Logs_Reseau6[[#This Row],[Cell_ID]],Registre[ID_Antenne],Registre[Province_RDC],"Non Trouvée")</f>
        <v>Kasai</v>
      </c>
      <c r="G312" t="str">
        <f>_xlfn.XLOOKUP(Logs_Reseau6[[#This Row],[Province]],Clients_Churn[Province_Client],Clients_Churn[ID_Client],"Aucun")</f>
        <v>CLI-00057</v>
      </c>
      <c r="H312" t="str">
        <f>_xlfn.XLOOKUP(Logs_Reseau6[[#This Row],[Cell_ID]],Registre[ID_Antenne],Registre[Technologie],"Rien à signaler")</f>
        <v>5G</v>
      </c>
      <c r="I312" t="str">
        <f>_xlfn.XLOOKUP(Logs_Reseau6[[#This Row],[Cell_ID]],Registre[ID_Antenne],Registre[Equipementier],"Non Trouvée")</f>
        <v>Nokia</v>
      </c>
      <c r="J312" t="str">
        <f>_xlfn.XLOOKUP(Logs_Reseau6[[#This Row],[Id_Client]],Clients_Churn[ID_Client],Clients_Churn[Type_Forfait],"Pas d'information")</f>
        <v>Bloqué 5Go</v>
      </c>
      <c r="K312" s="5" t="str">
        <f>IF(Logs_Reseau6[[#This Row],[Type_Forfait]]="Pro Monde","B2B","B2C")</f>
        <v>B2C</v>
      </c>
      <c r="L312" s="5">
        <f>_xlfn.XLOOKUP(Logs_Reseau6[[#This Row],[Id_Client]],Clients_Churn[ID_Client],Clients_Churn[Duree_Cumulee_Panne_Min],"Non Trouvée")</f>
        <v>182</v>
      </c>
      <c r="M312" s="5">
        <f>_xlfn.XLOOKUP(Logs_Reseau6[[#This Row],[Id_Client]],Clients_Churn[ID_Client],Clients_Churn[Anciennete_Mois],"Rien à signaler")</f>
        <v>4</v>
      </c>
      <c r="N312" s="11">
        <f>Logs_Reseau6[[#This Row],[Anciennette]]/24</f>
        <v>0.16666666666666666</v>
      </c>
      <c r="O312" s="1">
        <f>Logs_Reseau6[[#This Row],[Duree_Cumulée_Panne]]/1440</f>
        <v>0.12638888888888888</v>
      </c>
      <c r="P31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13" spans="1:16" hidden="1" x14ac:dyDescent="0.25">
      <c r="A313" s="2">
        <v>45216</v>
      </c>
      <c r="B313" s="1">
        <v>0.18194444444444444</v>
      </c>
      <c r="C313" t="s">
        <v>1530</v>
      </c>
      <c r="D313">
        <v>86</v>
      </c>
      <c r="E313" t="s">
        <v>1303</v>
      </c>
      <c r="F313" t="str">
        <f>_xlfn.XLOOKUP(Logs_Reseau6[[#This Row],[Cell_ID]],Registre[ID_Antenne],Registre[Province_RDC],"Non Trouvée")</f>
        <v>Non Trouvée</v>
      </c>
      <c r="G313" t="str">
        <f>_xlfn.XLOOKUP(Logs_Reseau6[[#This Row],[Province]],Clients_Churn[Province_Client],Clients_Churn[ID_Client],"Aucun")</f>
        <v>Aucun</v>
      </c>
      <c r="H313" t="str">
        <f>_xlfn.XLOOKUP(Logs_Reseau6[[#This Row],[Cell_ID]],Registre[ID_Antenne],Registre[Technologie],"Rien à signaler")</f>
        <v>Rien à signaler</v>
      </c>
      <c r="I313" t="str">
        <f>_xlfn.XLOOKUP(Logs_Reseau6[[#This Row],[Cell_ID]],Registre[ID_Antenne],Registre[Equipementier],"Non Trouvée")</f>
        <v>Non Trouvée</v>
      </c>
      <c r="J313" t="str">
        <f>_xlfn.XLOOKUP(Logs_Reseau6[[#This Row],[Id_Client]],Clients_Churn[ID_Client],Clients_Churn[Type_Forfait],"Pas d'information")</f>
        <v>Pas d'information</v>
      </c>
      <c r="K313" s="5" t="str">
        <f>IF(Logs_Reseau6[[#This Row],[Type_Forfait]]="Pro Monde","B2B","B2C")</f>
        <v>B2C</v>
      </c>
      <c r="L313" s="5" t="str">
        <f>_xlfn.XLOOKUP(Logs_Reseau6[[#This Row],[Id_Client]],Clients_Churn[ID_Client],Clients_Churn[Duree_Cumulee_Panne_Min],"Non Trouvée")</f>
        <v>Non Trouvée</v>
      </c>
      <c r="M313" s="5" t="str">
        <f>_xlfn.XLOOKUP(Logs_Reseau6[[#This Row],[Id_Client]],Clients_Churn[ID_Client],Clients_Churn[Anciennete_Mois],"Rien à signaler")</f>
        <v>Rien à signaler</v>
      </c>
      <c r="N313" s="5" t="e">
        <f>Logs_Reseau6[[#This Row],[Anciennette]]/24</f>
        <v>#VALUE!</v>
      </c>
      <c r="O313" s="5" t="e">
        <f>Logs_Reseau6[[#This Row],[Duree_Cumulée_Panne]]/1440</f>
        <v>#VALUE!</v>
      </c>
      <c r="P31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14" spans="1:16" x14ac:dyDescent="0.25">
      <c r="A314" s="2">
        <v>45207</v>
      </c>
      <c r="B314" s="1">
        <v>0.13333333333333333</v>
      </c>
      <c r="C314" t="s">
        <v>847</v>
      </c>
      <c r="D314">
        <v>66</v>
      </c>
      <c r="E314" t="s">
        <v>1303</v>
      </c>
      <c r="F314" t="str">
        <f>_xlfn.XLOOKUP(Logs_Reseau6[[#This Row],[Cell_ID]],Registre[ID_Antenne],Registre[Province_RDC],"Non Trouvée")</f>
        <v>Kasai-Oriental</v>
      </c>
      <c r="G314" t="str">
        <f>_xlfn.XLOOKUP(Logs_Reseau6[[#This Row],[Province]],Clients_Churn[Province_Client],Clients_Churn[ID_Client],"Aucun")</f>
        <v>CLI-00107</v>
      </c>
      <c r="H314" t="str">
        <f>_xlfn.XLOOKUP(Logs_Reseau6[[#This Row],[Cell_ID]],Registre[ID_Antenne],Registre[Technologie],"Rien à signaler")</f>
        <v>3G</v>
      </c>
      <c r="I314" t="str">
        <f>_xlfn.XLOOKUP(Logs_Reseau6[[#This Row],[Cell_ID]],Registre[ID_Antenne],Registre[Equipementier],"Non Trouvée")</f>
        <v>Ericsson</v>
      </c>
      <c r="J314" t="str">
        <f>_xlfn.XLOOKUP(Logs_Reseau6[[#This Row],[Id_Client]],Clients_Churn[ID_Client],Clients_Churn[Type_Forfait],"Pas d'information")</f>
        <v>Premium 5G 150Go</v>
      </c>
      <c r="K314" s="5" t="str">
        <f>IF(Logs_Reseau6[[#This Row],[Type_Forfait]]="Pro Monde","B2B","B2C")</f>
        <v>B2C</v>
      </c>
      <c r="L314" s="5">
        <f>_xlfn.XLOOKUP(Logs_Reseau6[[#This Row],[Id_Client]],Clients_Churn[ID_Client],Clients_Churn[Duree_Cumulee_Panne_Min],"Non Trouvée")</f>
        <v>88</v>
      </c>
      <c r="M314" s="5">
        <f>_xlfn.XLOOKUP(Logs_Reseau6[[#This Row],[Id_Client]],Clients_Churn[ID_Client],Clients_Churn[Anciennete_Mois],"Rien à signaler")</f>
        <v>82</v>
      </c>
      <c r="N314" s="11">
        <f>Logs_Reseau6[[#This Row],[Anciennette]]/24</f>
        <v>3.4166666666666665</v>
      </c>
      <c r="O314" s="1">
        <f>Logs_Reseau6[[#This Row],[Duree_Cumulée_Panne]]/1440</f>
        <v>6.1111111111111109E-2</v>
      </c>
      <c r="P31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15" spans="1:16" x14ac:dyDescent="0.25">
      <c r="A315" s="2">
        <v>45214</v>
      </c>
      <c r="B315" s="1">
        <v>0.85069444444444442</v>
      </c>
      <c r="C315" t="s">
        <v>847</v>
      </c>
      <c r="D315">
        <v>31</v>
      </c>
      <c r="E315" t="s">
        <v>1305</v>
      </c>
      <c r="F315" t="str">
        <f>_xlfn.XLOOKUP(Logs_Reseau6[[#This Row],[Cell_ID]],Registre[ID_Antenne],Registre[Province_RDC],"Non Trouvée")</f>
        <v>Kasai-Oriental</v>
      </c>
      <c r="G315" t="str">
        <f>_xlfn.XLOOKUP(Logs_Reseau6[[#This Row],[Province]],Clients_Churn[Province_Client],Clients_Churn[ID_Client],"Aucun")</f>
        <v>CLI-00107</v>
      </c>
      <c r="H315" t="str">
        <f>_xlfn.XLOOKUP(Logs_Reseau6[[#This Row],[Cell_ID]],Registre[ID_Antenne],Registre[Technologie],"Rien à signaler")</f>
        <v>3G</v>
      </c>
      <c r="I315" t="str">
        <f>_xlfn.XLOOKUP(Logs_Reseau6[[#This Row],[Cell_ID]],Registre[ID_Antenne],Registre[Equipementier],"Non Trouvée")</f>
        <v>Ericsson</v>
      </c>
      <c r="J315" t="str">
        <f>_xlfn.XLOOKUP(Logs_Reseau6[[#This Row],[Id_Client]],Clients_Churn[ID_Client],Clients_Churn[Type_Forfait],"Pas d'information")</f>
        <v>Premium 5G 150Go</v>
      </c>
      <c r="K315" s="5" t="str">
        <f>IF(Logs_Reseau6[[#This Row],[Type_Forfait]]="Pro Monde","B2B","B2C")</f>
        <v>B2C</v>
      </c>
      <c r="L315" s="5">
        <f>_xlfn.XLOOKUP(Logs_Reseau6[[#This Row],[Id_Client]],Clients_Churn[ID_Client],Clients_Churn[Duree_Cumulee_Panne_Min],"Non Trouvée")</f>
        <v>88</v>
      </c>
      <c r="M315" s="5">
        <f>_xlfn.XLOOKUP(Logs_Reseau6[[#This Row],[Id_Client]],Clients_Churn[ID_Client],Clients_Churn[Anciennete_Mois],"Rien à signaler")</f>
        <v>82</v>
      </c>
      <c r="N315" s="11">
        <f>Logs_Reseau6[[#This Row],[Anciennette]]/24</f>
        <v>3.4166666666666665</v>
      </c>
      <c r="O315" s="1">
        <f>Logs_Reseau6[[#This Row],[Duree_Cumulée_Panne]]/1440</f>
        <v>6.1111111111111109E-2</v>
      </c>
      <c r="P31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16" spans="1:16" hidden="1" x14ac:dyDescent="0.25">
      <c r="A316" s="2">
        <v>45202</v>
      </c>
      <c r="B316" s="1">
        <v>0.72847222222222219</v>
      </c>
      <c r="C316" t="s">
        <v>1525</v>
      </c>
      <c r="D316">
        <v>18</v>
      </c>
      <c r="E316" t="s">
        <v>1300</v>
      </c>
      <c r="F316" t="str">
        <f>_xlfn.XLOOKUP(Logs_Reseau6[[#This Row],[Cell_ID]],Registre[ID_Antenne],Registre[Province_RDC],"Non Trouvée")</f>
        <v>Non Trouvée</v>
      </c>
      <c r="G316" t="str">
        <f>_xlfn.XLOOKUP(Logs_Reseau6[[#This Row],[Province]],Clients_Churn[Province_Client],Clients_Churn[ID_Client],"Aucun")</f>
        <v>Aucun</v>
      </c>
      <c r="H316" t="str">
        <f>_xlfn.XLOOKUP(Logs_Reseau6[[#This Row],[Cell_ID]],Registre[ID_Antenne],Registre[Technologie],"Rien à signaler")</f>
        <v>Rien à signaler</v>
      </c>
      <c r="I316" t="str">
        <f>_xlfn.XLOOKUP(Logs_Reseau6[[#This Row],[Cell_ID]],Registre[ID_Antenne],Registre[Equipementier],"Non Trouvée")</f>
        <v>Non Trouvée</v>
      </c>
      <c r="J316" t="str">
        <f>_xlfn.XLOOKUP(Logs_Reseau6[[#This Row],[Id_Client]],Clients_Churn[ID_Client],Clients_Churn[Type_Forfait],"Pas d'information")</f>
        <v>Pas d'information</v>
      </c>
      <c r="K316" s="5" t="str">
        <f>IF(Logs_Reseau6[[#This Row],[Type_Forfait]]="Pro Monde","B2B","B2C")</f>
        <v>B2C</v>
      </c>
      <c r="L316" s="5" t="str">
        <f>_xlfn.XLOOKUP(Logs_Reseau6[[#This Row],[Id_Client]],Clients_Churn[ID_Client],Clients_Churn[Duree_Cumulee_Panne_Min],"Non Trouvée")</f>
        <v>Non Trouvée</v>
      </c>
      <c r="M316" s="5" t="str">
        <f>_xlfn.XLOOKUP(Logs_Reseau6[[#This Row],[Id_Client]],Clients_Churn[ID_Client],Clients_Churn[Anciennete_Mois],"Rien à signaler")</f>
        <v>Rien à signaler</v>
      </c>
      <c r="N316" s="5" t="e">
        <f>Logs_Reseau6[[#This Row],[Anciennette]]/24</f>
        <v>#VALUE!</v>
      </c>
      <c r="O316" s="5" t="e">
        <f>Logs_Reseau6[[#This Row],[Duree_Cumulée_Panne]]/1440</f>
        <v>#VALUE!</v>
      </c>
      <c r="P31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17" spans="1:16" hidden="1" x14ac:dyDescent="0.25">
      <c r="A317" s="2">
        <v>45211</v>
      </c>
      <c r="B317" s="1">
        <v>0.71180555555555558</v>
      </c>
      <c r="C317" t="s">
        <v>1525</v>
      </c>
      <c r="D317">
        <v>82</v>
      </c>
      <c r="E317" t="s">
        <v>1303</v>
      </c>
      <c r="F317" t="str">
        <f>_xlfn.XLOOKUP(Logs_Reseau6[[#This Row],[Cell_ID]],Registre[ID_Antenne],Registre[Province_RDC],"Non Trouvée")</f>
        <v>Non Trouvée</v>
      </c>
      <c r="G317" t="str">
        <f>_xlfn.XLOOKUP(Logs_Reseau6[[#This Row],[Province]],Clients_Churn[Province_Client],Clients_Churn[ID_Client],"Aucun")</f>
        <v>Aucun</v>
      </c>
      <c r="H317" t="str">
        <f>_xlfn.XLOOKUP(Logs_Reseau6[[#This Row],[Cell_ID]],Registre[ID_Antenne],Registre[Technologie],"Rien à signaler")</f>
        <v>Rien à signaler</v>
      </c>
      <c r="I317" t="str">
        <f>_xlfn.XLOOKUP(Logs_Reseau6[[#This Row],[Cell_ID]],Registre[ID_Antenne],Registre[Equipementier],"Non Trouvée")</f>
        <v>Non Trouvée</v>
      </c>
      <c r="J317" t="str">
        <f>_xlfn.XLOOKUP(Logs_Reseau6[[#This Row],[Id_Client]],Clients_Churn[ID_Client],Clients_Churn[Type_Forfait],"Pas d'information")</f>
        <v>Pas d'information</v>
      </c>
      <c r="K317" s="5" t="str">
        <f>IF(Logs_Reseau6[[#This Row],[Type_Forfait]]="Pro Monde","B2B","B2C")</f>
        <v>B2C</v>
      </c>
      <c r="L317" s="5" t="str">
        <f>_xlfn.XLOOKUP(Logs_Reseau6[[#This Row],[Id_Client]],Clients_Churn[ID_Client],Clients_Churn[Duree_Cumulee_Panne_Min],"Non Trouvée")</f>
        <v>Non Trouvée</v>
      </c>
      <c r="M317" s="5" t="str">
        <f>_xlfn.XLOOKUP(Logs_Reseau6[[#This Row],[Id_Client]],Clients_Churn[ID_Client],Clients_Churn[Anciennete_Mois],"Rien à signaler")</f>
        <v>Rien à signaler</v>
      </c>
      <c r="N317" s="5" t="e">
        <f>Logs_Reseau6[[#This Row],[Anciennette]]/24</f>
        <v>#VALUE!</v>
      </c>
      <c r="O317" s="5" t="e">
        <f>Logs_Reseau6[[#This Row],[Duree_Cumulée_Panne]]/1440</f>
        <v>#VALUE!</v>
      </c>
      <c r="P31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18" spans="1:16" x14ac:dyDescent="0.25">
      <c r="A318" s="2">
        <v>45203</v>
      </c>
      <c r="B318" s="1">
        <v>0.75069444444444444</v>
      </c>
      <c r="C318" t="s">
        <v>1214</v>
      </c>
      <c r="D318">
        <v>64</v>
      </c>
      <c r="E318" t="s">
        <v>1305</v>
      </c>
      <c r="F318" t="str">
        <f>_xlfn.XLOOKUP(Logs_Reseau6[[#This Row],[Cell_ID]],Registre[ID_Antenne],Registre[Province_RDC],"Non Trouvée")</f>
        <v>Maniema</v>
      </c>
      <c r="G318" t="str">
        <f>_xlfn.XLOOKUP(Logs_Reseau6[[#This Row],[Province]],Clients_Churn[Province_Client],Clients_Churn[ID_Client],"Aucun")</f>
        <v>CLI-00039</v>
      </c>
      <c r="H318" t="str">
        <f>_xlfn.XLOOKUP(Logs_Reseau6[[#This Row],[Cell_ID]],Registre[ID_Antenne],Registre[Technologie],"Rien à signaler")</f>
        <v>4G</v>
      </c>
      <c r="I318" t="str">
        <f>_xlfn.XLOOKUP(Logs_Reseau6[[#This Row],[Cell_ID]],Registre[ID_Antenne],Registre[Equipementier],"Non Trouvée")</f>
        <v>Ericsson</v>
      </c>
      <c r="J318" t="str">
        <f>_xlfn.XLOOKUP(Logs_Reseau6[[#This Row],[Id_Client]],Clients_Churn[ID_Client],Clients_Churn[Type_Forfait],"Pas d'information")</f>
        <v>Pro Monde</v>
      </c>
      <c r="K318" s="5" t="str">
        <f>IF(Logs_Reseau6[[#This Row],[Type_Forfait]]="Pro Monde","B2B","B2C")</f>
        <v>B2B</v>
      </c>
      <c r="L318" s="5">
        <f>_xlfn.XLOOKUP(Logs_Reseau6[[#This Row],[Id_Client]],Clients_Churn[ID_Client],Clients_Churn[Duree_Cumulee_Panne_Min],"Non Trouvée")</f>
        <v>31</v>
      </c>
      <c r="M318" s="5">
        <f>_xlfn.XLOOKUP(Logs_Reseau6[[#This Row],[Id_Client]],Clients_Churn[ID_Client],Clients_Churn[Anciennete_Mois],"Rien à signaler")</f>
        <v>119</v>
      </c>
      <c r="N318" s="11">
        <f>Logs_Reseau6[[#This Row],[Anciennette]]/24</f>
        <v>4.958333333333333</v>
      </c>
      <c r="O318" s="1">
        <f>Logs_Reseau6[[#This Row],[Duree_Cumulée_Panne]]/1440</f>
        <v>2.1527777777777778E-2</v>
      </c>
      <c r="P31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319" spans="1:16" x14ac:dyDescent="0.25">
      <c r="A319" s="2">
        <v>45224</v>
      </c>
      <c r="B319" s="1">
        <v>0.2013888888888889</v>
      </c>
      <c r="C319" t="s">
        <v>1214</v>
      </c>
      <c r="D319">
        <v>43</v>
      </c>
      <c r="E319" t="s">
        <v>1305</v>
      </c>
      <c r="F319" t="str">
        <f>_xlfn.XLOOKUP(Logs_Reseau6[[#This Row],[Cell_ID]],Registre[ID_Antenne],Registre[Province_RDC],"Non Trouvée")</f>
        <v>Maniema</v>
      </c>
      <c r="G319" t="str">
        <f>_xlfn.XLOOKUP(Logs_Reseau6[[#This Row],[Province]],Clients_Churn[Province_Client],Clients_Churn[ID_Client],"Aucun")</f>
        <v>CLI-00039</v>
      </c>
      <c r="H319" t="str">
        <f>_xlfn.XLOOKUP(Logs_Reseau6[[#This Row],[Cell_ID]],Registre[ID_Antenne],Registre[Technologie],"Rien à signaler")</f>
        <v>4G</v>
      </c>
      <c r="I319" t="str">
        <f>_xlfn.XLOOKUP(Logs_Reseau6[[#This Row],[Cell_ID]],Registre[ID_Antenne],Registre[Equipementier],"Non Trouvée")</f>
        <v>Ericsson</v>
      </c>
      <c r="J319" t="str">
        <f>_xlfn.XLOOKUP(Logs_Reseau6[[#This Row],[Id_Client]],Clients_Churn[ID_Client],Clients_Churn[Type_Forfait],"Pas d'information")</f>
        <v>Pro Monde</v>
      </c>
      <c r="K319" s="5" t="str">
        <f>IF(Logs_Reseau6[[#This Row],[Type_Forfait]]="Pro Monde","B2B","B2C")</f>
        <v>B2B</v>
      </c>
      <c r="L319" s="5">
        <f>_xlfn.XLOOKUP(Logs_Reseau6[[#This Row],[Id_Client]],Clients_Churn[ID_Client],Clients_Churn[Duree_Cumulee_Panne_Min],"Non Trouvée")</f>
        <v>31</v>
      </c>
      <c r="M319" s="5">
        <f>_xlfn.XLOOKUP(Logs_Reseau6[[#This Row],[Id_Client]],Clients_Churn[ID_Client],Clients_Churn[Anciennete_Mois],"Rien à signaler")</f>
        <v>119</v>
      </c>
      <c r="N319" s="11">
        <f>Logs_Reseau6[[#This Row],[Anciennette]]/24</f>
        <v>4.958333333333333</v>
      </c>
      <c r="O319" s="1">
        <f>Logs_Reseau6[[#This Row],[Duree_Cumulée_Panne]]/1440</f>
        <v>2.1527777777777778E-2</v>
      </c>
      <c r="P31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320" spans="1:16" hidden="1" x14ac:dyDescent="0.25">
      <c r="A320" s="2">
        <v>45202</v>
      </c>
      <c r="B320" s="1">
        <v>0.31944444444444442</v>
      </c>
      <c r="C320" t="s">
        <v>1408</v>
      </c>
      <c r="D320">
        <v>115</v>
      </c>
      <c r="E320" t="s">
        <v>1303</v>
      </c>
      <c r="F320" t="str">
        <f>_xlfn.XLOOKUP(Logs_Reseau6[[#This Row],[Cell_ID]],Registre[ID_Antenne],Registre[Province_RDC],"Non Trouvée")</f>
        <v>Non Trouvée</v>
      </c>
      <c r="G320" t="str">
        <f>_xlfn.XLOOKUP(Logs_Reseau6[[#This Row],[Province]],Clients_Churn[Province_Client],Clients_Churn[ID_Client],"Aucun")</f>
        <v>Aucun</v>
      </c>
      <c r="H320" t="str">
        <f>_xlfn.XLOOKUP(Logs_Reseau6[[#This Row],[Cell_ID]],Registre[ID_Antenne],Registre[Technologie],"Rien à signaler")</f>
        <v>Rien à signaler</v>
      </c>
      <c r="I320" t="str">
        <f>_xlfn.XLOOKUP(Logs_Reseau6[[#This Row],[Cell_ID]],Registre[ID_Antenne],Registre[Equipementier],"Non Trouvée")</f>
        <v>Non Trouvée</v>
      </c>
      <c r="J320" t="str">
        <f>_xlfn.XLOOKUP(Logs_Reseau6[[#This Row],[Id_Client]],Clients_Churn[ID_Client],Clients_Churn[Type_Forfait],"Pas d'information")</f>
        <v>Pas d'information</v>
      </c>
      <c r="K320" s="5" t="str">
        <f>IF(Logs_Reseau6[[#This Row],[Type_Forfait]]="Pro Monde","B2B","B2C")</f>
        <v>B2C</v>
      </c>
      <c r="L320" s="5" t="str">
        <f>_xlfn.XLOOKUP(Logs_Reseau6[[#This Row],[Id_Client]],Clients_Churn[ID_Client],Clients_Churn[Duree_Cumulee_Panne_Min],"Non Trouvée")</f>
        <v>Non Trouvée</v>
      </c>
      <c r="M320" s="5" t="str">
        <f>_xlfn.XLOOKUP(Logs_Reseau6[[#This Row],[Id_Client]],Clients_Churn[ID_Client],Clients_Churn[Anciennete_Mois],"Rien à signaler")</f>
        <v>Rien à signaler</v>
      </c>
      <c r="N320" s="5" t="e">
        <f>Logs_Reseau6[[#This Row],[Anciennette]]/24</f>
        <v>#VALUE!</v>
      </c>
      <c r="O320" s="5" t="e">
        <f>Logs_Reseau6[[#This Row],[Duree_Cumulée_Panne]]/1440</f>
        <v>#VALUE!</v>
      </c>
      <c r="P32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1" spans="1:16" hidden="1" x14ac:dyDescent="0.25">
      <c r="A321" s="2">
        <v>45203</v>
      </c>
      <c r="B321" s="1">
        <v>0.22777777777777777</v>
      </c>
      <c r="C321" t="s">
        <v>1408</v>
      </c>
      <c r="D321">
        <v>61</v>
      </c>
      <c r="E321" t="s">
        <v>1303</v>
      </c>
      <c r="F321" t="str">
        <f>_xlfn.XLOOKUP(Logs_Reseau6[[#This Row],[Cell_ID]],Registre[ID_Antenne],Registre[Province_RDC],"Non Trouvée")</f>
        <v>Non Trouvée</v>
      </c>
      <c r="G321" t="str">
        <f>_xlfn.XLOOKUP(Logs_Reseau6[[#This Row],[Province]],Clients_Churn[Province_Client],Clients_Churn[ID_Client],"Aucun")</f>
        <v>Aucun</v>
      </c>
      <c r="H321" t="str">
        <f>_xlfn.XLOOKUP(Logs_Reseau6[[#This Row],[Cell_ID]],Registre[ID_Antenne],Registre[Technologie],"Rien à signaler")</f>
        <v>Rien à signaler</v>
      </c>
      <c r="I321" t="str">
        <f>_xlfn.XLOOKUP(Logs_Reseau6[[#This Row],[Cell_ID]],Registre[ID_Antenne],Registre[Equipementier],"Non Trouvée")</f>
        <v>Non Trouvée</v>
      </c>
      <c r="J321" t="str">
        <f>_xlfn.XLOOKUP(Logs_Reseau6[[#This Row],[Id_Client]],Clients_Churn[ID_Client],Clients_Churn[Type_Forfait],"Pas d'information")</f>
        <v>Pas d'information</v>
      </c>
      <c r="K321" s="5" t="str">
        <f>IF(Logs_Reseau6[[#This Row],[Type_Forfait]]="Pro Monde","B2B","B2C")</f>
        <v>B2C</v>
      </c>
      <c r="L321" s="5" t="str">
        <f>_xlfn.XLOOKUP(Logs_Reseau6[[#This Row],[Id_Client]],Clients_Churn[ID_Client],Clients_Churn[Duree_Cumulee_Panne_Min],"Non Trouvée")</f>
        <v>Non Trouvée</v>
      </c>
      <c r="M321" s="5" t="str">
        <f>_xlfn.XLOOKUP(Logs_Reseau6[[#This Row],[Id_Client]],Clients_Churn[ID_Client],Clients_Churn[Anciennete_Mois],"Rien à signaler")</f>
        <v>Rien à signaler</v>
      </c>
      <c r="N321" s="5" t="e">
        <f>Logs_Reseau6[[#This Row],[Anciennette]]/24</f>
        <v>#VALUE!</v>
      </c>
      <c r="O321" s="5" t="e">
        <f>Logs_Reseau6[[#This Row],[Duree_Cumulée_Panne]]/1440</f>
        <v>#VALUE!</v>
      </c>
      <c r="P32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2" spans="1:16" hidden="1" x14ac:dyDescent="0.25">
      <c r="A322" s="2">
        <v>45214</v>
      </c>
      <c r="B322" s="1">
        <v>0.7993055555555556</v>
      </c>
      <c r="C322" t="s">
        <v>1538</v>
      </c>
      <c r="D322">
        <v>67</v>
      </c>
      <c r="E322" t="s">
        <v>1300</v>
      </c>
      <c r="F322" t="str">
        <f>_xlfn.XLOOKUP(Logs_Reseau6[[#This Row],[Cell_ID]],Registre[ID_Antenne],Registre[Province_RDC],"Non Trouvée")</f>
        <v>Non Trouvée</v>
      </c>
      <c r="G322" t="str">
        <f>_xlfn.XLOOKUP(Logs_Reseau6[[#This Row],[Province]],Clients_Churn[Province_Client],Clients_Churn[ID_Client],"Aucun")</f>
        <v>Aucun</v>
      </c>
      <c r="H322" t="str">
        <f>_xlfn.XLOOKUP(Logs_Reseau6[[#This Row],[Cell_ID]],Registre[ID_Antenne],Registre[Technologie],"Rien à signaler")</f>
        <v>Rien à signaler</v>
      </c>
      <c r="I322" t="str">
        <f>_xlfn.XLOOKUP(Logs_Reseau6[[#This Row],[Cell_ID]],Registre[ID_Antenne],Registre[Equipementier],"Non Trouvée")</f>
        <v>Non Trouvée</v>
      </c>
      <c r="J322" t="str">
        <f>_xlfn.XLOOKUP(Logs_Reseau6[[#This Row],[Id_Client]],Clients_Churn[ID_Client],Clients_Churn[Type_Forfait],"Pas d'information")</f>
        <v>Pas d'information</v>
      </c>
      <c r="K322" s="5" t="str">
        <f>IF(Logs_Reseau6[[#This Row],[Type_Forfait]]="Pro Monde","B2B","B2C")</f>
        <v>B2C</v>
      </c>
      <c r="L322" s="5" t="str">
        <f>_xlfn.XLOOKUP(Logs_Reseau6[[#This Row],[Id_Client]],Clients_Churn[ID_Client],Clients_Churn[Duree_Cumulee_Panne_Min],"Non Trouvée")</f>
        <v>Non Trouvée</v>
      </c>
      <c r="M322" s="5" t="str">
        <f>_xlfn.XLOOKUP(Logs_Reseau6[[#This Row],[Id_Client]],Clients_Churn[ID_Client],Clients_Churn[Anciennete_Mois],"Rien à signaler")</f>
        <v>Rien à signaler</v>
      </c>
      <c r="N322" s="5" t="e">
        <f>Logs_Reseau6[[#This Row],[Anciennette]]/24</f>
        <v>#VALUE!</v>
      </c>
      <c r="O322" s="5" t="e">
        <f>Logs_Reseau6[[#This Row],[Duree_Cumulée_Panne]]/1440</f>
        <v>#VALUE!</v>
      </c>
      <c r="P32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3" spans="1:16" hidden="1" x14ac:dyDescent="0.25">
      <c r="A323" s="2">
        <v>45200</v>
      </c>
      <c r="B323" s="1">
        <v>0.30763888888888891</v>
      </c>
      <c r="C323" t="s">
        <v>1312</v>
      </c>
      <c r="D323">
        <v>114</v>
      </c>
      <c r="E323" t="s">
        <v>1303</v>
      </c>
      <c r="F323" t="str">
        <f>_xlfn.XLOOKUP(Logs_Reseau6[[#This Row],[Cell_ID]],Registre[ID_Antenne],Registre[Province_RDC],"Non Trouvée")</f>
        <v>Non Trouvée</v>
      </c>
      <c r="G323" t="str">
        <f>_xlfn.XLOOKUP(Logs_Reseau6[[#This Row],[Province]],Clients_Churn[Province_Client],Clients_Churn[ID_Client],"Aucun")</f>
        <v>Aucun</v>
      </c>
      <c r="H323" t="str">
        <f>_xlfn.XLOOKUP(Logs_Reseau6[[#This Row],[Cell_ID]],Registre[ID_Antenne],Registre[Technologie],"Rien à signaler")</f>
        <v>Rien à signaler</v>
      </c>
      <c r="I323" t="str">
        <f>_xlfn.XLOOKUP(Logs_Reseau6[[#This Row],[Cell_ID]],Registre[ID_Antenne],Registre[Equipementier],"Non Trouvée")</f>
        <v>Non Trouvée</v>
      </c>
      <c r="J323" t="str">
        <f>_xlfn.XLOOKUP(Logs_Reseau6[[#This Row],[Id_Client]],Clients_Churn[ID_Client],Clients_Churn[Type_Forfait],"Pas d'information")</f>
        <v>Pas d'information</v>
      </c>
      <c r="K323" s="5" t="str">
        <f>IF(Logs_Reseau6[[#This Row],[Type_Forfait]]="Pro Monde","B2B","B2C")</f>
        <v>B2C</v>
      </c>
      <c r="L323" s="5" t="str">
        <f>_xlfn.XLOOKUP(Logs_Reseau6[[#This Row],[Id_Client]],Clients_Churn[ID_Client],Clients_Churn[Duree_Cumulee_Panne_Min],"Non Trouvée")</f>
        <v>Non Trouvée</v>
      </c>
      <c r="M323" s="5" t="str">
        <f>_xlfn.XLOOKUP(Logs_Reseau6[[#This Row],[Id_Client]],Clients_Churn[ID_Client],Clients_Churn[Anciennete_Mois],"Rien à signaler")</f>
        <v>Rien à signaler</v>
      </c>
      <c r="N323" s="5" t="e">
        <f>Logs_Reseau6[[#This Row],[Anciennette]]/24</f>
        <v>#VALUE!</v>
      </c>
      <c r="O323" s="5" t="e">
        <f>Logs_Reseau6[[#This Row],[Duree_Cumulée_Panne]]/1440</f>
        <v>#VALUE!</v>
      </c>
      <c r="P32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4" spans="1:16" hidden="1" x14ac:dyDescent="0.25">
      <c r="A324" s="2">
        <v>45210</v>
      </c>
      <c r="B324" s="1">
        <v>0.12847222222222221</v>
      </c>
      <c r="C324" t="s">
        <v>1312</v>
      </c>
      <c r="D324">
        <v>115</v>
      </c>
      <c r="E324" t="s">
        <v>1300</v>
      </c>
      <c r="F324" t="str">
        <f>_xlfn.XLOOKUP(Logs_Reseau6[[#This Row],[Cell_ID]],Registre[ID_Antenne],Registre[Province_RDC],"Non Trouvée")</f>
        <v>Non Trouvée</v>
      </c>
      <c r="G324" t="str">
        <f>_xlfn.XLOOKUP(Logs_Reseau6[[#This Row],[Province]],Clients_Churn[Province_Client],Clients_Churn[ID_Client],"Aucun")</f>
        <v>Aucun</v>
      </c>
      <c r="H324" t="str">
        <f>_xlfn.XLOOKUP(Logs_Reseau6[[#This Row],[Cell_ID]],Registre[ID_Antenne],Registre[Technologie],"Rien à signaler")</f>
        <v>Rien à signaler</v>
      </c>
      <c r="I324" t="str">
        <f>_xlfn.XLOOKUP(Logs_Reseau6[[#This Row],[Cell_ID]],Registre[ID_Antenne],Registre[Equipementier],"Non Trouvée")</f>
        <v>Non Trouvée</v>
      </c>
      <c r="J324" t="str">
        <f>_xlfn.XLOOKUP(Logs_Reseau6[[#This Row],[Id_Client]],Clients_Churn[ID_Client],Clients_Churn[Type_Forfait],"Pas d'information")</f>
        <v>Pas d'information</v>
      </c>
      <c r="K324" s="5" t="str">
        <f>IF(Logs_Reseau6[[#This Row],[Type_Forfait]]="Pro Monde","B2B","B2C")</f>
        <v>B2C</v>
      </c>
      <c r="L324" s="5" t="str">
        <f>_xlfn.XLOOKUP(Logs_Reseau6[[#This Row],[Id_Client]],Clients_Churn[ID_Client],Clients_Churn[Duree_Cumulee_Panne_Min],"Non Trouvée")</f>
        <v>Non Trouvée</v>
      </c>
      <c r="M324" s="5" t="str">
        <f>_xlfn.XLOOKUP(Logs_Reseau6[[#This Row],[Id_Client]],Clients_Churn[ID_Client],Clients_Churn[Anciennete_Mois],"Rien à signaler")</f>
        <v>Rien à signaler</v>
      </c>
      <c r="N324" s="5" t="e">
        <f>Logs_Reseau6[[#This Row],[Anciennette]]/24</f>
        <v>#VALUE!</v>
      </c>
      <c r="O324" s="5" t="e">
        <f>Logs_Reseau6[[#This Row],[Duree_Cumulée_Panne]]/1440</f>
        <v>#VALUE!</v>
      </c>
      <c r="P32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5" spans="1:16" hidden="1" x14ac:dyDescent="0.25">
      <c r="A325" s="2">
        <v>45219</v>
      </c>
      <c r="B325" s="1">
        <v>0.30138888888888887</v>
      </c>
      <c r="C325" t="s">
        <v>1312</v>
      </c>
      <c r="D325">
        <v>65</v>
      </c>
      <c r="E325" t="s">
        <v>1300</v>
      </c>
      <c r="F325" t="str">
        <f>_xlfn.XLOOKUP(Logs_Reseau6[[#This Row],[Cell_ID]],Registre[ID_Antenne],Registre[Province_RDC],"Non Trouvée")</f>
        <v>Non Trouvée</v>
      </c>
      <c r="G325" t="str">
        <f>_xlfn.XLOOKUP(Logs_Reseau6[[#This Row],[Province]],Clients_Churn[Province_Client],Clients_Churn[ID_Client],"Aucun")</f>
        <v>Aucun</v>
      </c>
      <c r="H325" t="str">
        <f>_xlfn.XLOOKUP(Logs_Reseau6[[#This Row],[Cell_ID]],Registre[ID_Antenne],Registre[Technologie],"Rien à signaler")</f>
        <v>Rien à signaler</v>
      </c>
      <c r="I325" t="str">
        <f>_xlfn.XLOOKUP(Logs_Reseau6[[#This Row],[Cell_ID]],Registre[ID_Antenne],Registre[Equipementier],"Non Trouvée")</f>
        <v>Non Trouvée</v>
      </c>
      <c r="J325" t="str">
        <f>_xlfn.XLOOKUP(Logs_Reseau6[[#This Row],[Id_Client]],Clients_Churn[ID_Client],Clients_Churn[Type_Forfait],"Pas d'information")</f>
        <v>Pas d'information</v>
      </c>
      <c r="K325" s="5" t="str">
        <f>IF(Logs_Reseau6[[#This Row],[Type_Forfait]]="Pro Monde","B2B","B2C")</f>
        <v>B2C</v>
      </c>
      <c r="L325" s="5" t="str">
        <f>_xlfn.XLOOKUP(Logs_Reseau6[[#This Row],[Id_Client]],Clients_Churn[ID_Client],Clients_Churn[Duree_Cumulee_Panne_Min],"Non Trouvée")</f>
        <v>Non Trouvée</v>
      </c>
      <c r="M325" s="5" t="str">
        <f>_xlfn.XLOOKUP(Logs_Reseau6[[#This Row],[Id_Client]],Clients_Churn[ID_Client],Clients_Churn[Anciennete_Mois],"Rien à signaler")</f>
        <v>Rien à signaler</v>
      </c>
      <c r="N325" s="5" t="e">
        <f>Logs_Reseau6[[#This Row],[Anciennette]]/24</f>
        <v>#VALUE!</v>
      </c>
      <c r="O325" s="5" t="e">
        <f>Logs_Reseau6[[#This Row],[Duree_Cumulée_Panne]]/1440</f>
        <v>#VALUE!</v>
      </c>
      <c r="P32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6" spans="1:16" hidden="1" x14ac:dyDescent="0.25">
      <c r="A326" s="2">
        <v>45220</v>
      </c>
      <c r="B326" s="1">
        <v>9.166666666666666E-2</v>
      </c>
      <c r="C326" t="s">
        <v>1312</v>
      </c>
      <c r="D326">
        <v>87</v>
      </c>
      <c r="E326" t="s">
        <v>1303</v>
      </c>
      <c r="F326" t="str">
        <f>_xlfn.XLOOKUP(Logs_Reseau6[[#This Row],[Cell_ID]],Registre[ID_Antenne],Registre[Province_RDC],"Non Trouvée")</f>
        <v>Non Trouvée</v>
      </c>
      <c r="G326" t="str">
        <f>_xlfn.XLOOKUP(Logs_Reseau6[[#This Row],[Province]],Clients_Churn[Province_Client],Clients_Churn[ID_Client],"Aucun")</f>
        <v>Aucun</v>
      </c>
      <c r="H326" t="str">
        <f>_xlfn.XLOOKUP(Logs_Reseau6[[#This Row],[Cell_ID]],Registre[ID_Antenne],Registre[Technologie],"Rien à signaler")</f>
        <v>Rien à signaler</v>
      </c>
      <c r="I326" t="str">
        <f>_xlfn.XLOOKUP(Logs_Reseau6[[#This Row],[Cell_ID]],Registre[ID_Antenne],Registre[Equipementier],"Non Trouvée")</f>
        <v>Non Trouvée</v>
      </c>
      <c r="J326" t="str">
        <f>_xlfn.XLOOKUP(Logs_Reseau6[[#This Row],[Id_Client]],Clients_Churn[ID_Client],Clients_Churn[Type_Forfait],"Pas d'information")</f>
        <v>Pas d'information</v>
      </c>
      <c r="K326" s="5" t="str">
        <f>IF(Logs_Reseau6[[#This Row],[Type_Forfait]]="Pro Monde","B2B","B2C")</f>
        <v>B2C</v>
      </c>
      <c r="L326" s="5" t="str">
        <f>_xlfn.XLOOKUP(Logs_Reseau6[[#This Row],[Id_Client]],Clients_Churn[ID_Client],Clients_Churn[Duree_Cumulee_Panne_Min],"Non Trouvée")</f>
        <v>Non Trouvée</v>
      </c>
      <c r="M326" s="5" t="str">
        <f>_xlfn.XLOOKUP(Logs_Reseau6[[#This Row],[Id_Client]],Clients_Churn[ID_Client],Clients_Churn[Anciennete_Mois],"Rien à signaler")</f>
        <v>Rien à signaler</v>
      </c>
      <c r="N326" s="5" t="e">
        <f>Logs_Reseau6[[#This Row],[Anciennette]]/24</f>
        <v>#VALUE!</v>
      </c>
      <c r="O326" s="5" t="e">
        <f>Logs_Reseau6[[#This Row],[Duree_Cumulée_Panne]]/1440</f>
        <v>#VALUE!</v>
      </c>
      <c r="P32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7" spans="1:16" hidden="1" x14ac:dyDescent="0.25">
      <c r="A327" s="2">
        <v>45202</v>
      </c>
      <c r="B327" s="1">
        <v>0.44305555555555554</v>
      </c>
      <c r="C327" t="s">
        <v>1587</v>
      </c>
      <c r="D327">
        <v>52</v>
      </c>
      <c r="E327" t="s">
        <v>1303</v>
      </c>
      <c r="F327" t="str">
        <f>_xlfn.XLOOKUP(Logs_Reseau6[[#This Row],[Cell_ID]],Registre[ID_Antenne],Registre[Province_RDC],"Non Trouvée")</f>
        <v>Non Trouvée</v>
      </c>
      <c r="G327" t="str">
        <f>_xlfn.XLOOKUP(Logs_Reseau6[[#This Row],[Province]],Clients_Churn[Province_Client],Clients_Churn[ID_Client],"Aucun")</f>
        <v>Aucun</v>
      </c>
      <c r="H327" t="str">
        <f>_xlfn.XLOOKUP(Logs_Reseau6[[#This Row],[Cell_ID]],Registre[ID_Antenne],Registre[Technologie],"Rien à signaler")</f>
        <v>Rien à signaler</v>
      </c>
      <c r="I327" t="str">
        <f>_xlfn.XLOOKUP(Logs_Reseau6[[#This Row],[Cell_ID]],Registre[ID_Antenne],Registre[Equipementier],"Non Trouvée")</f>
        <v>Non Trouvée</v>
      </c>
      <c r="J327" t="str">
        <f>_xlfn.XLOOKUP(Logs_Reseau6[[#This Row],[Id_Client]],Clients_Churn[ID_Client],Clients_Churn[Type_Forfait],"Pas d'information")</f>
        <v>Pas d'information</v>
      </c>
      <c r="K327" s="5" t="str">
        <f>IF(Logs_Reseau6[[#This Row],[Type_Forfait]]="Pro Monde","B2B","B2C")</f>
        <v>B2C</v>
      </c>
      <c r="L327" s="5" t="str">
        <f>_xlfn.XLOOKUP(Logs_Reseau6[[#This Row],[Id_Client]],Clients_Churn[ID_Client],Clients_Churn[Duree_Cumulee_Panne_Min],"Non Trouvée")</f>
        <v>Non Trouvée</v>
      </c>
      <c r="M327" s="5" t="str">
        <f>_xlfn.XLOOKUP(Logs_Reseau6[[#This Row],[Id_Client]],Clients_Churn[ID_Client],Clients_Churn[Anciennete_Mois],"Rien à signaler")</f>
        <v>Rien à signaler</v>
      </c>
      <c r="N327" s="5" t="e">
        <f>Logs_Reseau6[[#This Row],[Anciennette]]/24</f>
        <v>#VALUE!</v>
      </c>
      <c r="O327" s="5" t="e">
        <f>Logs_Reseau6[[#This Row],[Duree_Cumulée_Panne]]/1440</f>
        <v>#VALUE!</v>
      </c>
      <c r="P32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8" spans="1:16" hidden="1" x14ac:dyDescent="0.25">
      <c r="A328" s="2">
        <v>45207</v>
      </c>
      <c r="B328" s="1">
        <v>0.52500000000000002</v>
      </c>
      <c r="C328" t="s">
        <v>1514</v>
      </c>
      <c r="D328">
        <v>83</v>
      </c>
      <c r="E328" t="s">
        <v>1300</v>
      </c>
      <c r="F328" t="str">
        <f>_xlfn.XLOOKUP(Logs_Reseau6[[#This Row],[Cell_ID]],Registre[ID_Antenne],Registre[Province_RDC],"Non Trouvée")</f>
        <v>Non Trouvée</v>
      </c>
      <c r="G328" t="str">
        <f>_xlfn.XLOOKUP(Logs_Reseau6[[#This Row],[Province]],Clients_Churn[Province_Client],Clients_Churn[ID_Client],"Aucun")</f>
        <v>Aucun</v>
      </c>
      <c r="H328" t="str">
        <f>_xlfn.XLOOKUP(Logs_Reseau6[[#This Row],[Cell_ID]],Registre[ID_Antenne],Registre[Technologie],"Rien à signaler")</f>
        <v>Rien à signaler</v>
      </c>
      <c r="I328" t="str">
        <f>_xlfn.XLOOKUP(Logs_Reseau6[[#This Row],[Cell_ID]],Registre[ID_Antenne],Registre[Equipementier],"Non Trouvée")</f>
        <v>Non Trouvée</v>
      </c>
      <c r="J328" t="str">
        <f>_xlfn.XLOOKUP(Logs_Reseau6[[#This Row],[Id_Client]],Clients_Churn[ID_Client],Clients_Churn[Type_Forfait],"Pas d'information")</f>
        <v>Pas d'information</v>
      </c>
      <c r="K328" s="5" t="str">
        <f>IF(Logs_Reseau6[[#This Row],[Type_Forfait]]="Pro Monde","B2B","B2C")</f>
        <v>B2C</v>
      </c>
      <c r="L328" s="5" t="str">
        <f>_xlfn.XLOOKUP(Logs_Reseau6[[#This Row],[Id_Client]],Clients_Churn[ID_Client],Clients_Churn[Duree_Cumulee_Panne_Min],"Non Trouvée")</f>
        <v>Non Trouvée</v>
      </c>
      <c r="M328" s="5" t="str">
        <f>_xlfn.XLOOKUP(Logs_Reseau6[[#This Row],[Id_Client]],Clients_Churn[ID_Client],Clients_Churn[Anciennete_Mois],"Rien à signaler")</f>
        <v>Rien à signaler</v>
      </c>
      <c r="N328" s="5" t="e">
        <f>Logs_Reseau6[[#This Row],[Anciennette]]/24</f>
        <v>#VALUE!</v>
      </c>
      <c r="O328" s="5" t="e">
        <f>Logs_Reseau6[[#This Row],[Duree_Cumulée_Panne]]/1440</f>
        <v>#VALUE!</v>
      </c>
      <c r="P32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29" spans="1:16" hidden="1" x14ac:dyDescent="0.25">
      <c r="A329" s="2">
        <v>45200</v>
      </c>
      <c r="B329" s="1">
        <v>0.59513888888888888</v>
      </c>
      <c r="C329" t="s">
        <v>1542</v>
      </c>
      <c r="D329">
        <v>69</v>
      </c>
      <c r="E329" t="s">
        <v>1305</v>
      </c>
      <c r="F329" t="str">
        <f>_xlfn.XLOOKUP(Logs_Reseau6[[#This Row],[Cell_ID]],Registre[ID_Antenne],Registre[Province_RDC],"Non Trouvée")</f>
        <v>Non Trouvée</v>
      </c>
      <c r="G329" t="str">
        <f>_xlfn.XLOOKUP(Logs_Reseau6[[#This Row],[Province]],Clients_Churn[Province_Client],Clients_Churn[ID_Client],"Aucun")</f>
        <v>Aucun</v>
      </c>
      <c r="H329" t="str">
        <f>_xlfn.XLOOKUP(Logs_Reseau6[[#This Row],[Cell_ID]],Registre[ID_Antenne],Registre[Technologie],"Rien à signaler")</f>
        <v>Rien à signaler</v>
      </c>
      <c r="I329" t="str">
        <f>_xlfn.XLOOKUP(Logs_Reseau6[[#This Row],[Cell_ID]],Registre[ID_Antenne],Registre[Equipementier],"Non Trouvée")</f>
        <v>Non Trouvée</v>
      </c>
      <c r="J329" t="str">
        <f>_xlfn.XLOOKUP(Logs_Reseau6[[#This Row],[Id_Client]],Clients_Churn[ID_Client],Clients_Churn[Type_Forfait],"Pas d'information")</f>
        <v>Pas d'information</v>
      </c>
      <c r="K329" s="5" t="str">
        <f>IF(Logs_Reseau6[[#This Row],[Type_Forfait]]="Pro Monde","B2B","B2C")</f>
        <v>B2C</v>
      </c>
      <c r="L329" s="5" t="str">
        <f>_xlfn.XLOOKUP(Logs_Reseau6[[#This Row],[Id_Client]],Clients_Churn[ID_Client],Clients_Churn[Duree_Cumulee_Panne_Min],"Non Trouvée")</f>
        <v>Non Trouvée</v>
      </c>
      <c r="M329" s="5" t="str">
        <f>_xlfn.XLOOKUP(Logs_Reseau6[[#This Row],[Id_Client]],Clients_Churn[ID_Client],Clients_Churn[Anciennete_Mois],"Rien à signaler")</f>
        <v>Rien à signaler</v>
      </c>
      <c r="N329" s="5" t="e">
        <f>Logs_Reseau6[[#This Row],[Anciennette]]/24</f>
        <v>#VALUE!</v>
      </c>
      <c r="O329" s="5" t="e">
        <f>Logs_Reseau6[[#This Row],[Duree_Cumulée_Panne]]/1440</f>
        <v>#VALUE!</v>
      </c>
      <c r="P32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30" spans="1:16" hidden="1" x14ac:dyDescent="0.25">
      <c r="A330" s="2">
        <v>45228</v>
      </c>
      <c r="B330" s="1">
        <v>0.72083333333333333</v>
      </c>
      <c r="C330" t="s">
        <v>1542</v>
      </c>
      <c r="D330">
        <v>101</v>
      </c>
      <c r="E330" t="s">
        <v>1303</v>
      </c>
      <c r="F330" t="str">
        <f>_xlfn.XLOOKUP(Logs_Reseau6[[#This Row],[Cell_ID]],Registre[ID_Antenne],Registre[Province_RDC],"Non Trouvée")</f>
        <v>Non Trouvée</v>
      </c>
      <c r="G330" t="str">
        <f>_xlfn.XLOOKUP(Logs_Reseau6[[#This Row],[Province]],Clients_Churn[Province_Client],Clients_Churn[ID_Client],"Aucun")</f>
        <v>Aucun</v>
      </c>
      <c r="H330" t="str">
        <f>_xlfn.XLOOKUP(Logs_Reseau6[[#This Row],[Cell_ID]],Registre[ID_Antenne],Registre[Technologie],"Rien à signaler")</f>
        <v>Rien à signaler</v>
      </c>
      <c r="I330" t="str">
        <f>_xlfn.XLOOKUP(Logs_Reseau6[[#This Row],[Cell_ID]],Registre[ID_Antenne],Registre[Equipementier],"Non Trouvée")</f>
        <v>Non Trouvée</v>
      </c>
      <c r="J330" t="str">
        <f>_xlfn.XLOOKUP(Logs_Reseau6[[#This Row],[Id_Client]],Clients_Churn[ID_Client],Clients_Churn[Type_Forfait],"Pas d'information")</f>
        <v>Pas d'information</v>
      </c>
      <c r="K330" s="5" t="str">
        <f>IF(Logs_Reseau6[[#This Row],[Type_Forfait]]="Pro Monde","B2B","B2C")</f>
        <v>B2C</v>
      </c>
      <c r="L330" s="5" t="str">
        <f>_xlfn.XLOOKUP(Logs_Reseau6[[#This Row],[Id_Client]],Clients_Churn[ID_Client],Clients_Churn[Duree_Cumulee_Panne_Min],"Non Trouvée")</f>
        <v>Non Trouvée</v>
      </c>
      <c r="M330" s="5" t="str">
        <f>_xlfn.XLOOKUP(Logs_Reseau6[[#This Row],[Id_Client]],Clients_Churn[ID_Client],Clients_Churn[Anciennete_Mois],"Rien à signaler")</f>
        <v>Rien à signaler</v>
      </c>
      <c r="N330" s="5" t="e">
        <f>Logs_Reseau6[[#This Row],[Anciennette]]/24</f>
        <v>#VALUE!</v>
      </c>
      <c r="O330" s="5" t="e">
        <f>Logs_Reseau6[[#This Row],[Duree_Cumulée_Panne]]/1440</f>
        <v>#VALUE!</v>
      </c>
      <c r="P33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31" spans="1:16" hidden="1" x14ac:dyDescent="0.25">
      <c r="A331" s="2">
        <v>45230</v>
      </c>
      <c r="B331" s="1">
        <v>0.57777777777777772</v>
      </c>
      <c r="C331" t="s">
        <v>1542</v>
      </c>
      <c r="D331">
        <v>97</v>
      </c>
      <c r="E331" t="s">
        <v>1300</v>
      </c>
      <c r="F331" t="str">
        <f>_xlfn.XLOOKUP(Logs_Reseau6[[#This Row],[Cell_ID]],Registre[ID_Antenne],Registre[Province_RDC],"Non Trouvée")</f>
        <v>Non Trouvée</v>
      </c>
      <c r="G331" t="str">
        <f>_xlfn.XLOOKUP(Logs_Reseau6[[#This Row],[Province]],Clients_Churn[Province_Client],Clients_Churn[ID_Client],"Aucun")</f>
        <v>Aucun</v>
      </c>
      <c r="H331" t="str">
        <f>_xlfn.XLOOKUP(Logs_Reseau6[[#This Row],[Cell_ID]],Registre[ID_Antenne],Registre[Technologie],"Rien à signaler")</f>
        <v>Rien à signaler</v>
      </c>
      <c r="I331" t="str">
        <f>_xlfn.XLOOKUP(Logs_Reseau6[[#This Row],[Cell_ID]],Registre[ID_Antenne],Registre[Equipementier],"Non Trouvée")</f>
        <v>Non Trouvée</v>
      </c>
      <c r="J331" t="str">
        <f>_xlfn.XLOOKUP(Logs_Reseau6[[#This Row],[Id_Client]],Clients_Churn[ID_Client],Clients_Churn[Type_Forfait],"Pas d'information")</f>
        <v>Pas d'information</v>
      </c>
      <c r="K331" s="5" t="str">
        <f>IF(Logs_Reseau6[[#This Row],[Type_Forfait]]="Pro Monde","B2B","B2C")</f>
        <v>B2C</v>
      </c>
      <c r="L331" s="5" t="str">
        <f>_xlfn.XLOOKUP(Logs_Reseau6[[#This Row],[Id_Client]],Clients_Churn[ID_Client],Clients_Churn[Duree_Cumulee_Panne_Min],"Non Trouvée")</f>
        <v>Non Trouvée</v>
      </c>
      <c r="M331" s="5" t="str">
        <f>_xlfn.XLOOKUP(Logs_Reseau6[[#This Row],[Id_Client]],Clients_Churn[ID_Client],Clients_Churn[Anciennete_Mois],"Rien à signaler")</f>
        <v>Rien à signaler</v>
      </c>
      <c r="N331" s="5" t="e">
        <f>Logs_Reseau6[[#This Row],[Anciennette]]/24</f>
        <v>#VALUE!</v>
      </c>
      <c r="O331" s="5" t="e">
        <f>Logs_Reseau6[[#This Row],[Duree_Cumulée_Panne]]/1440</f>
        <v>#VALUE!</v>
      </c>
      <c r="P33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32" spans="1:16" hidden="1" x14ac:dyDescent="0.25">
      <c r="A332" s="2">
        <v>45202</v>
      </c>
      <c r="B332" s="1">
        <v>0.46944444444444444</v>
      </c>
      <c r="C332" t="s">
        <v>1528</v>
      </c>
      <c r="D332">
        <v>78</v>
      </c>
      <c r="E332" t="s">
        <v>1300</v>
      </c>
      <c r="F332" t="str">
        <f>_xlfn.XLOOKUP(Logs_Reseau6[[#This Row],[Cell_ID]],Registre[ID_Antenne],Registre[Province_RDC],"Non Trouvée")</f>
        <v>Non Trouvée</v>
      </c>
      <c r="G332" t="str">
        <f>_xlfn.XLOOKUP(Logs_Reseau6[[#This Row],[Province]],Clients_Churn[Province_Client],Clients_Churn[ID_Client],"Aucun")</f>
        <v>Aucun</v>
      </c>
      <c r="H332" t="str">
        <f>_xlfn.XLOOKUP(Logs_Reseau6[[#This Row],[Cell_ID]],Registre[ID_Antenne],Registre[Technologie],"Rien à signaler")</f>
        <v>Rien à signaler</v>
      </c>
      <c r="I332" t="str">
        <f>_xlfn.XLOOKUP(Logs_Reseau6[[#This Row],[Cell_ID]],Registre[ID_Antenne],Registre[Equipementier],"Non Trouvée")</f>
        <v>Non Trouvée</v>
      </c>
      <c r="J332" t="str">
        <f>_xlfn.XLOOKUP(Logs_Reseau6[[#This Row],[Id_Client]],Clients_Churn[ID_Client],Clients_Churn[Type_Forfait],"Pas d'information")</f>
        <v>Pas d'information</v>
      </c>
      <c r="K332" s="5" t="str">
        <f>IF(Logs_Reseau6[[#This Row],[Type_Forfait]]="Pro Monde","B2B","B2C")</f>
        <v>B2C</v>
      </c>
      <c r="L332" s="5" t="str">
        <f>_xlfn.XLOOKUP(Logs_Reseau6[[#This Row],[Id_Client]],Clients_Churn[ID_Client],Clients_Churn[Duree_Cumulee_Panne_Min],"Non Trouvée")</f>
        <v>Non Trouvée</v>
      </c>
      <c r="M332" s="5" t="str">
        <f>_xlfn.XLOOKUP(Logs_Reseau6[[#This Row],[Id_Client]],Clients_Churn[ID_Client],Clients_Churn[Anciennete_Mois],"Rien à signaler")</f>
        <v>Rien à signaler</v>
      </c>
      <c r="N332" s="5" t="e">
        <f>Logs_Reseau6[[#This Row],[Anciennette]]/24</f>
        <v>#VALUE!</v>
      </c>
      <c r="O332" s="5" t="e">
        <f>Logs_Reseau6[[#This Row],[Duree_Cumulée_Panne]]/1440</f>
        <v>#VALUE!</v>
      </c>
      <c r="P33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33" spans="1:16" hidden="1" x14ac:dyDescent="0.25">
      <c r="A333" s="2">
        <v>45213</v>
      </c>
      <c r="B333" s="1">
        <v>0.77083333333333337</v>
      </c>
      <c r="C333" t="s">
        <v>1612</v>
      </c>
      <c r="D333">
        <v>11</v>
      </c>
      <c r="E333" t="s">
        <v>1305</v>
      </c>
      <c r="F333" t="str">
        <f>_xlfn.XLOOKUP(Logs_Reseau6[[#This Row],[Cell_ID]],Registre[ID_Antenne],Registre[Province_RDC],"Non Trouvée")</f>
        <v>Non Trouvée</v>
      </c>
      <c r="G333" t="str">
        <f>_xlfn.XLOOKUP(Logs_Reseau6[[#This Row],[Province]],Clients_Churn[Province_Client],Clients_Churn[ID_Client],"Aucun")</f>
        <v>Aucun</v>
      </c>
      <c r="H333" t="str">
        <f>_xlfn.XLOOKUP(Logs_Reseau6[[#This Row],[Cell_ID]],Registre[ID_Antenne],Registre[Technologie],"Rien à signaler")</f>
        <v>Rien à signaler</v>
      </c>
      <c r="I333" t="str">
        <f>_xlfn.XLOOKUP(Logs_Reseau6[[#This Row],[Cell_ID]],Registre[ID_Antenne],Registre[Equipementier],"Non Trouvée")</f>
        <v>Non Trouvée</v>
      </c>
      <c r="J333" t="str">
        <f>_xlfn.XLOOKUP(Logs_Reseau6[[#This Row],[Id_Client]],Clients_Churn[ID_Client],Clients_Churn[Type_Forfait],"Pas d'information")</f>
        <v>Pas d'information</v>
      </c>
      <c r="K333" s="5" t="str">
        <f>IF(Logs_Reseau6[[#This Row],[Type_Forfait]]="Pro Monde","B2B","B2C")</f>
        <v>B2C</v>
      </c>
      <c r="L333" s="5" t="str">
        <f>_xlfn.XLOOKUP(Logs_Reseau6[[#This Row],[Id_Client]],Clients_Churn[ID_Client],Clients_Churn[Duree_Cumulee_Panne_Min],"Non Trouvée")</f>
        <v>Non Trouvée</v>
      </c>
      <c r="M333" s="5" t="str">
        <f>_xlfn.XLOOKUP(Logs_Reseau6[[#This Row],[Id_Client]],Clients_Churn[ID_Client],Clients_Churn[Anciennete_Mois],"Rien à signaler")</f>
        <v>Rien à signaler</v>
      </c>
      <c r="N333" s="5" t="e">
        <f>Logs_Reseau6[[#This Row],[Anciennette]]/24</f>
        <v>#VALUE!</v>
      </c>
      <c r="O333" s="5" t="e">
        <f>Logs_Reseau6[[#This Row],[Duree_Cumulée_Panne]]/1440</f>
        <v>#VALUE!</v>
      </c>
      <c r="P33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34" spans="1:16" hidden="1" x14ac:dyDescent="0.25">
      <c r="A334" s="2">
        <v>45226</v>
      </c>
      <c r="B334" s="1">
        <v>0.84375</v>
      </c>
      <c r="C334" t="s">
        <v>1372</v>
      </c>
      <c r="D334">
        <v>48</v>
      </c>
      <c r="E334" t="s">
        <v>1300</v>
      </c>
      <c r="F334" t="str">
        <f>_xlfn.XLOOKUP(Logs_Reseau6[[#This Row],[Cell_ID]],Registre[ID_Antenne],Registre[Province_RDC],"Non Trouvée")</f>
        <v>Non Trouvée</v>
      </c>
      <c r="G334" t="str">
        <f>_xlfn.XLOOKUP(Logs_Reseau6[[#This Row],[Province]],Clients_Churn[Province_Client],Clients_Churn[ID_Client],"Aucun")</f>
        <v>Aucun</v>
      </c>
      <c r="H334" t="str">
        <f>_xlfn.XLOOKUP(Logs_Reseau6[[#This Row],[Cell_ID]],Registre[ID_Antenne],Registre[Technologie],"Rien à signaler")</f>
        <v>Rien à signaler</v>
      </c>
      <c r="I334" t="str">
        <f>_xlfn.XLOOKUP(Logs_Reseau6[[#This Row],[Cell_ID]],Registre[ID_Antenne],Registre[Equipementier],"Non Trouvée")</f>
        <v>Non Trouvée</v>
      </c>
      <c r="J334" t="str">
        <f>_xlfn.XLOOKUP(Logs_Reseau6[[#This Row],[Id_Client]],Clients_Churn[ID_Client],Clients_Churn[Type_Forfait],"Pas d'information")</f>
        <v>Pas d'information</v>
      </c>
      <c r="K334" s="5" t="str">
        <f>IF(Logs_Reseau6[[#This Row],[Type_Forfait]]="Pro Monde","B2B","B2C")</f>
        <v>B2C</v>
      </c>
      <c r="L334" s="5" t="str">
        <f>_xlfn.XLOOKUP(Logs_Reseau6[[#This Row],[Id_Client]],Clients_Churn[ID_Client],Clients_Churn[Duree_Cumulee_Panne_Min],"Non Trouvée")</f>
        <v>Non Trouvée</v>
      </c>
      <c r="M334" s="5" t="str">
        <f>_xlfn.XLOOKUP(Logs_Reseau6[[#This Row],[Id_Client]],Clients_Churn[ID_Client],Clients_Churn[Anciennete_Mois],"Rien à signaler")</f>
        <v>Rien à signaler</v>
      </c>
      <c r="N334" s="5" t="e">
        <f>Logs_Reseau6[[#This Row],[Anciennette]]/24</f>
        <v>#VALUE!</v>
      </c>
      <c r="O334" s="5" t="e">
        <f>Logs_Reseau6[[#This Row],[Duree_Cumulée_Panne]]/1440</f>
        <v>#VALUE!</v>
      </c>
      <c r="P33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35" spans="1:16" x14ac:dyDescent="0.25">
      <c r="A335" s="2">
        <v>45202</v>
      </c>
      <c r="B335" s="1">
        <v>0.2902777777777778</v>
      </c>
      <c r="C335" t="s">
        <v>1121</v>
      </c>
      <c r="D335">
        <v>103</v>
      </c>
      <c r="E335" t="s">
        <v>1303</v>
      </c>
      <c r="F335" t="str">
        <f>_xlfn.XLOOKUP(Logs_Reseau6[[#This Row],[Cell_ID]],Registre[ID_Antenne],Registre[Province_RDC],"Non Trouvée")</f>
        <v>Equateur</v>
      </c>
      <c r="G335" t="str">
        <f>_xlfn.XLOOKUP(Logs_Reseau6[[#This Row],[Province]],Clients_Churn[Province_Client],Clients_Churn[ID_Client],"Aucun")</f>
        <v>CLI-00091</v>
      </c>
      <c r="H335" t="str">
        <f>_xlfn.XLOOKUP(Logs_Reseau6[[#This Row],[Cell_ID]],Registre[ID_Antenne],Registre[Technologie],"Rien à signaler")</f>
        <v>4G</v>
      </c>
      <c r="I335" t="str">
        <f>_xlfn.XLOOKUP(Logs_Reseau6[[#This Row],[Cell_ID]],Registre[ID_Antenne],Registre[Equipementier],"Non Trouvée")</f>
        <v>Huawei</v>
      </c>
      <c r="J335" t="str">
        <f>_xlfn.XLOOKUP(Logs_Reseau6[[#This Row],[Id_Client]],Clients_Churn[ID_Client],Clients_Churn[Type_Forfait],"Pas d'information")</f>
        <v>Bloqué 5Go</v>
      </c>
      <c r="K335" s="5" t="str">
        <f>IF(Logs_Reseau6[[#This Row],[Type_Forfait]]="Pro Monde","B2B","B2C")</f>
        <v>B2C</v>
      </c>
      <c r="L335" s="5">
        <f>_xlfn.XLOOKUP(Logs_Reseau6[[#This Row],[Id_Client]],Clients_Churn[ID_Client],Clients_Churn[Duree_Cumulee_Panne_Min],"Non Trouvée")</f>
        <v>435</v>
      </c>
      <c r="M335" s="5">
        <f>_xlfn.XLOOKUP(Logs_Reseau6[[#This Row],[Id_Client]],Clients_Churn[ID_Client],Clients_Churn[Anciennete_Mois],"Rien à signaler")</f>
        <v>50</v>
      </c>
      <c r="N335" s="11">
        <f>Logs_Reseau6[[#This Row],[Anciennette]]/24</f>
        <v>2.0833333333333335</v>
      </c>
      <c r="O335" s="1">
        <f>Logs_Reseau6[[#This Row],[Duree_Cumulée_Panne]]/1440</f>
        <v>0.30208333333333331</v>
      </c>
      <c r="P33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36" spans="1:16" hidden="1" x14ac:dyDescent="0.25">
      <c r="A336" s="2">
        <v>45209</v>
      </c>
      <c r="B336" s="1">
        <v>0.81527777777777777</v>
      </c>
      <c r="C336" t="s">
        <v>1345</v>
      </c>
      <c r="D336">
        <v>115</v>
      </c>
      <c r="E336" t="s">
        <v>1305</v>
      </c>
      <c r="F336" t="str">
        <f>_xlfn.XLOOKUP(Logs_Reseau6[[#This Row],[Cell_ID]],Registre[ID_Antenne],Registre[Province_RDC],"Non Trouvée")</f>
        <v>Non Trouvée</v>
      </c>
      <c r="G336" t="str">
        <f>_xlfn.XLOOKUP(Logs_Reseau6[[#This Row],[Province]],Clients_Churn[Province_Client],Clients_Churn[ID_Client],"Aucun")</f>
        <v>Aucun</v>
      </c>
      <c r="H336" t="str">
        <f>_xlfn.XLOOKUP(Logs_Reseau6[[#This Row],[Cell_ID]],Registre[ID_Antenne],Registre[Technologie],"Rien à signaler")</f>
        <v>Rien à signaler</v>
      </c>
      <c r="I336" t="str">
        <f>_xlfn.XLOOKUP(Logs_Reseau6[[#This Row],[Cell_ID]],Registre[ID_Antenne],Registre[Equipementier],"Non Trouvée")</f>
        <v>Non Trouvée</v>
      </c>
      <c r="J336" t="str">
        <f>_xlfn.XLOOKUP(Logs_Reseau6[[#This Row],[Id_Client]],Clients_Churn[ID_Client],Clients_Churn[Type_Forfait],"Pas d'information")</f>
        <v>Pas d'information</v>
      </c>
      <c r="K336" s="5" t="str">
        <f>IF(Logs_Reseau6[[#This Row],[Type_Forfait]]="Pro Monde","B2B","B2C")</f>
        <v>B2C</v>
      </c>
      <c r="L336" s="5" t="str">
        <f>_xlfn.XLOOKUP(Logs_Reseau6[[#This Row],[Id_Client]],Clients_Churn[ID_Client],Clients_Churn[Duree_Cumulee_Panne_Min],"Non Trouvée")</f>
        <v>Non Trouvée</v>
      </c>
      <c r="M336" s="5" t="str">
        <f>_xlfn.XLOOKUP(Logs_Reseau6[[#This Row],[Id_Client]],Clients_Churn[ID_Client],Clients_Churn[Anciennete_Mois],"Rien à signaler")</f>
        <v>Rien à signaler</v>
      </c>
      <c r="N336" s="5" t="e">
        <f>Logs_Reseau6[[#This Row],[Anciennette]]/24</f>
        <v>#VALUE!</v>
      </c>
      <c r="O336" s="5" t="e">
        <f>Logs_Reseau6[[#This Row],[Duree_Cumulée_Panne]]/1440</f>
        <v>#VALUE!</v>
      </c>
      <c r="P33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37" spans="1:16" hidden="1" x14ac:dyDescent="0.25">
      <c r="A337" s="2">
        <v>45214</v>
      </c>
      <c r="B337" s="1">
        <v>0.81666666666666665</v>
      </c>
      <c r="C337" t="s">
        <v>1345</v>
      </c>
      <c r="D337">
        <v>92</v>
      </c>
      <c r="E337" t="s">
        <v>1305</v>
      </c>
      <c r="F337" t="str">
        <f>_xlfn.XLOOKUP(Logs_Reseau6[[#This Row],[Cell_ID]],Registre[ID_Antenne],Registre[Province_RDC],"Non Trouvée")</f>
        <v>Non Trouvée</v>
      </c>
      <c r="G337" t="str">
        <f>_xlfn.XLOOKUP(Logs_Reseau6[[#This Row],[Province]],Clients_Churn[Province_Client],Clients_Churn[ID_Client],"Aucun")</f>
        <v>Aucun</v>
      </c>
      <c r="H337" t="str">
        <f>_xlfn.XLOOKUP(Logs_Reseau6[[#This Row],[Cell_ID]],Registre[ID_Antenne],Registre[Technologie],"Rien à signaler")</f>
        <v>Rien à signaler</v>
      </c>
      <c r="I337" t="str">
        <f>_xlfn.XLOOKUP(Logs_Reseau6[[#This Row],[Cell_ID]],Registre[ID_Antenne],Registre[Equipementier],"Non Trouvée")</f>
        <v>Non Trouvée</v>
      </c>
      <c r="J337" t="str">
        <f>_xlfn.XLOOKUP(Logs_Reseau6[[#This Row],[Id_Client]],Clients_Churn[ID_Client],Clients_Churn[Type_Forfait],"Pas d'information")</f>
        <v>Pas d'information</v>
      </c>
      <c r="K337" s="5" t="str">
        <f>IF(Logs_Reseau6[[#This Row],[Type_Forfait]]="Pro Monde","B2B","B2C")</f>
        <v>B2C</v>
      </c>
      <c r="L337" s="5" t="str">
        <f>_xlfn.XLOOKUP(Logs_Reseau6[[#This Row],[Id_Client]],Clients_Churn[ID_Client],Clients_Churn[Duree_Cumulee_Panne_Min],"Non Trouvée")</f>
        <v>Non Trouvée</v>
      </c>
      <c r="M337" s="5" t="str">
        <f>_xlfn.XLOOKUP(Logs_Reseau6[[#This Row],[Id_Client]],Clients_Churn[ID_Client],Clients_Churn[Anciennete_Mois],"Rien à signaler")</f>
        <v>Rien à signaler</v>
      </c>
      <c r="N337" s="5" t="e">
        <f>Logs_Reseau6[[#This Row],[Anciennette]]/24</f>
        <v>#VALUE!</v>
      </c>
      <c r="O337" s="5" t="e">
        <f>Logs_Reseau6[[#This Row],[Duree_Cumulée_Panne]]/1440</f>
        <v>#VALUE!</v>
      </c>
      <c r="P33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38" spans="1:16" hidden="1" x14ac:dyDescent="0.25">
      <c r="A338" s="2">
        <v>45207</v>
      </c>
      <c r="B338" s="1">
        <v>0.84583333333333333</v>
      </c>
      <c r="C338" t="s">
        <v>1402</v>
      </c>
      <c r="D338">
        <v>12</v>
      </c>
      <c r="E338" t="s">
        <v>1305</v>
      </c>
      <c r="F338" t="str">
        <f>_xlfn.XLOOKUP(Logs_Reseau6[[#This Row],[Cell_ID]],Registre[ID_Antenne],Registre[Province_RDC],"Non Trouvée")</f>
        <v>Non Trouvée</v>
      </c>
      <c r="G338" t="str">
        <f>_xlfn.XLOOKUP(Logs_Reseau6[[#This Row],[Province]],Clients_Churn[Province_Client],Clients_Churn[ID_Client],"Aucun")</f>
        <v>Aucun</v>
      </c>
      <c r="H338" t="str">
        <f>_xlfn.XLOOKUP(Logs_Reseau6[[#This Row],[Cell_ID]],Registre[ID_Antenne],Registre[Technologie],"Rien à signaler")</f>
        <v>Rien à signaler</v>
      </c>
      <c r="I338" t="str">
        <f>_xlfn.XLOOKUP(Logs_Reseau6[[#This Row],[Cell_ID]],Registre[ID_Antenne],Registre[Equipementier],"Non Trouvée")</f>
        <v>Non Trouvée</v>
      </c>
      <c r="J338" t="str">
        <f>_xlfn.XLOOKUP(Logs_Reseau6[[#This Row],[Id_Client]],Clients_Churn[ID_Client],Clients_Churn[Type_Forfait],"Pas d'information")</f>
        <v>Pas d'information</v>
      </c>
      <c r="K338" s="5" t="str">
        <f>IF(Logs_Reseau6[[#This Row],[Type_Forfait]]="Pro Monde","B2B","B2C")</f>
        <v>B2C</v>
      </c>
      <c r="L338" s="5" t="str">
        <f>_xlfn.XLOOKUP(Logs_Reseau6[[#This Row],[Id_Client]],Clients_Churn[ID_Client],Clients_Churn[Duree_Cumulee_Panne_Min],"Non Trouvée")</f>
        <v>Non Trouvée</v>
      </c>
      <c r="M338" s="5" t="str">
        <f>_xlfn.XLOOKUP(Logs_Reseau6[[#This Row],[Id_Client]],Clients_Churn[ID_Client],Clients_Churn[Anciennete_Mois],"Rien à signaler")</f>
        <v>Rien à signaler</v>
      </c>
      <c r="N338" s="5" t="e">
        <f>Logs_Reseau6[[#This Row],[Anciennette]]/24</f>
        <v>#VALUE!</v>
      </c>
      <c r="O338" s="5" t="e">
        <f>Logs_Reseau6[[#This Row],[Duree_Cumulée_Panne]]/1440</f>
        <v>#VALUE!</v>
      </c>
      <c r="P33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39" spans="1:16" hidden="1" x14ac:dyDescent="0.25">
      <c r="A339" s="2">
        <v>45223</v>
      </c>
      <c r="B339" s="1">
        <v>0.18472222222222223</v>
      </c>
      <c r="C339" t="s">
        <v>1402</v>
      </c>
      <c r="D339">
        <v>42</v>
      </c>
      <c r="E339" t="s">
        <v>1303</v>
      </c>
      <c r="F339" t="str">
        <f>_xlfn.XLOOKUP(Logs_Reseau6[[#This Row],[Cell_ID]],Registre[ID_Antenne],Registre[Province_RDC],"Non Trouvée")</f>
        <v>Non Trouvée</v>
      </c>
      <c r="G339" t="str">
        <f>_xlfn.XLOOKUP(Logs_Reseau6[[#This Row],[Province]],Clients_Churn[Province_Client],Clients_Churn[ID_Client],"Aucun")</f>
        <v>Aucun</v>
      </c>
      <c r="H339" t="str">
        <f>_xlfn.XLOOKUP(Logs_Reseau6[[#This Row],[Cell_ID]],Registre[ID_Antenne],Registre[Technologie],"Rien à signaler")</f>
        <v>Rien à signaler</v>
      </c>
      <c r="I339" t="str">
        <f>_xlfn.XLOOKUP(Logs_Reseau6[[#This Row],[Cell_ID]],Registre[ID_Antenne],Registre[Equipementier],"Non Trouvée")</f>
        <v>Non Trouvée</v>
      </c>
      <c r="J339" t="str">
        <f>_xlfn.XLOOKUP(Logs_Reseau6[[#This Row],[Id_Client]],Clients_Churn[ID_Client],Clients_Churn[Type_Forfait],"Pas d'information")</f>
        <v>Pas d'information</v>
      </c>
      <c r="K339" s="5" t="str">
        <f>IF(Logs_Reseau6[[#This Row],[Type_Forfait]]="Pro Monde","B2B","B2C")</f>
        <v>B2C</v>
      </c>
      <c r="L339" s="5" t="str">
        <f>_xlfn.XLOOKUP(Logs_Reseau6[[#This Row],[Id_Client]],Clients_Churn[ID_Client],Clients_Churn[Duree_Cumulee_Panne_Min],"Non Trouvée")</f>
        <v>Non Trouvée</v>
      </c>
      <c r="M339" s="5" t="str">
        <f>_xlfn.XLOOKUP(Logs_Reseau6[[#This Row],[Id_Client]],Clients_Churn[ID_Client],Clients_Churn[Anciennete_Mois],"Rien à signaler")</f>
        <v>Rien à signaler</v>
      </c>
      <c r="N339" s="5" t="e">
        <f>Logs_Reseau6[[#This Row],[Anciennette]]/24</f>
        <v>#VALUE!</v>
      </c>
      <c r="O339" s="5" t="e">
        <f>Logs_Reseau6[[#This Row],[Duree_Cumulée_Panne]]/1440</f>
        <v>#VALUE!</v>
      </c>
      <c r="P33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0" spans="1:16" hidden="1" x14ac:dyDescent="0.25">
      <c r="A340" s="2">
        <v>45214</v>
      </c>
      <c r="B340" s="1">
        <v>0.89375000000000004</v>
      </c>
      <c r="C340" t="s">
        <v>1440</v>
      </c>
      <c r="D340">
        <v>60</v>
      </c>
      <c r="E340" t="s">
        <v>1303</v>
      </c>
      <c r="F340" t="str">
        <f>_xlfn.XLOOKUP(Logs_Reseau6[[#This Row],[Cell_ID]],Registre[ID_Antenne],Registre[Province_RDC],"Non Trouvée")</f>
        <v>Non Trouvée</v>
      </c>
      <c r="G340" t="str">
        <f>_xlfn.XLOOKUP(Logs_Reseau6[[#This Row],[Province]],Clients_Churn[Province_Client],Clients_Churn[ID_Client],"Aucun")</f>
        <v>Aucun</v>
      </c>
      <c r="H340" t="str">
        <f>_xlfn.XLOOKUP(Logs_Reseau6[[#This Row],[Cell_ID]],Registre[ID_Antenne],Registre[Technologie],"Rien à signaler")</f>
        <v>Rien à signaler</v>
      </c>
      <c r="I340" t="str">
        <f>_xlfn.XLOOKUP(Logs_Reseau6[[#This Row],[Cell_ID]],Registre[ID_Antenne],Registre[Equipementier],"Non Trouvée")</f>
        <v>Non Trouvée</v>
      </c>
      <c r="J340" t="str">
        <f>_xlfn.XLOOKUP(Logs_Reseau6[[#This Row],[Id_Client]],Clients_Churn[ID_Client],Clients_Churn[Type_Forfait],"Pas d'information")</f>
        <v>Pas d'information</v>
      </c>
      <c r="K340" s="5" t="str">
        <f>IF(Logs_Reseau6[[#This Row],[Type_Forfait]]="Pro Monde","B2B","B2C")</f>
        <v>B2C</v>
      </c>
      <c r="L340" s="5" t="str">
        <f>_xlfn.XLOOKUP(Logs_Reseau6[[#This Row],[Id_Client]],Clients_Churn[ID_Client],Clients_Churn[Duree_Cumulee_Panne_Min],"Non Trouvée")</f>
        <v>Non Trouvée</v>
      </c>
      <c r="M340" s="5" t="str">
        <f>_xlfn.XLOOKUP(Logs_Reseau6[[#This Row],[Id_Client]],Clients_Churn[ID_Client],Clients_Churn[Anciennete_Mois],"Rien à signaler")</f>
        <v>Rien à signaler</v>
      </c>
      <c r="N340" s="5" t="e">
        <f>Logs_Reseau6[[#This Row],[Anciennette]]/24</f>
        <v>#VALUE!</v>
      </c>
      <c r="O340" s="5" t="e">
        <f>Logs_Reseau6[[#This Row],[Duree_Cumulée_Panne]]/1440</f>
        <v>#VALUE!</v>
      </c>
      <c r="P34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1" spans="1:16" hidden="1" x14ac:dyDescent="0.25">
      <c r="A341" s="2">
        <v>45230</v>
      </c>
      <c r="B341" s="1">
        <v>0.18541666666666667</v>
      </c>
      <c r="C341" t="s">
        <v>1472</v>
      </c>
      <c r="D341">
        <v>31</v>
      </c>
      <c r="E341" t="s">
        <v>1303</v>
      </c>
      <c r="F341" t="str">
        <f>_xlfn.XLOOKUP(Logs_Reseau6[[#This Row],[Cell_ID]],Registre[ID_Antenne],Registre[Province_RDC],"Non Trouvée")</f>
        <v>Non Trouvée</v>
      </c>
      <c r="G341" t="str">
        <f>_xlfn.XLOOKUP(Logs_Reseau6[[#This Row],[Province]],Clients_Churn[Province_Client],Clients_Churn[ID_Client],"Aucun")</f>
        <v>Aucun</v>
      </c>
      <c r="H341" t="str">
        <f>_xlfn.XLOOKUP(Logs_Reseau6[[#This Row],[Cell_ID]],Registre[ID_Antenne],Registre[Technologie],"Rien à signaler")</f>
        <v>Rien à signaler</v>
      </c>
      <c r="I341" t="str">
        <f>_xlfn.XLOOKUP(Logs_Reseau6[[#This Row],[Cell_ID]],Registre[ID_Antenne],Registre[Equipementier],"Non Trouvée")</f>
        <v>Non Trouvée</v>
      </c>
      <c r="J341" t="str">
        <f>_xlfn.XLOOKUP(Logs_Reseau6[[#This Row],[Id_Client]],Clients_Churn[ID_Client],Clients_Churn[Type_Forfait],"Pas d'information")</f>
        <v>Pas d'information</v>
      </c>
      <c r="K341" s="5" t="str">
        <f>IF(Logs_Reseau6[[#This Row],[Type_Forfait]]="Pro Monde","B2B","B2C")</f>
        <v>B2C</v>
      </c>
      <c r="L341" s="5" t="str">
        <f>_xlfn.XLOOKUP(Logs_Reseau6[[#This Row],[Id_Client]],Clients_Churn[ID_Client],Clients_Churn[Duree_Cumulee_Panne_Min],"Non Trouvée")</f>
        <v>Non Trouvée</v>
      </c>
      <c r="M341" s="5" t="str">
        <f>_xlfn.XLOOKUP(Logs_Reseau6[[#This Row],[Id_Client]],Clients_Churn[ID_Client],Clients_Churn[Anciennete_Mois],"Rien à signaler")</f>
        <v>Rien à signaler</v>
      </c>
      <c r="N341" s="5" t="e">
        <f>Logs_Reseau6[[#This Row],[Anciennette]]/24</f>
        <v>#VALUE!</v>
      </c>
      <c r="O341" s="5" t="e">
        <f>Logs_Reseau6[[#This Row],[Duree_Cumulée_Panne]]/1440</f>
        <v>#VALUE!</v>
      </c>
      <c r="P34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2" spans="1:16" hidden="1" x14ac:dyDescent="0.25">
      <c r="A342" s="2">
        <v>45218</v>
      </c>
      <c r="B342" s="1">
        <v>0.3347222222222222</v>
      </c>
      <c r="C342" t="s">
        <v>1347</v>
      </c>
      <c r="D342">
        <v>85</v>
      </c>
      <c r="E342" t="s">
        <v>1305</v>
      </c>
      <c r="F342" t="str">
        <f>_xlfn.XLOOKUP(Logs_Reseau6[[#This Row],[Cell_ID]],Registre[ID_Antenne],Registre[Province_RDC],"Non Trouvée")</f>
        <v>Non Trouvée</v>
      </c>
      <c r="G342" t="str">
        <f>_xlfn.XLOOKUP(Logs_Reseau6[[#This Row],[Province]],Clients_Churn[Province_Client],Clients_Churn[ID_Client],"Aucun")</f>
        <v>Aucun</v>
      </c>
      <c r="H342" t="str">
        <f>_xlfn.XLOOKUP(Logs_Reseau6[[#This Row],[Cell_ID]],Registre[ID_Antenne],Registre[Technologie],"Rien à signaler")</f>
        <v>Rien à signaler</v>
      </c>
      <c r="I342" t="str">
        <f>_xlfn.XLOOKUP(Logs_Reseau6[[#This Row],[Cell_ID]],Registre[ID_Antenne],Registre[Equipementier],"Non Trouvée")</f>
        <v>Non Trouvée</v>
      </c>
      <c r="J342" t="str">
        <f>_xlfn.XLOOKUP(Logs_Reseau6[[#This Row],[Id_Client]],Clients_Churn[ID_Client],Clients_Churn[Type_Forfait],"Pas d'information")</f>
        <v>Pas d'information</v>
      </c>
      <c r="K342" s="5" t="str">
        <f>IF(Logs_Reseau6[[#This Row],[Type_Forfait]]="Pro Monde","B2B","B2C")</f>
        <v>B2C</v>
      </c>
      <c r="L342" s="5" t="str">
        <f>_xlfn.XLOOKUP(Logs_Reseau6[[#This Row],[Id_Client]],Clients_Churn[ID_Client],Clients_Churn[Duree_Cumulee_Panne_Min],"Non Trouvée")</f>
        <v>Non Trouvée</v>
      </c>
      <c r="M342" s="5" t="str">
        <f>_xlfn.XLOOKUP(Logs_Reseau6[[#This Row],[Id_Client]],Clients_Churn[ID_Client],Clients_Churn[Anciennete_Mois],"Rien à signaler")</f>
        <v>Rien à signaler</v>
      </c>
      <c r="N342" s="5" t="e">
        <f>Logs_Reseau6[[#This Row],[Anciennette]]/24</f>
        <v>#VALUE!</v>
      </c>
      <c r="O342" s="5" t="e">
        <f>Logs_Reseau6[[#This Row],[Duree_Cumulée_Panne]]/1440</f>
        <v>#VALUE!</v>
      </c>
      <c r="P34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3" spans="1:16" hidden="1" x14ac:dyDescent="0.25">
      <c r="A343" s="2">
        <v>45225</v>
      </c>
      <c r="B343" s="1">
        <v>0.12916666666666668</v>
      </c>
      <c r="C343" t="s">
        <v>1347</v>
      </c>
      <c r="D343">
        <v>36</v>
      </c>
      <c r="E343" t="s">
        <v>1305</v>
      </c>
      <c r="F343" t="str">
        <f>_xlfn.XLOOKUP(Logs_Reseau6[[#This Row],[Cell_ID]],Registre[ID_Antenne],Registre[Province_RDC],"Non Trouvée")</f>
        <v>Non Trouvée</v>
      </c>
      <c r="G343" t="str">
        <f>_xlfn.XLOOKUP(Logs_Reseau6[[#This Row],[Province]],Clients_Churn[Province_Client],Clients_Churn[ID_Client],"Aucun")</f>
        <v>Aucun</v>
      </c>
      <c r="H343" t="str">
        <f>_xlfn.XLOOKUP(Logs_Reseau6[[#This Row],[Cell_ID]],Registre[ID_Antenne],Registre[Technologie],"Rien à signaler")</f>
        <v>Rien à signaler</v>
      </c>
      <c r="I343" t="str">
        <f>_xlfn.XLOOKUP(Logs_Reseau6[[#This Row],[Cell_ID]],Registre[ID_Antenne],Registre[Equipementier],"Non Trouvée")</f>
        <v>Non Trouvée</v>
      </c>
      <c r="J343" t="str">
        <f>_xlfn.XLOOKUP(Logs_Reseau6[[#This Row],[Id_Client]],Clients_Churn[ID_Client],Clients_Churn[Type_Forfait],"Pas d'information")</f>
        <v>Pas d'information</v>
      </c>
      <c r="K343" s="5" t="str">
        <f>IF(Logs_Reseau6[[#This Row],[Type_Forfait]]="Pro Monde","B2B","B2C")</f>
        <v>B2C</v>
      </c>
      <c r="L343" s="5" t="str">
        <f>_xlfn.XLOOKUP(Logs_Reseau6[[#This Row],[Id_Client]],Clients_Churn[ID_Client],Clients_Churn[Duree_Cumulee_Panne_Min],"Non Trouvée")</f>
        <v>Non Trouvée</v>
      </c>
      <c r="M343" s="5" t="str">
        <f>_xlfn.XLOOKUP(Logs_Reseau6[[#This Row],[Id_Client]],Clients_Churn[ID_Client],Clients_Churn[Anciennete_Mois],"Rien à signaler")</f>
        <v>Rien à signaler</v>
      </c>
      <c r="N343" s="5" t="e">
        <f>Logs_Reseau6[[#This Row],[Anciennette]]/24</f>
        <v>#VALUE!</v>
      </c>
      <c r="O343" s="5" t="e">
        <f>Logs_Reseau6[[#This Row],[Duree_Cumulée_Panne]]/1440</f>
        <v>#VALUE!</v>
      </c>
      <c r="P34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4" spans="1:16" hidden="1" x14ac:dyDescent="0.25">
      <c r="A344" s="2">
        <v>45225</v>
      </c>
      <c r="B344" s="1">
        <v>0.3840277777777778</v>
      </c>
      <c r="C344" t="s">
        <v>1568</v>
      </c>
      <c r="D344">
        <v>42</v>
      </c>
      <c r="E344" t="s">
        <v>1300</v>
      </c>
      <c r="F344" t="str">
        <f>_xlfn.XLOOKUP(Logs_Reseau6[[#This Row],[Cell_ID]],Registre[ID_Antenne],Registre[Province_RDC],"Non Trouvée")</f>
        <v>Non Trouvée</v>
      </c>
      <c r="G344" t="str">
        <f>_xlfn.XLOOKUP(Logs_Reseau6[[#This Row],[Province]],Clients_Churn[Province_Client],Clients_Churn[ID_Client],"Aucun")</f>
        <v>Aucun</v>
      </c>
      <c r="H344" t="str">
        <f>_xlfn.XLOOKUP(Logs_Reseau6[[#This Row],[Cell_ID]],Registre[ID_Antenne],Registre[Technologie],"Rien à signaler")</f>
        <v>Rien à signaler</v>
      </c>
      <c r="I344" t="str">
        <f>_xlfn.XLOOKUP(Logs_Reseau6[[#This Row],[Cell_ID]],Registre[ID_Antenne],Registre[Equipementier],"Non Trouvée")</f>
        <v>Non Trouvée</v>
      </c>
      <c r="J344" t="str">
        <f>_xlfn.XLOOKUP(Logs_Reseau6[[#This Row],[Id_Client]],Clients_Churn[ID_Client],Clients_Churn[Type_Forfait],"Pas d'information")</f>
        <v>Pas d'information</v>
      </c>
      <c r="K344" s="5" t="str">
        <f>IF(Logs_Reseau6[[#This Row],[Type_Forfait]]="Pro Monde","B2B","B2C")</f>
        <v>B2C</v>
      </c>
      <c r="L344" s="5" t="str">
        <f>_xlfn.XLOOKUP(Logs_Reseau6[[#This Row],[Id_Client]],Clients_Churn[ID_Client],Clients_Churn[Duree_Cumulee_Panne_Min],"Non Trouvée")</f>
        <v>Non Trouvée</v>
      </c>
      <c r="M344" s="5" t="str">
        <f>_xlfn.XLOOKUP(Logs_Reseau6[[#This Row],[Id_Client]],Clients_Churn[ID_Client],Clients_Churn[Anciennete_Mois],"Rien à signaler")</f>
        <v>Rien à signaler</v>
      </c>
      <c r="N344" s="5" t="e">
        <f>Logs_Reseau6[[#This Row],[Anciennette]]/24</f>
        <v>#VALUE!</v>
      </c>
      <c r="O344" s="5" t="e">
        <f>Logs_Reseau6[[#This Row],[Duree_Cumulée_Panne]]/1440</f>
        <v>#VALUE!</v>
      </c>
      <c r="P34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5" spans="1:16" hidden="1" x14ac:dyDescent="0.25">
      <c r="A345" s="2">
        <v>45230</v>
      </c>
      <c r="B345" s="1">
        <v>0.53749999999999998</v>
      </c>
      <c r="C345" t="s">
        <v>1568</v>
      </c>
      <c r="D345">
        <v>33</v>
      </c>
      <c r="E345" t="s">
        <v>1303</v>
      </c>
      <c r="F345" t="str">
        <f>_xlfn.XLOOKUP(Logs_Reseau6[[#This Row],[Cell_ID]],Registre[ID_Antenne],Registre[Province_RDC],"Non Trouvée")</f>
        <v>Non Trouvée</v>
      </c>
      <c r="G345" t="str">
        <f>_xlfn.XLOOKUP(Logs_Reseau6[[#This Row],[Province]],Clients_Churn[Province_Client],Clients_Churn[ID_Client],"Aucun")</f>
        <v>Aucun</v>
      </c>
      <c r="H345" t="str">
        <f>_xlfn.XLOOKUP(Logs_Reseau6[[#This Row],[Cell_ID]],Registre[ID_Antenne],Registre[Technologie],"Rien à signaler")</f>
        <v>Rien à signaler</v>
      </c>
      <c r="I345" t="str">
        <f>_xlfn.XLOOKUP(Logs_Reseau6[[#This Row],[Cell_ID]],Registre[ID_Antenne],Registre[Equipementier],"Non Trouvée")</f>
        <v>Non Trouvée</v>
      </c>
      <c r="J345" t="str">
        <f>_xlfn.XLOOKUP(Logs_Reseau6[[#This Row],[Id_Client]],Clients_Churn[ID_Client],Clients_Churn[Type_Forfait],"Pas d'information")</f>
        <v>Pas d'information</v>
      </c>
      <c r="K345" s="5" t="str">
        <f>IF(Logs_Reseau6[[#This Row],[Type_Forfait]]="Pro Monde","B2B","B2C")</f>
        <v>B2C</v>
      </c>
      <c r="L345" s="5" t="str">
        <f>_xlfn.XLOOKUP(Logs_Reseau6[[#This Row],[Id_Client]],Clients_Churn[ID_Client],Clients_Churn[Duree_Cumulee_Panne_Min],"Non Trouvée")</f>
        <v>Non Trouvée</v>
      </c>
      <c r="M345" s="5" t="str">
        <f>_xlfn.XLOOKUP(Logs_Reseau6[[#This Row],[Id_Client]],Clients_Churn[ID_Client],Clients_Churn[Anciennete_Mois],"Rien à signaler")</f>
        <v>Rien à signaler</v>
      </c>
      <c r="N345" s="5" t="e">
        <f>Logs_Reseau6[[#This Row],[Anciennette]]/24</f>
        <v>#VALUE!</v>
      </c>
      <c r="O345" s="5" t="e">
        <f>Logs_Reseau6[[#This Row],[Duree_Cumulée_Panne]]/1440</f>
        <v>#VALUE!</v>
      </c>
      <c r="P34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6" spans="1:16" hidden="1" x14ac:dyDescent="0.25">
      <c r="A346" s="2">
        <v>45216</v>
      </c>
      <c r="B346" s="1">
        <v>0.51388888888888884</v>
      </c>
      <c r="C346" t="s">
        <v>1489</v>
      </c>
      <c r="D346">
        <v>73</v>
      </c>
      <c r="E346" t="s">
        <v>1303</v>
      </c>
      <c r="F346" t="str">
        <f>_xlfn.XLOOKUP(Logs_Reseau6[[#This Row],[Cell_ID]],Registre[ID_Antenne],Registre[Province_RDC],"Non Trouvée")</f>
        <v>Non Trouvée</v>
      </c>
      <c r="G346" t="str">
        <f>_xlfn.XLOOKUP(Logs_Reseau6[[#This Row],[Province]],Clients_Churn[Province_Client],Clients_Churn[ID_Client],"Aucun")</f>
        <v>Aucun</v>
      </c>
      <c r="H346" t="str">
        <f>_xlfn.XLOOKUP(Logs_Reseau6[[#This Row],[Cell_ID]],Registre[ID_Antenne],Registre[Technologie],"Rien à signaler")</f>
        <v>Rien à signaler</v>
      </c>
      <c r="I346" t="str">
        <f>_xlfn.XLOOKUP(Logs_Reseau6[[#This Row],[Cell_ID]],Registre[ID_Antenne],Registre[Equipementier],"Non Trouvée")</f>
        <v>Non Trouvée</v>
      </c>
      <c r="J346" t="str">
        <f>_xlfn.XLOOKUP(Logs_Reseau6[[#This Row],[Id_Client]],Clients_Churn[ID_Client],Clients_Churn[Type_Forfait],"Pas d'information")</f>
        <v>Pas d'information</v>
      </c>
      <c r="K346" s="5" t="str">
        <f>IF(Logs_Reseau6[[#This Row],[Type_Forfait]]="Pro Monde","B2B","B2C")</f>
        <v>B2C</v>
      </c>
      <c r="L346" s="5" t="str">
        <f>_xlfn.XLOOKUP(Logs_Reseau6[[#This Row],[Id_Client]],Clients_Churn[ID_Client],Clients_Churn[Duree_Cumulee_Panne_Min],"Non Trouvée")</f>
        <v>Non Trouvée</v>
      </c>
      <c r="M346" s="5" t="str">
        <f>_xlfn.XLOOKUP(Logs_Reseau6[[#This Row],[Id_Client]],Clients_Churn[ID_Client],Clients_Churn[Anciennete_Mois],"Rien à signaler")</f>
        <v>Rien à signaler</v>
      </c>
      <c r="N346" s="5" t="e">
        <f>Logs_Reseau6[[#This Row],[Anciennette]]/24</f>
        <v>#VALUE!</v>
      </c>
      <c r="O346" s="5" t="e">
        <f>Logs_Reseau6[[#This Row],[Duree_Cumulée_Panne]]/1440</f>
        <v>#VALUE!</v>
      </c>
      <c r="P34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7" spans="1:16" hidden="1" x14ac:dyDescent="0.25">
      <c r="A347" s="2">
        <v>45222</v>
      </c>
      <c r="B347" s="1">
        <v>0.46736111111111112</v>
      </c>
      <c r="C347" t="s">
        <v>1422</v>
      </c>
      <c r="D347">
        <v>104</v>
      </c>
      <c r="E347" t="s">
        <v>1305</v>
      </c>
      <c r="F347" t="str">
        <f>_xlfn.XLOOKUP(Logs_Reseau6[[#This Row],[Cell_ID]],Registre[ID_Antenne],Registre[Province_RDC],"Non Trouvée")</f>
        <v>Non Trouvée</v>
      </c>
      <c r="G347" t="str">
        <f>_xlfn.XLOOKUP(Logs_Reseau6[[#This Row],[Province]],Clients_Churn[Province_Client],Clients_Churn[ID_Client],"Aucun")</f>
        <v>Aucun</v>
      </c>
      <c r="H347" t="str">
        <f>_xlfn.XLOOKUP(Logs_Reseau6[[#This Row],[Cell_ID]],Registre[ID_Antenne],Registre[Technologie],"Rien à signaler")</f>
        <v>Rien à signaler</v>
      </c>
      <c r="I347" t="str">
        <f>_xlfn.XLOOKUP(Logs_Reseau6[[#This Row],[Cell_ID]],Registre[ID_Antenne],Registre[Equipementier],"Non Trouvée")</f>
        <v>Non Trouvée</v>
      </c>
      <c r="J347" t="str">
        <f>_xlfn.XLOOKUP(Logs_Reseau6[[#This Row],[Id_Client]],Clients_Churn[ID_Client],Clients_Churn[Type_Forfait],"Pas d'information")</f>
        <v>Pas d'information</v>
      </c>
      <c r="K347" s="5" t="str">
        <f>IF(Logs_Reseau6[[#This Row],[Type_Forfait]]="Pro Monde","B2B","B2C")</f>
        <v>B2C</v>
      </c>
      <c r="L347" s="5" t="str">
        <f>_xlfn.XLOOKUP(Logs_Reseau6[[#This Row],[Id_Client]],Clients_Churn[ID_Client],Clients_Churn[Duree_Cumulee_Panne_Min],"Non Trouvée")</f>
        <v>Non Trouvée</v>
      </c>
      <c r="M347" s="5" t="str">
        <f>_xlfn.XLOOKUP(Logs_Reseau6[[#This Row],[Id_Client]],Clients_Churn[ID_Client],Clients_Churn[Anciennete_Mois],"Rien à signaler")</f>
        <v>Rien à signaler</v>
      </c>
      <c r="N347" s="5" t="e">
        <f>Logs_Reseau6[[#This Row],[Anciennette]]/24</f>
        <v>#VALUE!</v>
      </c>
      <c r="O347" s="5" t="e">
        <f>Logs_Reseau6[[#This Row],[Duree_Cumulée_Panne]]/1440</f>
        <v>#VALUE!</v>
      </c>
      <c r="P34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8" spans="1:16" hidden="1" x14ac:dyDescent="0.25">
      <c r="A348" s="2">
        <v>45221</v>
      </c>
      <c r="B348" s="1">
        <v>0.49861111111111112</v>
      </c>
      <c r="C348" t="s">
        <v>1626</v>
      </c>
      <c r="D348">
        <v>116</v>
      </c>
      <c r="E348" t="s">
        <v>1303</v>
      </c>
      <c r="F348" t="str">
        <f>_xlfn.XLOOKUP(Logs_Reseau6[[#This Row],[Cell_ID]],Registre[ID_Antenne],Registre[Province_RDC],"Non Trouvée")</f>
        <v>Non Trouvée</v>
      </c>
      <c r="G348" t="str">
        <f>_xlfn.XLOOKUP(Logs_Reseau6[[#This Row],[Province]],Clients_Churn[Province_Client],Clients_Churn[ID_Client],"Aucun")</f>
        <v>Aucun</v>
      </c>
      <c r="H348" t="str">
        <f>_xlfn.XLOOKUP(Logs_Reseau6[[#This Row],[Cell_ID]],Registre[ID_Antenne],Registre[Technologie],"Rien à signaler")</f>
        <v>Rien à signaler</v>
      </c>
      <c r="I348" t="str">
        <f>_xlfn.XLOOKUP(Logs_Reseau6[[#This Row],[Cell_ID]],Registre[ID_Antenne],Registre[Equipementier],"Non Trouvée")</f>
        <v>Non Trouvée</v>
      </c>
      <c r="J348" t="str">
        <f>_xlfn.XLOOKUP(Logs_Reseau6[[#This Row],[Id_Client]],Clients_Churn[ID_Client],Clients_Churn[Type_Forfait],"Pas d'information")</f>
        <v>Pas d'information</v>
      </c>
      <c r="K348" s="5" t="str">
        <f>IF(Logs_Reseau6[[#This Row],[Type_Forfait]]="Pro Monde","B2B","B2C")</f>
        <v>B2C</v>
      </c>
      <c r="L348" s="5" t="str">
        <f>_xlfn.XLOOKUP(Logs_Reseau6[[#This Row],[Id_Client]],Clients_Churn[ID_Client],Clients_Churn[Duree_Cumulee_Panne_Min],"Non Trouvée")</f>
        <v>Non Trouvée</v>
      </c>
      <c r="M348" s="5" t="str">
        <f>_xlfn.XLOOKUP(Logs_Reseau6[[#This Row],[Id_Client]],Clients_Churn[ID_Client],Clients_Churn[Anciennete_Mois],"Rien à signaler")</f>
        <v>Rien à signaler</v>
      </c>
      <c r="N348" s="5" t="e">
        <f>Logs_Reseau6[[#This Row],[Anciennette]]/24</f>
        <v>#VALUE!</v>
      </c>
      <c r="O348" s="5" t="e">
        <f>Logs_Reseau6[[#This Row],[Duree_Cumulée_Panne]]/1440</f>
        <v>#VALUE!</v>
      </c>
      <c r="P34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49" spans="1:16" x14ac:dyDescent="0.25">
      <c r="A349" s="2">
        <v>45205</v>
      </c>
      <c r="B349" s="1">
        <v>5.2777777777777778E-2</v>
      </c>
      <c r="C349" t="s">
        <v>900</v>
      </c>
      <c r="D349">
        <v>102</v>
      </c>
      <c r="E349" t="s">
        <v>1303</v>
      </c>
      <c r="F349" t="str">
        <f>_xlfn.XLOOKUP(Logs_Reseau6[[#This Row],[Cell_ID]],Registre[ID_Antenne],Registre[Province_RDC],"Non Trouvée")</f>
        <v>Kasai</v>
      </c>
      <c r="G349" t="str">
        <f>_xlfn.XLOOKUP(Logs_Reseau6[[#This Row],[Province]],Clients_Churn[Province_Client],Clients_Churn[ID_Client],"Aucun")</f>
        <v>CLI-00057</v>
      </c>
      <c r="H349" t="str">
        <f>_xlfn.XLOOKUP(Logs_Reseau6[[#This Row],[Cell_ID]],Registre[ID_Antenne],Registre[Technologie],"Rien à signaler")</f>
        <v>4G</v>
      </c>
      <c r="I349" t="str">
        <f>_xlfn.XLOOKUP(Logs_Reseau6[[#This Row],[Cell_ID]],Registre[ID_Antenne],Registre[Equipementier],"Non Trouvée")</f>
        <v>Huawei</v>
      </c>
      <c r="J349" t="str">
        <f>_xlfn.XLOOKUP(Logs_Reseau6[[#This Row],[Id_Client]],Clients_Churn[ID_Client],Clients_Churn[Type_Forfait],"Pas d'information")</f>
        <v>Bloqué 5Go</v>
      </c>
      <c r="K349" s="5" t="str">
        <f>IF(Logs_Reseau6[[#This Row],[Type_Forfait]]="Pro Monde","B2B","B2C")</f>
        <v>B2C</v>
      </c>
      <c r="L349" s="5">
        <f>_xlfn.XLOOKUP(Logs_Reseau6[[#This Row],[Id_Client]],Clients_Churn[ID_Client],Clients_Churn[Duree_Cumulee_Panne_Min],"Non Trouvée")</f>
        <v>182</v>
      </c>
      <c r="M349" s="5">
        <f>_xlfn.XLOOKUP(Logs_Reseau6[[#This Row],[Id_Client]],Clients_Churn[ID_Client],Clients_Churn[Anciennete_Mois],"Rien à signaler")</f>
        <v>4</v>
      </c>
      <c r="N349" s="11">
        <f>Logs_Reseau6[[#This Row],[Anciennette]]/24</f>
        <v>0.16666666666666666</v>
      </c>
      <c r="O349" s="1">
        <f>Logs_Reseau6[[#This Row],[Duree_Cumulée_Panne]]/1440</f>
        <v>0.12638888888888888</v>
      </c>
      <c r="P34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50" spans="1:16" x14ac:dyDescent="0.25">
      <c r="A350" s="2">
        <v>45221</v>
      </c>
      <c r="B350" s="1">
        <v>0.83611111111111114</v>
      </c>
      <c r="C350" t="s">
        <v>900</v>
      </c>
      <c r="D350">
        <v>6</v>
      </c>
      <c r="E350" t="s">
        <v>1305</v>
      </c>
      <c r="F350" t="str">
        <f>_xlfn.XLOOKUP(Logs_Reseau6[[#This Row],[Cell_ID]],Registre[ID_Antenne],Registre[Province_RDC],"Non Trouvée")</f>
        <v>Kasai</v>
      </c>
      <c r="G350" t="str">
        <f>_xlfn.XLOOKUP(Logs_Reseau6[[#This Row],[Province]],Clients_Churn[Province_Client],Clients_Churn[ID_Client],"Aucun")</f>
        <v>CLI-00057</v>
      </c>
      <c r="H350" t="str">
        <f>_xlfn.XLOOKUP(Logs_Reseau6[[#This Row],[Cell_ID]],Registre[ID_Antenne],Registre[Technologie],"Rien à signaler")</f>
        <v>4G</v>
      </c>
      <c r="I350" t="str">
        <f>_xlfn.XLOOKUP(Logs_Reseau6[[#This Row],[Cell_ID]],Registre[ID_Antenne],Registre[Equipementier],"Non Trouvée")</f>
        <v>Huawei</v>
      </c>
      <c r="J350" t="str">
        <f>_xlfn.XLOOKUP(Logs_Reseau6[[#This Row],[Id_Client]],Clients_Churn[ID_Client],Clients_Churn[Type_Forfait],"Pas d'information")</f>
        <v>Bloqué 5Go</v>
      </c>
      <c r="K350" s="5" t="str">
        <f>IF(Logs_Reseau6[[#This Row],[Type_Forfait]]="Pro Monde","B2B","B2C")</f>
        <v>B2C</v>
      </c>
      <c r="L350" s="5">
        <f>_xlfn.XLOOKUP(Logs_Reseau6[[#This Row],[Id_Client]],Clients_Churn[ID_Client],Clients_Churn[Duree_Cumulee_Panne_Min],"Non Trouvée")</f>
        <v>182</v>
      </c>
      <c r="M350" s="5">
        <f>_xlfn.XLOOKUP(Logs_Reseau6[[#This Row],[Id_Client]],Clients_Churn[ID_Client],Clients_Churn[Anciennete_Mois],"Rien à signaler")</f>
        <v>4</v>
      </c>
      <c r="N350" s="11">
        <f>Logs_Reseau6[[#This Row],[Anciennette]]/24</f>
        <v>0.16666666666666666</v>
      </c>
      <c r="O350" s="1">
        <f>Logs_Reseau6[[#This Row],[Duree_Cumulée_Panne]]/1440</f>
        <v>0.12638888888888888</v>
      </c>
      <c r="P35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51" spans="1:16" hidden="1" x14ac:dyDescent="0.25">
      <c r="A351" s="2">
        <v>45204</v>
      </c>
      <c r="B351" s="1">
        <v>0.75902777777777775</v>
      </c>
      <c r="C351" t="s">
        <v>1427</v>
      </c>
      <c r="D351">
        <v>105</v>
      </c>
      <c r="E351" t="s">
        <v>1305</v>
      </c>
      <c r="F351" t="str">
        <f>_xlfn.XLOOKUP(Logs_Reseau6[[#This Row],[Cell_ID]],Registre[ID_Antenne],Registre[Province_RDC],"Non Trouvée")</f>
        <v>Non Trouvée</v>
      </c>
      <c r="G351" t="str">
        <f>_xlfn.XLOOKUP(Logs_Reseau6[[#This Row],[Province]],Clients_Churn[Province_Client],Clients_Churn[ID_Client],"Aucun")</f>
        <v>Aucun</v>
      </c>
      <c r="H351" t="str">
        <f>_xlfn.XLOOKUP(Logs_Reseau6[[#This Row],[Cell_ID]],Registre[ID_Antenne],Registre[Technologie],"Rien à signaler")</f>
        <v>Rien à signaler</v>
      </c>
      <c r="I351" t="str">
        <f>_xlfn.XLOOKUP(Logs_Reseau6[[#This Row],[Cell_ID]],Registre[ID_Antenne],Registre[Equipementier],"Non Trouvée")</f>
        <v>Non Trouvée</v>
      </c>
      <c r="J351" t="str">
        <f>_xlfn.XLOOKUP(Logs_Reseau6[[#This Row],[Id_Client]],Clients_Churn[ID_Client],Clients_Churn[Type_Forfait],"Pas d'information")</f>
        <v>Pas d'information</v>
      </c>
      <c r="K351" s="5" t="str">
        <f>IF(Logs_Reseau6[[#This Row],[Type_Forfait]]="Pro Monde","B2B","B2C")</f>
        <v>B2C</v>
      </c>
      <c r="L351" s="5" t="str">
        <f>_xlfn.XLOOKUP(Logs_Reseau6[[#This Row],[Id_Client]],Clients_Churn[ID_Client],Clients_Churn[Duree_Cumulee_Panne_Min],"Non Trouvée")</f>
        <v>Non Trouvée</v>
      </c>
      <c r="M351" s="5" t="str">
        <f>_xlfn.XLOOKUP(Logs_Reseau6[[#This Row],[Id_Client]],Clients_Churn[ID_Client],Clients_Churn[Anciennete_Mois],"Rien à signaler")</f>
        <v>Rien à signaler</v>
      </c>
      <c r="N351" s="5" t="e">
        <f>Logs_Reseau6[[#This Row],[Anciennette]]/24</f>
        <v>#VALUE!</v>
      </c>
      <c r="O351" s="5" t="e">
        <f>Logs_Reseau6[[#This Row],[Duree_Cumulée_Panne]]/1440</f>
        <v>#VALUE!</v>
      </c>
      <c r="P35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52" spans="1:16" hidden="1" x14ac:dyDescent="0.25">
      <c r="A352" s="2">
        <v>45227</v>
      </c>
      <c r="B352" s="1">
        <v>0.7055555555555556</v>
      </c>
      <c r="C352" t="s">
        <v>1427</v>
      </c>
      <c r="D352">
        <v>108</v>
      </c>
      <c r="E352" t="s">
        <v>1303</v>
      </c>
      <c r="F352" t="str">
        <f>_xlfn.XLOOKUP(Logs_Reseau6[[#This Row],[Cell_ID]],Registre[ID_Antenne],Registre[Province_RDC],"Non Trouvée")</f>
        <v>Non Trouvée</v>
      </c>
      <c r="G352" t="str">
        <f>_xlfn.XLOOKUP(Logs_Reseau6[[#This Row],[Province]],Clients_Churn[Province_Client],Clients_Churn[ID_Client],"Aucun")</f>
        <v>Aucun</v>
      </c>
      <c r="H352" t="str">
        <f>_xlfn.XLOOKUP(Logs_Reseau6[[#This Row],[Cell_ID]],Registre[ID_Antenne],Registre[Technologie],"Rien à signaler")</f>
        <v>Rien à signaler</v>
      </c>
      <c r="I352" t="str">
        <f>_xlfn.XLOOKUP(Logs_Reseau6[[#This Row],[Cell_ID]],Registre[ID_Antenne],Registre[Equipementier],"Non Trouvée")</f>
        <v>Non Trouvée</v>
      </c>
      <c r="J352" t="str">
        <f>_xlfn.XLOOKUP(Logs_Reseau6[[#This Row],[Id_Client]],Clients_Churn[ID_Client],Clients_Churn[Type_Forfait],"Pas d'information")</f>
        <v>Pas d'information</v>
      </c>
      <c r="K352" s="5" t="str">
        <f>IF(Logs_Reseau6[[#This Row],[Type_Forfait]]="Pro Monde","B2B","B2C")</f>
        <v>B2C</v>
      </c>
      <c r="L352" s="5" t="str">
        <f>_xlfn.XLOOKUP(Logs_Reseau6[[#This Row],[Id_Client]],Clients_Churn[ID_Client],Clients_Churn[Duree_Cumulee_Panne_Min],"Non Trouvée")</f>
        <v>Non Trouvée</v>
      </c>
      <c r="M352" s="5" t="str">
        <f>_xlfn.XLOOKUP(Logs_Reseau6[[#This Row],[Id_Client]],Clients_Churn[ID_Client],Clients_Churn[Anciennete_Mois],"Rien à signaler")</f>
        <v>Rien à signaler</v>
      </c>
      <c r="N352" s="5" t="e">
        <f>Logs_Reseau6[[#This Row],[Anciennette]]/24</f>
        <v>#VALUE!</v>
      </c>
      <c r="O352" s="5" t="e">
        <f>Logs_Reseau6[[#This Row],[Duree_Cumulée_Panne]]/1440</f>
        <v>#VALUE!</v>
      </c>
      <c r="P35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53" spans="1:16" hidden="1" x14ac:dyDescent="0.25">
      <c r="A353" s="2">
        <v>45227</v>
      </c>
      <c r="B353" s="1">
        <v>0.72430555555555554</v>
      </c>
      <c r="C353" t="s">
        <v>1427</v>
      </c>
      <c r="D353">
        <v>20</v>
      </c>
      <c r="E353" t="s">
        <v>1300</v>
      </c>
      <c r="F353" t="str">
        <f>_xlfn.XLOOKUP(Logs_Reseau6[[#This Row],[Cell_ID]],Registre[ID_Antenne],Registre[Province_RDC],"Non Trouvée")</f>
        <v>Non Trouvée</v>
      </c>
      <c r="G353" t="str">
        <f>_xlfn.XLOOKUP(Logs_Reseau6[[#This Row],[Province]],Clients_Churn[Province_Client],Clients_Churn[ID_Client],"Aucun")</f>
        <v>Aucun</v>
      </c>
      <c r="H353" t="str">
        <f>_xlfn.XLOOKUP(Logs_Reseau6[[#This Row],[Cell_ID]],Registre[ID_Antenne],Registre[Technologie],"Rien à signaler")</f>
        <v>Rien à signaler</v>
      </c>
      <c r="I353" t="str">
        <f>_xlfn.XLOOKUP(Logs_Reseau6[[#This Row],[Cell_ID]],Registre[ID_Antenne],Registre[Equipementier],"Non Trouvée")</f>
        <v>Non Trouvée</v>
      </c>
      <c r="J353" t="str">
        <f>_xlfn.XLOOKUP(Logs_Reseau6[[#This Row],[Id_Client]],Clients_Churn[ID_Client],Clients_Churn[Type_Forfait],"Pas d'information")</f>
        <v>Pas d'information</v>
      </c>
      <c r="K353" s="5" t="str">
        <f>IF(Logs_Reseau6[[#This Row],[Type_Forfait]]="Pro Monde","B2B","B2C")</f>
        <v>B2C</v>
      </c>
      <c r="L353" s="5" t="str">
        <f>_xlfn.XLOOKUP(Logs_Reseau6[[#This Row],[Id_Client]],Clients_Churn[ID_Client],Clients_Churn[Duree_Cumulee_Panne_Min],"Non Trouvée")</f>
        <v>Non Trouvée</v>
      </c>
      <c r="M353" s="5" t="str">
        <f>_xlfn.XLOOKUP(Logs_Reseau6[[#This Row],[Id_Client]],Clients_Churn[ID_Client],Clients_Churn[Anciennete_Mois],"Rien à signaler")</f>
        <v>Rien à signaler</v>
      </c>
      <c r="N353" s="5" t="e">
        <f>Logs_Reseau6[[#This Row],[Anciennette]]/24</f>
        <v>#VALUE!</v>
      </c>
      <c r="O353" s="5" t="e">
        <f>Logs_Reseau6[[#This Row],[Duree_Cumulée_Panne]]/1440</f>
        <v>#VALUE!</v>
      </c>
      <c r="P35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54" spans="1:16" hidden="1" x14ac:dyDescent="0.25">
      <c r="A354" s="2">
        <v>45224</v>
      </c>
      <c r="B354" s="1">
        <v>0.96388888888888891</v>
      </c>
      <c r="C354" t="s">
        <v>1516</v>
      </c>
      <c r="D354">
        <v>83</v>
      </c>
      <c r="E354" t="s">
        <v>1303</v>
      </c>
      <c r="F354" t="str">
        <f>_xlfn.XLOOKUP(Logs_Reseau6[[#This Row],[Cell_ID]],Registre[ID_Antenne],Registre[Province_RDC],"Non Trouvée")</f>
        <v>Non Trouvée</v>
      </c>
      <c r="G354" t="str">
        <f>_xlfn.XLOOKUP(Logs_Reseau6[[#This Row],[Province]],Clients_Churn[Province_Client],Clients_Churn[ID_Client],"Aucun")</f>
        <v>Aucun</v>
      </c>
      <c r="H354" t="str">
        <f>_xlfn.XLOOKUP(Logs_Reseau6[[#This Row],[Cell_ID]],Registre[ID_Antenne],Registre[Technologie],"Rien à signaler")</f>
        <v>Rien à signaler</v>
      </c>
      <c r="I354" t="str">
        <f>_xlfn.XLOOKUP(Logs_Reseau6[[#This Row],[Cell_ID]],Registre[ID_Antenne],Registre[Equipementier],"Non Trouvée")</f>
        <v>Non Trouvée</v>
      </c>
      <c r="J354" t="str">
        <f>_xlfn.XLOOKUP(Logs_Reseau6[[#This Row],[Id_Client]],Clients_Churn[ID_Client],Clients_Churn[Type_Forfait],"Pas d'information")</f>
        <v>Pas d'information</v>
      </c>
      <c r="K354" s="5" t="str">
        <f>IF(Logs_Reseau6[[#This Row],[Type_Forfait]]="Pro Monde","B2B","B2C")</f>
        <v>B2C</v>
      </c>
      <c r="L354" s="5" t="str">
        <f>_xlfn.XLOOKUP(Logs_Reseau6[[#This Row],[Id_Client]],Clients_Churn[ID_Client],Clients_Churn[Duree_Cumulee_Panne_Min],"Non Trouvée")</f>
        <v>Non Trouvée</v>
      </c>
      <c r="M354" s="5" t="str">
        <f>_xlfn.XLOOKUP(Logs_Reseau6[[#This Row],[Id_Client]],Clients_Churn[ID_Client],Clients_Churn[Anciennete_Mois],"Rien à signaler")</f>
        <v>Rien à signaler</v>
      </c>
      <c r="N354" s="5" t="e">
        <f>Logs_Reseau6[[#This Row],[Anciennette]]/24</f>
        <v>#VALUE!</v>
      </c>
      <c r="O354" s="5" t="e">
        <f>Logs_Reseau6[[#This Row],[Duree_Cumulée_Panne]]/1440</f>
        <v>#VALUE!</v>
      </c>
      <c r="P35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55" spans="1:16" hidden="1" x14ac:dyDescent="0.25">
      <c r="A355" s="2">
        <v>45221</v>
      </c>
      <c r="B355" s="1">
        <v>0.38472222222222224</v>
      </c>
      <c r="C355" t="s">
        <v>1409</v>
      </c>
      <c r="D355">
        <v>92</v>
      </c>
      <c r="E355" t="s">
        <v>1303</v>
      </c>
      <c r="F355" t="str">
        <f>_xlfn.XLOOKUP(Logs_Reseau6[[#This Row],[Cell_ID]],Registre[ID_Antenne],Registre[Province_RDC],"Non Trouvée")</f>
        <v>Non Trouvée</v>
      </c>
      <c r="G355" t="str">
        <f>_xlfn.XLOOKUP(Logs_Reseau6[[#This Row],[Province]],Clients_Churn[Province_Client],Clients_Churn[ID_Client],"Aucun")</f>
        <v>Aucun</v>
      </c>
      <c r="H355" t="str">
        <f>_xlfn.XLOOKUP(Logs_Reseau6[[#This Row],[Cell_ID]],Registre[ID_Antenne],Registre[Technologie],"Rien à signaler")</f>
        <v>Rien à signaler</v>
      </c>
      <c r="I355" t="str">
        <f>_xlfn.XLOOKUP(Logs_Reseau6[[#This Row],[Cell_ID]],Registre[ID_Antenne],Registre[Equipementier],"Non Trouvée")</f>
        <v>Non Trouvée</v>
      </c>
      <c r="J355" t="str">
        <f>_xlfn.XLOOKUP(Logs_Reseau6[[#This Row],[Id_Client]],Clients_Churn[ID_Client],Clients_Churn[Type_Forfait],"Pas d'information")</f>
        <v>Pas d'information</v>
      </c>
      <c r="K355" s="5" t="str">
        <f>IF(Logs_Reseau6[[#This Row],[Type_Forfait]]="Pro Monde","B2B","B2C")</f>
        <v>B2C</v>
      </c>
      <c r="L355" s="5" t="str">
        <f>_xlfn.XLOOKUP(Logs_Reseau6[[#This Row],[Id_Client]],Clients_Churn[ID_Client],Clients_Churn[Duree_Cumulee_Panne_Min],"Non Trouvée")</f>
        <v>Non Trouvée</v>
      </c>
      <c r="M355" s="5" t="str">
        <f>_xlfn.XLOOKUP(Logs_Reseau6[[#This Row],[Id_Client]],Clients_Churn[ID_Client],Clients_Churn[Anciennete_Mois],"Rien à signaler")</f>
        <v>Rien à signaler</v>
      </c>
      <c r="N355" s="5" t="e">
        <f>Logs_Reseau6[[#This Row],[Anciennette]]/24</f>
        <v>#VALUE!</v>
      </c>
      <c r="O355" s="5" t="e">
        <f>Logs_Reseau6[[#This Row],[Duree_Cumulée_Panne]]/1440</f>
        <v>#VALUE!</v>
      </c>
      <c r="P35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56" spans="1:16" hidden="1" x14ac:dyDescent="0.25">
      <c r="A356" s="2">
        <v>45214</v>
      </c>
      <c r="B356" s="1">
        <v>0.61319444444444449</v>
      </c>
      <c r="C356" t="s">
        <v>1471</v>
      </c>
      <c r="D356">
        <v>61</v>
      </c>
      <c r="E356" t="s">
        <v>1305</v>
      </c>
      <c r="F356" t="str">
        <f>_xlfn.XLOOKUP(Logs_Reseau6[[#This Row],[Cell_ID]],Registre[ID_Antenne],Registre[Province_RDC],"Non Trouvée")</f>
        <v>Non Trouvée</v>
      </c>
      <c r="G356" t="str">
        <f>_xlfn.XLOOKUP(Logs_Reseau6[[#This Row],[Province]],Clients_Churn[Province_Client],Clients_Churn[ID_Client],"Aucun")</f>
        <v>Aucun</v>
      </c>
      <c r="H356" t="str">
        <f>_xlfn.XLOOKUP(Logs_Reseau6[[#This Row],[Cell_ID]],Registre[ID_Antenne],Registre[Technologie],"Rien à signaler")</f>
        <v>Rien à signaler</v>
      </c>
      <c r="I356" t="str">
        <f>_xlfn.XLOOKUP(Logs_Reseau6[[#This Row],[Cell_ID]],Registre[ID_Antenne],Registre[Equipementier],"Non Trouvée")</f>
        <v>Non Trouvée</v>
      </c>
      <c r="J356" t="str">
        <f>_xlfn.XLOOKUP(Logs_Reseau6[[#This Row],[Id_Client]],Clients_Churn[ID_Client],Clients_Churn[Type_Forfait],"Pas d'information")</f>
        <v>Pas d'information</v>
      </c>
      <c r="K356" s="5" t="str">
        <f>IF(Logs_Reseau6[[#This Row],[Type_Forfait]]="Pro Monde","B2B","B2C")</f>
        <v>B2C</v>
      </c>
      <c r="L356" s="5" t="str">
        <f>_xlfn.XLOOKUP(Logs_Reseau6[[#This Row],[Id_Client]],Clients_Churn[ID_Client],Clients_Churn[Duree_Cumulee_Panne_Min],"Non Trouvée")</f>
        <v>Non Trouvée</v>
      </c>
      <c r="M356" s="5" t="str">
        <f>_xlfn.XLOOKUP(Logs_Reseau6[[#This Row],[Id_Client]],Clients_Churn[ID_Client],Clients_Churn[Anciennete_Mois],"Rien à signaler")</f>
        <v>Rien à signaler</v>
      </c>
      <c r="N356" s="5" t="e">
        <f>Logs_Reseau6[[#This Row],[Anciennette]]/24</f>
        <v>#VALUE!</v>
      </c>
      <c r="O356" s="5" t="e">
        <f>Logs_Reseau6[[#This Row],[Duree_Cumulée_Panne]]/1440</f>
        <v>#VALUE!</v>
      </c>
      <c r="P35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57" spans="1:16" x14ac:dyDescent="0.25">
      <c r="A357" s="2">
        <v>45214</v>
      </c>
      <c r="B357" s="1">
        <v>0.17222222222222222</v>
      </c>
      <c r="C357" t="s">
        <v>958</v>
      </c>
      <c r="D357">
        <v>6</v>
      </c>
      <c r="E357" t="s">
        <v>1300</v>
      </c>
      <c r="F357" t="str">
        <f>_xlfn.XLOOKUP(Logs_Reseau6[[#This Row],[Cell_ID]],Registre[ID_Antenne],Registre[Province_RDC],"Non Trouvée")</f>
        <v>Bas-Uele</v>
      </c>
      <c r="G357" t="str">
        <f>_xlfn.XLOOKUP(Logs_Reseau6[[#This Row],[Province]],Clients_Churn[Province_Client],Clients_Churn[ID_Client],"Aucun")</f>
        <v>CLI-00029</v>
      </c>
      <c r="H357" t="str">
        <f>_xlfn.XLOOKUP(Logs_Reseau6[[#This Row],[Cell_ID]],Registre[ID_Antenne],Registre[Technologie],"Rien à signaler")</f>
        <v>5G</v>
      </c>
      <c r="I357" t="str">
        <f>_xlfn.XLOOKUP(Logs_Reseau6[[#This Row],[Cell_ID]],Registre[ID_Antenne],Registre[Equipementier],"Non Trouvée")</f>
        <v>ZTE</v>
      </c>
      <c r="J357" t="str">
        <f>_xlfn.XLOOKUP(Logs_Reseau6[[#This Row],[Id_Client]],Clients_Churn[ID_Client],Clients_Churn[Type_Forfait],"Pas d'information")</f>
        <v>Pro Monde</v>
      </c>
      <c r="K357" s="5" t="str">
        <f>IF(Logs_Reseau6[[#This Row],[Type_Forfait]]="Pro Monde","B2B","B2C")</f>
        <v>B2B</v>
      </c>
      <c r="L357" s="5">
        <f>_xlfn.XLOOKUP(Logs_Reseau6[[#This Row],[Id_Client]],Clients_Churn[ID_Client],Clients_Churn[Duree_Cumulee_Panne_Min],"Non Trouvée")</f>
        <v>344</v>
      </c>
      <c r="M357" s="5">
        <f>_xlfn.XLOOKUP(Logs_Reseau6[[#This Row],[Id_Client]],Clients_Churn[ID_Client],Clients_Churn[Anciennete_Mois],"Rien à signaler")</f>
        <v>119</v>
      </c>
      <c r="N357" s="11">
        <f>Logs_Reseau6[[#This Row],[Anciennette]]/24</f>
        <v>4.958333333333333</v>
      </c>
      <c r="O357" s="1">
        <f>Logs_Reseau6[[#This Row],[Duree_Cumulée_Panne]]/1440</f>
        <v>0.2388888888888889</v>
      </c>
      <c r="P35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58" spans="1:16" x14ac:dyDescent="0.25">
      <c r="A358" s="2">
        <v>45219</v>
      </c>
      <c r="B358" s="1">
        <v>9.583333333333334E-2</v>
      </c>
      <c r="C358" t="s">
        <v>958</v>
      </c>
      <c r="D358">
        <v>113</v>
      </c>
      <c r="E358" t="s">
        <v>1305</v>
      </c>
      <c r="F358" t="str">
        <f>_xlfn.XLOOKUP(Logs_Reseau6[[#This Row],[Cell_ID]],Registre[ID_Antenne],Registre[Province_RDC],"Non Trouvée")</f>
        <v>Bas-Uele</v>
      </c>
      <c r="G358" t="str">
        <f>_xlfn.XLOOKUP(Logs_Reseau6[[#This Row],[Province]],Clients_Churn[Province_Client],Clients_Churn[ID_Client],"Aucun")</f>
        <v>CLI-00029</v>
      </c>
      <c r="H358" t="str">
        <f>_xlfn.XLOOKUP(Logs_Reseau6[[#This Row],[Cell_ID]],Registre[ID_Antenne],Registre[Technologie],"Rien à signaler")</f>
        <v>5G</v>
      </c>
      <c r="I358" t="str">
        <f>_xlfn.XLOOKUP(Logs_Reseau6[[#This Row],[Cell_ID]],Registre[ID_Antenne],Registre[Equipementier],"Non Trouvée")</f>
        <v>ZTE</v>
      </c>
      <c r="J358" t="str">
        <f>_xlfn.XLOOKUP(Logs_Reseau6[[#This Row],[Id_Client]],Clients_Churn[ID_Client],Clients_Churn[Type_Forfait],"Pas d'information")</f>
        <v>Pro Monde</v>
      </c>
      <c r="K358" s="5" t="str">
        <f>IF(Logs_Reseau6[[#This Row],[Type_Forfait]]="Pro Monde","B2B","B2C")</f>
        <v>B2B</v>
      </c>
      <c r="L358" s="5">
        <f>_xlfn.XLOOKUP(Logs_Reseau6[[#This Row],[Id_Client]],Clients_Churn[ID_Client],Clients_Churn[Duree_Cumulee_Panne_Min],"Non Trouvée")</f>
        <v>344</v>
      </c>
      <c r="M358" s="5">
        <f>_xlfn.XLOOKUP(Logs_Reseau6[[#This Row],[Id_Client]],Clients_Churn[ID_Client],Clients_Churn[Anciennete_Mois],"Rien à signaler")</f>
        <v>119</v>
      </c>
      <c r="N358" s="11">
        <f>Logs_Reseau6[[#This Row],[Anciennette]]/24</f>
        <v>4.958333333333333</v>
      </c>
      <c r="O358" s="1">
        <f>Logs_Reseau6[[#This Row],[Duree_Cumulée_Panne]]/1440</f>
        <v>0.2388888888888889</v>
      </c>
      <c r="P35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59" spans="1:16" x14ac:dyDescent="0.25">
      <c r="A359" s="2">
        <v>45222</v>
      </c>
      <c r="B359" s="1">
        <v>0.7631944444444444</v>
      </c>
      <c r="C359" t="s">
        <v>958</v>
      </c>
      <c r="D359">
        <v>91</v>
      </c>
      <c r="E359" t="s">
        <v>1305</v>
      </c>
      <c r="F359" t="str">
        <f>_xlfn.XLOOKUP(Logs_Reseau6[[#This Row],[Cell_ID]],Registre[ID_Antenne],Registre[Province_RDC],"Non Trouvée")</f>
        <v>Bas-Uele</v>
      </c>
      <c r="G359" t="str">
        <f>_xlfn.XLOOKUP(Logs_Reseau6[[#This Row],[Province]],Clients_Churn[Province_Client],Clients_Churn[ID_Client],"Aucun")</f>
        <v>CLI-00029</v>
      </c>
      <c r="H359" t="str">
        <f>_xlfn.XLOOKUP(Logs_Reseau6[[#This Row],[Cell_ID]],Registre[ID_Antenne],Registre[Technologie],"Rien à signaler")</f>
        <v>5G</v>
      </c>
      <c r="I359" t="str">
        <f>_xlfn.XLOOKUP(Logs_Reseau6[[#This Row],[Cell_ID]],Registre[ID_Antenne],Registre[Equipementier],"Non Trouvée")</f>
        <v>ZTE</v>
      </c>
      <c r="J359" t="str">
        <f>_xlfn.XLOOKUP(Logs_Reseau6[[#This Row],[Id_Client]],Clients_Churn[ID_Client],Clients_Churn[Type_Forfait],"Pas d'information")</f>
        <v>Pro Monde</v>
      </c>
      <c r="K359" s="5" t="str">
        <f>IF(Logs_Reseau6[[#This Row],[Type_Forfait]]="Pro Monde","B2B","B2C")</f>
        <v>B2B</v>
      </c>
      <c r="L359" s="5">
        <f>_xlfn.XLOOKUP(Logs_Reseau6[[#This Row],[Id_Client]],Clients_Churn[ID_Client],Clients_Churn[Duree_Cumulee_Panne_Min],"Non Trouvée")</f>
        <v>344</v>
      </c>
      <c r="M359" s="5">
        <f>_xlfn.XLOOKUP(Logs_Reseau6[[#This Row],[Id_Client]],Clients_Churn[ID_Client],Clients_Churn[Anciennete_Mois],"Rien à signaler")</f>
        <v>119</v>
      </c>
      <c r="N359" s="11">
        <f>Logs_Reseau6[[#This Row],[Anciennette]]/24</f>
        <v>4.958333333333333</v>
      </c>
      <c r="O359" s="1">
        <f>Logs_Reseau6[[#This Row],[Duree_Cumulée_Panne]]/1440</f>
        <v>0.2388888888888889</v>
      </c>
      <c r="P35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60" spans="1:16" x14ac:dyDescent="0.25">
      <c r="A360" s="2">
        <v>45228</v>
      </c>
      <c r="B360" s="1">
        <v>0.61458333333333337</v>
      </c>
      <c r="C360" t="s">
        <v>958</v>
      </c>
      <c r="D360">
        <v>48</v>
      </c>
      <c r="E360" t="s">
        <v>1303</v>
      </c>
      <c r="F360" t="str">
        <f>_xlfn.XLOOKUP(Logs_Reseau6[[#This Row],[Cell_ID]],Registre[ID_Antenne],Registre[Province_RDC],"Non Trouvée")</f>
        <v>Bas-Uele</v>
      </c>
      <c r="G360" t="str">
        <f>_xlfn.XLOOKUP(Logs_Reseau6[[#This Row],[Province]],Clients_Churn[Province_Client],Clients_Churn[ID_Client],"Aucun")</f>
        <v>CLI-00029</v>
      </c>
      <c r="H360" t="str">
        <f>_xlfn.XLOOKUP(Logs_Reseau6[[#This Row],[Cell_ID]],Registre[ID_Antenne],Registre[Technologie],"Rien à signaler")</f>
        <v>5G</v>
      </c>
      <c r="I360" t="str">
        <f>_xlfn.XLOOKUP(Logs_Reseau6[[#This Row],[Cell_ID]],Registre[ID_Antenne],Registre[Equipementier],"Non Trouvée")</f>
        <v>ZTE</v>
      </c>
      <c r="J360" t="str">
        <f>_xlfn.XLOOKUP(Logs_Reseau6[[#This Row],[Id_Client]],Clients_Churn[ID_Client],Clients_Churn[Type_Forfait],"Pas d'information")</f>
        <v>Pro Monde</v>
      </c>
      <c r="K360" s="5" t="str">
        <f>IF(Logs_Reseau6[[#This Row],[Type_Forfait]]="Pro Monde","B2B","B2C")</f>
        <v>B2B</v>
      </c>
      <c r="L360" s="5">
        <f>_xlfn.XLOOKUP(Logs_Reseau6[[#This Row],[Id_Client]],Clients_Churn[ID_Client],Clients_Churn[Duree_Cumulee_Panne_Min],"Non Trouvée")</f>
        <v>344</v>
      </c>
      <c r="M360" s="5">
        <f>_xlfn.XLOOKUP(Logs_Reseau6[[#This Row],[Id_Client]],Clients_Churn[ID_Client],Clients_Churn[Anciennete_Mois],"Rien à signaler")</f>
        <v>119</v>
      </c>
      <c r="N360" s="11">
        <f>Logs_Reseau6[[#This Row],[Anciennette]]/24</f>
        <v>4.958333333333333</v>
      </c>
      <c r="O360" s="1">
        <f>Logs_Reseau6[[#This Row],[Duree_Cumulée_Panne]]/1440</f>
        <v>0.2388888888888889</v>
      </c>
      <c r="P36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61" spans="1:16" hidden="1" x14ac:dyDescent="0.25">
      <c r="A361" s="2">
        <v>45203</v>
      </c>
      <c r="B361" s="1">
        <v>0.5708333333333333</v>
      </c>
      <c r="C361" t="s">
        <v>1618</v>
      </c>
      <c r="D361">
        <v>68</v>
      </c>
      <c r="E361" t="s">
        <v>1305</v>
      </c>
      <c r="F361" t="str">
        <f>_xlfn.XLOOKUP(Logs_Reseau6[[#This Row],[Cell_ID]],Registre[ID_Antenne],Registre[Province_RDC],"Non Trouvée")</f>
        <v>Non Trouvée</v>
      </c>
      <c r="G361" t="str">
        <f>_xlfn.XLOOKUP(Logs_Reseau6[[#This Row],[Province]],Clients_Churn[Province_Client],Clients_Churn[ID_Client],"Aucun")</f>
        <v>Aucun</v>
      </c>
      <c r="H361" t="str">
        <f>_xlfn.XLOOKUP(Logs_Reseau6[[#This Row],[Cell_ID]],Registre[ID_Antenne],Registre[Technologie],"Rien à signaler")</f>
        <v>Rien à signaler</v>
      </c>
      <c r="I361" t="str">
        <f>_xlfn.XLOOKUP(Logs_Reseau6[[#This Row],[Cell_ID]],Registre[ID_Antenne],Registre[Equipementier],"Non Trouvée")</f>
        <v>Non Trouvée</v>
      </c>
      <c r="J361" t="str">
        <f>_xlfn.XLOOKUP(Logs_Reseau6[[#This Row],[Id_Client]],Clients_Churn[ID_Client],Clients_Churn[Type_Forfait],"Pas d'information")</f>
        <v>Pas d'information</v>
      </c>
      <c r="K361" s="5" t="str">
        <f>IF(Logs_Reseau6[[#This Row],[Type_Forfait]]="Pro Monde","B2B","B2C")</f>
        <v>B2C</v>
      </c>
      <c r="L361" s="5" t="str">
        <f>_xlfn.XLOOKUP(Logs_Reseau6[[#This Row],[Id_Client]],Clients_Churn[ID_Client],Clients_Churn[Duree_Cumulee_Panne_Min],"Non Trouvée")</f>
        <v>Non Trouvée</v>
      </c>
      <c r="M361" s="5" t="str">
        <f>_xlfn.XLOOKUP(Logs_Reseau6[[#This Row],[Id_Client]],Clients_Churn[ID_Client],Clients_Churn[Anciennete_Mois],"Rien à signaler")</f>
        <v>Rien à signaler</v>
      </c>
      <c r="N361" s="5" t="e">
        <f>Logs_Reseau6[[#This Row],[Anciennette]]/24</f>
        <v>#VALUE!</v>
      </c>
      <c r="O361" s="5" t="e">
        <f>Logs_Reseau6[[#This Row],[Duree_Cumulée_Panne]]/1440</f>
        <v>#VALUE!</v>
      </c>
      <c r="P36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62" spans="1:16" hidden="1" x14ac:dyDescent="0.25">
      <c r="A362" s="2">
        <v>45211</v>
      </c>
      <c r="B362" s="1">
        <v>0.54652777777777772</v>
      </c>
      <c r="C362" t="s">
        <v>1334</v>
      </c>
      <c r="D362">
        <v>115</v>
      </c>
      <c r="E362" t="s">
        <v>1300</v>
      </c>
      <c r="F362" t="str">
        <f>_xlfn.XLOOKUP(Logs_Reseau6[[#This Row],[Cell_ID]],Registre[ID_Antenne],Registre[Province_RDC],"Non Trouvée")</f>
        <v>Non Trouvée</v>
      </c>
      <c r="G362" t="str">
        <f>_xlfn.XLOOKUP(Logs_Reseau6[[#This Row],[Province]],Clients_Churn[Province_Client],Clients_Churn[ID_Client],"Aucun")</f>
        <v>Aucun</v>
      </c>
      <c r="H362" t="str">
        <f>_xlfn.XLOOKUP(Logs_Reseau6[[#This Row],[Cell_ID]],Registre[ID_Antenne],Registre[Technologie],"Rien à signaler")</f>
        <v>Rien à signaler</v>
      </c>
      <c r="I362" t="str">
        <f>_xlfn.XLOOKUP(Logs_Reseau6[[#This Row],[Cell_ID]],Registre[ID_Antenne],Registre[Equipementier],"Non Trouvée")</f>
        <v>Non Trouvée</v>
      </c>
      <c r="J362" t="str">
        <f>_xlfn.XLOOKUP(Logs_Reseau6[[#This Row],[Id_Client]],Clients_Churn[ID_Client],Clients_Churn[Type_Forfait],"Pas d'information")</f>
        <v>Pas d'information</v>
      </c>
      <c r="K362" s="5" t="str">
        <f>IF(Logs_Reseau6[[#This Row],[Type_Forfait]]="Pro Monde","B2B","B2C")</f>
        <v>B2C</v>
      </c>
      <c r="L362" s="5" t="str">
        <f>_xlfn.XLOOKUP(Logs_Reseau6[[#This Row],[Id_Client]],Clients_Churn[ID_Client],Clients_Churn[Duree_Cumulee_Panne_Min],"Non Trouvée")</f>
        <v>Non Trouvée</v>
      </c>
      <c r="M362" s="5" t="str">
        <f>_xlfn.XLOOKUP(Logs_Reseau6[[#This Row],[Id_Client]],Clients_Churn[ID_Client],Clients_Churn[Anciennete_Mois],"Rien à signaler")</f>
        <v>Rien à signaler</v>
      </c>
      <c r="N362" s="5" t="e">
        <f>Logs_Reseau6[[#This Row],[Anciennette]]/24</f>
        <v>#VALUE!</v>
      </c>
      <c r="O362" s="5" t="e">
        <f>Logs_Reseau6[[#This Row],[Duree_Cumulée_Panne]]/1440</f>
        <v>#VALUE!</v>
      </c>
      <c r="P36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63" spans="1:16" hidden="1" x14ac:dyDescent="0.25">
      <c r="A363" s="2">
        <v>45229</v>
      </c>
      <c r="B363" s="1">
        <v>0.2986111111111111</v>
      </c>
      <c r="C363" t="s">
        <v>1334</v>
      </c>
      <c r="D363">
        <v>74</v>
      </c>
      <c r="E363" t="s">
        <v>1305</v>
      </c>
      <c r="F363" t="str">
        <f>_xlfn.XLOOKUP(Logs_Reseau6[[#This Row],[Cell_ID]],Registre[ID_Antenne],Registre[Province_RDC],"Non Trouvée")</f>
        <v>Non Trouvée</v>
      </c>
      <c r="G363" t="str">
        <f>_xlfn.XLOOKUP(Logs_Reseau6[[#This Row],[Province]],Clients_Churn[Province_Client],Clients_Churn[ID_Client],"Aucun")</f>
        <v>Aucun</v>
      </c>
      <c r="H363" t="str">
        <f>_xlfn.XLOOKUP(Logs_Reseau6[[#This Row],[Cell_ID]],Registre[ID_Antenne],Registre[Technologie],"Rien à signaler")</f>
        <v>Rien à signaler</v>
      </c>
      <c r="I363" t="str">
        <f>_xlfn.XLOOKUP(Logs_Reseau6[[#This Row],[Cell_ID]],Registre[ID_Antenne],Registre[Equipementier],"Non Trouvée")</f>
        <v>Non Trouvée</v>
      </c>
      <c r="J363" t="str">
        <f>_xlfn.XLOOKUP(Logs_Reseau6[[#This Row],[Id_Client]],Clients_Churn[ID_Client],Clients_Churn[Type_Forfait],"Pas d'information")</f>
        <v>Pas d'information</v>
      </c>
      <c r="K363" s="5" t="str">
        <f>IF(Logs_Reseau6[[#This Row],[Type_Forfait]]="Pro Monde","B2B","B2C")</f>
        <v>B2C</v>
      </c>
      <c r="L363" s="5" t="str">
        <f>_xlfn.XLOOKUP(Logs_Reseau6[[#This Row],[Id_Client]],Clients_Churn[ID_Client],Clients_Churn[Duree_Cumulee_Panne_Min],"Non Trouvée")</f>
        <v>Non Trouvée</v>
      </c>
      <c r="M363" s="5" t="str">
        <f>_xlfn.XLOOKUP(Logs_Reseau6[[#This Row],[Id_Client]],Clients_Churn[ID_Client],Clients_Churn[Anciennete_Mois],"Rien à signaler")</f>
        <v>Rien à signaler</v>
      </c>
      <c r="N363" s="5" t="e">
        <f>Logs_Reseau6[[#This Row],[Anciennette]]/24</f>
        <v>#VALUE!</v>
      </c>
      <c r="O363" s="5" t="e">
        <f>Logs_Reseau6[[#This Row],[Duree_Cumulée_Panne]]/1440</f>
        <v>#VALUE!</v>
      </c>
      <c r="P36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64" spans="1:16" hidden="1" x14ac:dyDescent="0.25">
      <c r="A364" s="2">
        <v>45225</v>
      </c>
      <c r="B364" s="1">
        <v>0.21111111111111111</v>
      </c>
      <c r="C364" t="s">
        <v>1596</v>
      </c>
      <c r="D364">
        <v>33</v>
      </c>
      <c r="E364" t="s">
        <v>1303</v>
      </c>
      <c r="F364" t="str">
        <f>_xlfn.XLOOKUP(Logs_Reseau6[[#This Row],[Cell_ID]],Registre[ID_Antenne],Registre[Province_RDC],"Non Trouvée")</f>
        <v>Non Trouvée</v>
      </c>
      <c r="G364" t="str">
        <f>_xlfn.XLOOKUP(Logs_Reseau6[[#This Row],[Province]],Clients_Churn[Province_Client],Clients_Churn[ID_Client],"Aucun")</f>
        <v>Aucun</v>
      </c>
      <c r="H364" t="str">
        <f>_xlfn.XLOOKUP(Logs_Reseau6[[#This Row],[Cell_ID]],Registre[ID_Antenne],Registre[Technologie],"Rien à signaler")</f>
        <v>Rien à signaler</v>
      </c>
      <c r="I364" t="str">
        <f>_xlfn.XLOOKUP(Logs_Reseau6[[#This Row],[Cell_ID]],Registre[ID_Antenne],Registre[Equipementier],"Non Trouvée")</f>
        <v>Non Trouvée</v>
      </c>
      <c r="J364" t="str">
        <f>_xlfn.XLOOKUP(Logs_Reseau6[[#This Row],[Id_Client]],Clients_Churn[ID_Client],Clients_Churn[Type_Forfait],"Pas d'information")</f>
        <v>Pas d'information</v>
      </c>
      <c r="K364" s="5" t="str">
        <f>IF(Logs_Reseau6[[#This Row],[Type_Forfait]]="Pro Monde","B2B","B2C")</f>
        <v>B2C</v>
      </c>
      <c r="L364" s="5" t="str">
        <f>_xlfn.XLOOKUP(Logs_Reseau6[[#This Row],[Id_Client]],Clients_Churn[ID_Client],Clients_Churn[Duree_Cumulee_Panne_Min],"Non Trouvée")</f>
        <v>Non Trouvée</v>
      </c>
      <c r="M364" s="5" t="str">
        <f>_xlfn.XLOOKUP(Logs_Reseau6[[#This Row],[Id_Client]],Clients_Churn[ID_Client],Clients_Churn[Anciennete_Mois],"Rien à signaler")</f>
        <v>Rien à signaler</v>
      </c>
      <c r="N364" s="5" t="e">
        <f>Logs_Reseau6[[#This Row],[Anciennette]]/24</f>
        <v>#VALUE!</v>
      </c>
      <c r="O364" s="5" t="e">
        <f>Logs_Reseau6[[#This Row],[Duree_Cumulée_Panne]]/1440</f>
        <v>#VALUE!</v>
      </c>
      <c r="P36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65" spans="1:16" x14ac:dyDescent="0.25">
      <c r="A365" s="2">
        <v>45213</v>
      </c>
      <c r="B365" s="1">
        <v>0.34236111111111112</v>
      </c>
      <c r="C365" t="s">
        <v>1225</v>
      </c>
      <c r="D365">
        <v>63</v>
      </c>
      <c r="E365" t="s">
        <v>1303</v>
      </c>
      <c r="F365" t="str">
        <f>_xlfn.XLOOKUP(Logs_Reseau6[[#This Row],[Cell_ID]],Registre[ID_Antenne],Registre[Province_RDC],"Non Trouvée")</f>
        <v>Sud-Kivu</v>
      </c>
      <c r="G365" t="str">
        <f>_xlfn.XLOOKUP(Logs_Reseau6[[#This Row],[Province]],Clients_Churn[Province_Client],Clients_Churn[ID_Client],"Aucun")</f>
        <v>CLI-00054</v>
      </c>
      <c r="H365" t="str">
        <f>_xlfn.XLOOKUP(Logs_Reseau6[[#This Row],[Cell_ID]],Registre[ID_Antenne],Registre[Technologie],"Rien à signaler")</f>
        <v>5G</v>
      </c>
      <c r="I365" t="str">
        <f>_xlfn.XLOOKUP(Logs_Reseau6[[#This Row],[Cell_ID]],Registre[ID_Antenne],Registre[Equipementier],"Non Trouvée")</f>
        <v>Nokia</v>
      </c>
      <c r="J365" t="str">
        <f>_xlfn.XLOOKUP(Logs_Reseau6[[#This Row],[Id_Client]],Clients_Churn[ID_Client],Clients_Churn[Type_Forfait],"Pas d'information")</f>
        <v>Bloqué 5Go</v>
      </c>
      <c r="K365" s="5" t="str">
        <f>IF(Logs_Reseau6[[#This Row],[Type_Forfait]]="Pro Monde","B2B","B2C")</f>
        <v>B2C</v>
      </c>
      <c r="L365" s="5">
        <f>_xlfn.XLOOKUP(Logs_Reseau6[[#This Row],[Id_Client]],Clients_Churn[ID_Client],Clients_Churn[Duree_Cumulee_Panne_Min],"Non Trouvée")</f>
        <v>40</v>
      </c>
      <c r="M365" s="5">
        <f>_xlfn.XLOOKUP(Logs_Reseau6[[#This Row],[Id_Client]],Clients_Churn[ID_Client],Clients_Churn[Anciennete_Mois],"Rien à signaler")</f>
        <v>34</v>
      </c>
      <c r="N365" s="11">
        <f>Logs_Reseau6[[#This Row],[Anciennette]]/24</f>
        <v>1.4166666666666667</v>
      </c>
      <c r="O365" s="1">
        <f>Logs_Reseau6[[#This Row],[Duree_Cumulée_Panne]]/1440</f>
        <v>2.7777777777777776E-2</v>
      </c>
      <c r="P36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66" spans="1:16" hidden="1" x14ac:dyDescent="0.25">
      <c r="A366" s="2">
        <v>45202</v>
      </c>
      <c r="B366" s="1">
        <v>0.36180555555555555</v>
      </c>
      <c r="C366" t="s">
        <v>1617</v>
      </c>
      <c r="D366">
        <v>15</v>
      </c>
      <c r="E366" t="s">
        <v>1303</v>
      </c>
      <c r="F366" t="str">
        <f>_xlfn.XLOOKUP(Logs_Reseau6[[#This Row],[Cell_ID]],Registre[ID_Antenne],Registre[Province_RDC],"Non Trouvée")</f>
        <v>Non Trouvée</v>
      </c>
      <c r="G366" t="str">
        <f>_xlfn.XLOOKUP(Logs_Reseau6[[#This Row],[Province]],Clients_Churn[Province_Client],Clients_Churn[ID_Client],"Aucun")</f>
        <v>Aucun</v>
      </c>
      <c r="H366" t="str">
        <f>_xlfn.XLOOKUP(Logs_Reseau6[[#This Row],[Cell_ID]],Registre[ID_Antenne],Registre[Technologie],"Rien à signaler")</f>
        <v>Rien à signaler</v>
      </c>
      <c r="I366" t="str">
        <f>_xlfn.XLOOKUP(Logs_Reseau6[[#This Row],[Cell_ID]],Registre[ID_Antenne],Registre[Equipementier],"Non Trouvée")</f>
        <v>Non Trouvée</v>
      </c>
      <c r="J366" t="str">
        <f>_xlfn.XLOOKUP(Logs_Reseau6[[#This Row],[Id_Client]],Clients_Churn[ID_Client],Clients_Churn[Type_Forfait],"Pas d'information")</f>
        <v>Pas d'information</v>
      </c>
      <c r="K366" s="5" t="str">
        <f>IF(Logs_Reseau6[[#This Row],[Type_Forfait]]="Pro Monde","B2B","B2C")</f>
        <v>B2C</v>
      </c>
      <c r="L366" s="5" t="str">
        <f>_xlfn.XLOOKUP(Logs_Reseau6[[#This Row],[Id_Client]],Clients_Churn[ID_Client],Clients_Churn[Duree_Cumulee_Panne_Min],"Non Trouvée")</f>
        <v>Non Trouvée</v>
      </c>
      <c r="M366" s="5" t="str">
        <f>_xlfn.XLOOKUP(Logs_Reseau6[[#This Row],[Id_Client]],Clients_Churn[ID_Client],Clients_Churn[Anciennete_Mois],"Rien à signaler")</f>
        <v>Rien à signaler</v>
      </c>
      <c r="N366" s="5" t="e">
        <f>Logs_Reseau6[[#This Row],[Anciennette]]/24</f>
        <v>#VALUE!</v>
      </c>
      <c r="O366" s="5" t="e">
        <f>Logs_Reseau6[[#This Row],[Duree_Cumulée_Panne]]/1440</f>
        <v>#VALUE!</v>
      </c>
      <c r="P36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67" spans="1:16" x14ac:dyDescent="0.25">
      <c r="A367" s="2">
        <v>45210</v>
      </c>
      <c r="B367" s="1">
        <v>0.96111111111111114</v>
      </c>
      <c r="C367" t="s">
        <v>1123</v>
      </c>
      <c r="D367">
        <v>66</v>
      </c>
      <c r="E367" t="s">
        <v>1300</v>
      </c>
      <c r="F367" t="str">
        <f>_xlfn.XLOOKUP(Logs_Reseau6[[#This Row],[Cell_ID]],Registre[ID_Antenne],Registre[Province_RDC],"Non Trouvée")</f>
        <v>Kinshasa</v>
      </c>
      <c r="G367" t="str">
        <f>_xlfn.XLOOKUP(Logs_Reseau6[[#This Row],[Province]],Clients_Churn[Province_Client],Clients_Churn[ID_Client],"Aucun")</f>
        <v>CLI-00184</v>
      </c>
      <c r="H367" t="str">
        <f>_xlfn.XLOOKUP(Logs_Reseau6[[#This Row],[Cell_ID]],Registre[ID_Antenne],Registre[Technologie],"Rien à signaler")</f>
        <v>5G</v>
      </c>
      <c r="I367" t="str">
        <f>_xlfn.XLOOKUP(Logs_Reseau6[[#This Row],[Cell_ID]],Registre[ID_Antenne],Registre[Equipementier],"Non Trouvée")</f>
        <v>ZTE</v>
      </c>
      <c r="J367" t="str">
        <f>_xlfn.XLOOKUP(Logs_Reseau6[[#This Row],[Id_Client]],Clients_Churn[ID_Client],Clients_Churn[Type_Forfait],"Pas d'information")</f>
        <v>Premium 5G 150Go</v>
      </c>
      <c r="K367" s="5" t="str">
        <f>IF(Logs_Reseau6[[#This Row],[Type_Forfait]]="Pro Monde","B2B","B2C")</f>
        <v>B2C</v>
      </c>
      <c r="L367" s="5">
        <f>_xlfn.XLOOKUP(Logs_Reseau6[[#This Row],[Id_Client]],Clients_Churn[ID_Client],Clients_Churn[Duree_Cumulee_Panne_Min],"Non Trouvée")</f>
        <v>191</v>
      </c>
      <c r="M367" s="5">
        <f>_xlfn.XLOOKUP(Logs_Reseau6[[#This Row],[Id_Client]],Clients_Churn[ID_Client],Clients_Churn[Anciennete_Mois],"Rien à signaler")</f>
        <v>71</v>
      </c>
      <c r="N367" s="11">
        <f>Logs_Reseau6[[#This Row],[Anciennette]]/24</f>
        <v>2.9583333333333335</v>
      </c>
      <c r="O367" s="1">
        <f>Logs_Reseau6[[#This Row],[Duree_Cumulée_Panne]]/1440</f>
        <v>0.13263888888888889</v>
      </c>
      <c r="P36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68" spans="1:16" x14ac:dyDescent="0.25">
      <c r="A368" s="2">
        <v>45220</v>
      </c>
      <c r="B368" s="1">
        <v>0.41666666666666669</v>
      </c>
      <c r="C368" t="s">
        <v>1123</v>
      </c>
      <c r="D368">
        <v>32</v>
      </c>
      <c r="E368" t="s">
        <v>1303</v>
      </c>
      <c r="F368" t="str">
        <f>_xlfn.XLOOKUP(Logs_Reseau6[[#This Row],[Cell_ID]],Registre[ID_Antenne],Registre[Province_RDC],"Non Trouvée")</f>
        <v>Kinshasa</v>
      </c>
      <c r="G368" t="str">
        <f>_xlfn.XLOOKUP(Logs_Reseau6[[#This Row],[Province]],Clients_Churn[Province_Client],Clients_Churn[ID_Client],"Aucun")</f>
        <v>CLI-00184</v>
      </c>
      <c r="H368" t="str">
        <f>_xlfn.XLOOKUP(Logs_Reseau6[[#This Row],[Cell_ID]],Registre[ID_Antenne],Registre[Technologie],"Rien à signaler")</f>
        <v>5G</v>
      </c>
      <c r="I368" t="str">
        <f>_xlfn.XLOOKUP(Logs_Reseau6[[#This Row],[Cell_ID]],Registre[ID_Antenne],Registre[Equipementier],"Non Trouvée")</f>
        <v>ZTE</v>
      </c>
      <c r="J368" t="str">
        <f>_xlfn.XLOOKUP(Logs_Reseau6[[#This Row],[Id_Client]],Clients_Churn[ID_Client],Clients_Churn[Type_Forfait],"Pas d'information")</f>
        <v>Premium 5G 150Go</v>
      </c>
      <c r="K368" s="5" t="str">
        <f>IF(Logs_Reseau6[[#This Row],[Type_Forfait]]="Pro Monde","B2B","B2C")</f>
        <v>B2C</v>
      </c>
      <c r="L368" s="5">
        <f>_xlfn.XLOOKUP(Logs_Reseau6[[#This Row],[Id_Client]],Clients_Churn[ID_Client],Clients_Churn[Duree_Cumulee_Panne_Min],"Non Trouvée")</f>
        <v>191</v>
      </c>
      <c r="M368" s="5">
        <f>_xlfn.XLOOKUP(Logs_Reseau6[[#This Row],[Id_Client]],Clients_Churn[ID_Client],Clients_Churn[Anciennete_Mois],"Rien à signaler")</f>
        <v>71</v>
      </c>
      <c r="N368" s="11">
        <f>Logs_Reseau6[[#This Row],[Anciennette]]/24</f>
        <v>2.9583333333333335</v>
      </c>
      <c r="O368" s="1">
        <f>Logs_Reseau6[[#This Row],[Duree_Cumulée_Panne]]/1440</f>
        <v>0.13263888888888889</v>
      </c>
      <c r="P36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69" spans="1:16" hidden="1" x14ac:dyDescent="0.25">
      <c r="A369" s="2">
        <v>45226</v>
      </c>
      <c r="B369" s="1">
        <v>0.74791666666666667</v>
      </c>
      <c r="C369" t="s">
        <v>1499</v>
      </c>
      <c r="D369">
        <v>52</v>
      </c>
      <c r="E369" t="s">
        <v>1303</v>
      </c>
      <c r="F369" t="str">
        <f>_xlfn.XLOOKUP(Logs_Reseau6[[#This Row],[Cell_ID]],Registre[ID_Antenne],Registre[Province_RDC],"Non Trouvée")</f>
        <v>Non Trouvée</v>
      </c>
      <c r="G369" t="str">
        <f>_xlfn.XLOOKUP(Logs_Reseau6[[#This Row],[Province]],Clients_Churn[Province_Client],Clients_Churn[ID_Client],"Aucun")</f>
        <v>Aucun</v>
      </c>
      <c r="H369" t="str">
        <f>_xlfn.XLOOKUP(Logs_Reseau6[[#This Row],[Cell_ID]],Registre[ID_Antenne],Registre[Technologie],"Rien à signaler")</f>
        <v>Rien à signaler</v>
      </c>
      <c r="I369" t="str">
        <f>_xlfn.XLOOKUP(Logs_Reseau6[[#This Row],[Cell_ID]],Registre[ID_Antenne],Registre[Equipementier],"Non Trouvée")</f>
        <v>Non Trouvée</v>
      </c>
      <c r="J369" t="str">
        <f>_xlfn.XLOOKUP(Logs_Reseau6[[#This Row],[Id_Client]],Clients_Churn[ID_Client],Clients_Churn[Type_Forfait],"Pas d'information")</f>
        <v>Pas d'information</v>
      </c>
      <c r="K369" s="5" t="str">
        <f>IF(Logs_Reseau6[[#This Row],[Type_Forfait]]="Pro Monde","B2B","B2C")</f>
        <v>B2C</v>
      </c>
      <c r="L369" s="5" t="str">
        <f>_xlfn.XLOOKUP(Logs_Reseau6[[#This Row],[Id_Client]],Clients_Churn[ID_Client],Clients_Churn[Duree_Cumulee_Panne_Min],"Non Trouvée")</f>
        <v>Non Trouvée</v>
      </c>
      <c r="M369" s="5" t="str">
        <f>_xlfn.XLOOKUP(Logs_Reseau6[[#This Row],[Id_Client]],Clients_Churn[ID_Client],Clients_Churn[Anciennete_Mois],"Rien à signaler")</f>
        <v>Rien à signaler</v>
      </c>
      <c r="N369" s="5" t="e">
        <f>Logs_Reseau6[[#This Row],[Anciennette]]/24</f>
        <v>#VALUE!</v>
      </c>
      <c r="O369" s="5" t="e">
        <f>Logs_Reseau6[[#This Row],[Duree_Cumulée_Panne]]/1440</f>
        <v>#VALUE!</v>
      </c>
      <c r="P36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70" spans="1:16" x14ac:dyDescent="0.25">
      <c r="A370" s="2">
        <v>45203</v>
      </c>
      <c r="B370" s="1">
        <v>0.30486111111111114</v>
      </c>
      <c r="C370" t="s">
        <v>1197</v>
      </c>
      <c r="D370">
        <v>106</v>
      </c>
      <c r="E370" t="s">
        <v>1303</v>
      </c>
      <c r="F370" t="str">
        <f>_xlfn.XLOOKUP(Logs_Reseau6[[#This Row],[Cell_ID]],Registre[ID_Antenne],Registre[Province_RDC],"Non Trouvée")</f>
        <v>Tanganyika</v>
      </c>
      <c r="G370" t="str">
        <f>_xlfn.XLOOKUP(Logs_Reseau6[[#This Row],[Province]],Clients_Churn[Province_Client],Clients_Churn[ID_Client],"Aucun")</f>
        <v>CLI-00007</v>
      </c>
      <c r="H370" t="str">
        <f>_xlfn.XLOOKUP(Logs_Reseau6[[#This Row],[Cell_ID]],Registre[ID_Antenne],Registre[Technologie],"Rien à signaler")</f>
        <v>5G</v>
      </c>
      <c r="I370" t="str">
        <f>_xlfn.XLOOKUP(Logs_Reseau6[[#This Row],[Cell_ID]],Registre[ID_Antenne],Registre[Equipementier],"Non Trouvée")</f>
        <v>Nokia</v>
      </c>
      <c r="J370" t="str">
        <f>_xlfn.XLOOKUP(Logs_Reseau6[[#This Row],[Id_Client]],Clients_Churn[ID_Client],Clients_Churn[Type_Forfait],"Pas d'information")</f>
        <v>Bloqué 5Go</v>
      </c>
      <c r="K370" s="5" t="str">
        <f>IF(Logs_Reseau6[[#This Row],[Type_Forfait]]="Pro Monde","B2B","B2C")</f>
        <v>B2C</v>
      </c>
      <c r="L370" s="5">
        <f>_xlfn.XLOOKUP(Logs_Reseau6[[#This Row],[Id_Client]],Clients_Churn[ID_Client],Clients_Churn[Duree_Cumulee_Panne_Min],"Non Trouvée")</f>
        <v>112</v>
      </c>
      <c r="M370" s="5">
        <f>_xlfn.XLOOKUP(Logs_Reseau6[[#This Row],[Id_Client]],Clients_Churn[ID_Client],Clients_Churn[Anciennete_Mois],"Rien à signaler")</f>
        <v>110</v>
      </c>
      <c r="N370" s="11">
        <f>Logs_Reseau6[[#This Row],[Anciennette]]/24</f>
        <v>4.583333333333333</v>
      </c>
      <c r="O370" s="1">
        <f>Logs_Reseau6[[#This Row],[Duree_Cumulée_Panne]]/1440</f>
        <v>7.7777777777777779E-2</v>
      </c>
      <c r="P37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71" spans="1:16" x14ac:dyDescent="0.25">
      <c r="A371" s="2">
        <v>45215</v>
      </c>
      <c r="B371" s="1">
        <v>0.45763888888888887</v>
      </c>
      <c r="C371" t="s">
        <v>1197</v>
      </c>
      <c r="D371">
        <v>100</v>
      </c>
      <c r="E371" t="s">
        <v>1300</v>
      </c>
      <c r="F371" t="str">
        <f>_xlfn.XLOOKUP(Logs_Reseau6[[#This Row],[Cell_ID]],Registre[ID_Antenne],Registre[Province_RDC],"Non Trouvée")</f>
        <v>Tanganyika</v>
      </c>
      <c r="G371" t="str">
        <f>_xlfn.XLOOKUP(Logs_Reseau6[[#This Row],[Province]],Clients_Churn[Province_Client],Clients_Churn[ID_Client],"Aucun")</f>
        <v>CLI-00007</v>
      </c>
      <c r="H371" t="str">
        <f>_xlfn.XLOOKUP(Logs_Reseau6[[#This Row],[Cell_ID]],Registre[ID_Antenne],Registre[Technologie],"Rien à signaler")</f>
        <v>5G</v>
      </c>
      <c r="I371" t="str">
        <f>_xlfn.XLOOKUP(Logs_Reseau6[[#This Row],[Cell_ID]],Registre[ID_Antenne],Registre[Equipementier],"Non Trouvée")</f>
        <v>Nokia</v>
      </c>
      <c r="J371" t="str">
        <f>_xlfn.XLOOKUP(Logs_Reseau6[[#This Row],[Id_Client]],Clients_Churn[ID_Client],Clients_Churn[Type_Forfait],"Pas d'information")</f>
        <v>Bloqué 5Go</v>
      </c>
      <c r="K371" s="5" t="str">
        <f>IF(Logs_Reseau6[[#This Row],[Type_Forfait]]="Pro Monde","B2B","B2C")</f>
        <v>B2C</v>
      </c>
      <c r="L371" s="5">
        <f>_xlfn.XLOOKUP(Logs_Reseau6[[#This Row],[Id_Client]],Clients_Churn[ID_Client],Clients_Churn[Duree_Cumulee_Panne_Min],"Non Trouvée")</f>
        <v>112</v>
      </c>
      <c r="M371" s="5">
        <f>_xlfn.XLOOKUP(Logs_Reseau6[[#This Row],[Id_Client]],Clients_Churn[ID_Client],Clients_Churn[Anciennete_Mois],"Rien à signaler")</f>
        <v>110</v>
      </c>
      <c r="N371" s="11">
        <f>Logs_Reseau6[[#This Row],[Anciennette]]/24</f>
        <v>4.583333333333333</v>
      </c>
      <c r="O371" s="1">
        <f>Logs_Reseau6[[#This Row],[Duree_Cumulée_Panne]]/1440</f>
        <v>7.7777777777777779E-2</v>
      </c>
      <c r="P37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72" spans="1:16" hidden="1" x14ac:dyDescent="0.25">
      <c r="A372" s="2">
        <v>45201</v>
      </c>
      <c r="B372" s="1">
        <v>0.30972222222222223</v>
      </c>
      <c r="C372" t="s">
        <v>1454</v>
      </c>
      <c r="D372">
        <v>56</v>
      </c>
      <c r="E372" t="s">
        <v>1305</v>
      </c>
      <c r="F372" t="str">
        <f>_xlfn.XLOOKUP(Logs_Reseau6[[#This Row],[Cell_ID]],Registre[ID_Antenne],Registre[Province_RDC],"Non Trouvée")</f>
        <v>Non Trouvée</v>
      </c>
      <c r="G372" t="str">
        <f>_xlfn.XLOOKUP(Logs_Reseau6[[#This Row],[Province]],Clients_Churn[Province_Client],Clients_Churn[ID_Client],"Aucun")</f>
        <v>Aucun</v>
      </c>
      <c r="H372" t="str">
        <f>_xlfn.XLOOKUP(Logs_Reseau6[[#This Row],[Cell_ID]],Registre[ID_Antenne],Registre[Technologie],"Rien à signaler")</f>
        <v>Rien à signaler</v>
      </c>
      <c r="I372" t="str">
        <f>_xlfn.XLOOKUP(Logs_Reseau6[[#This Row],[Cell_ID]],Registre[ID_Antenne],Registre[Equipementier],"Non Trouvée")</f>
        <v>Non Trouvée</v>
      </c>
      <c r="J372" t="str">
        <f>_xlfn.XLOOKUP(Logs_Reseau6[[#This Row],[Id_Client]],Clients_Churn[ID_Client],Clients_Churn[Type_Forfait],"Pas d'information")</f>
        <v>Pas d'information</v>
      </c>
      <c r="K372" s="5" t="str">
        <f>IF(Logs_Reseau6[[#This Row],[Type_Forfait]]="Pro Monde","B2B","B2C")</f>
        <v>B2C</v>
      </c>
      <c r="L372" s="5" t="str">
        <f>_xlfn.XLOOKUP(Logs_Reseau6[[#This Row],[Id_Client]],Clients_Churn[ID_Client],Clients_Churn[Duree_Cumulee_Panne_Min],"Non Trouvée")</f>
        <v>Non Trouvée</v>
      </c>
      <c r="M372" s="5" t="str">
        <f>_xlfn.XLOOKUP(Logs_Reseau6[[#This Row],[Id_Client]],Clients_Churn[ID_Client],Clients_Churn[Anciennete_Mois],"Rien à signaler")</f>
        <v>Rien à signaler</v>
      </c>
      <c r="N372" s="5" t="e">
        <f>Logs_Reseau6[[#This Row],[Anciennette]]/24</f>
        <v>#VALUE!</v>
      </c>
      <c r="O372" s="5" t="e">
        <f>Logs_Reseau6[[#This Row],[Duree_Cumulée_Panne]]/1440</f>
        <v>#VALUE!</v>
      </c>
      <c r="P37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73" spans="1:16" hidden="1" x14ac:dyDescent="0.25">
      <c r="A373" s="2">
        <v>45208</v>
      </c>
      <c r="B373" s="1">
        <v>8.4027777777777785E-2</v>
      </c>
      <c r="C373" t="s">
        <v>1571</v>
      </c>
      <c r="D373">
        <v>50</v>
      </c>
      <c r="E373" t="s">
        <v>1303</v>
      </c>
      <c r="F373" t="str">
        <f>_xlfn.XLOOKUP(Logs_Reseau6[[#This Row],[Cell_ID]],Registre[ID_Antenne],Registre[Province_RDC],"Non Trouvée")</f>
        <v>Non Trouvée</v>
      </c>
      <c r="G373" t="str">
        <f>_xlfn.XLOOKUP(Logs_Reseau6[[#This Row],[Province]],Clients_Churn[Province_Client],Clients_Churn[ID_Client],"Aucun")</f>
        <v>Aucun</v>
      </c>
      <c r="H373" t="str">
        <f>_xlfn.XLOOKUP(Logs_Reseau6[[#This Row],[Cell_ID]],Registre[ID_Antenne],Registre[Technologie],"Rien à signaler")</f>
        <v>Rien à signaler</v>
      </c>
      <c r="I373" t="str">
        <f>_xlfn.XLOOKUP(Logs_Reseau6[[#This Row],[Cell_ID]],Registre[ID_Antenne],Registre[Equipementier],"Non Trouvée")</f>
        <v>Non Trouvée</v>
      </c>
      <c r="J373" t="str">
        <f>_xlfn.XLOOKUP(Logs_Reseau6[[#This Row],[Id_Client]],Clients_Churn[ID_Client],Clients_Churn[Type_Forfait],"Pas d'information")</f>
        <v>Pas d'information</v>
      </c>
      <c r="K373" s="5" t="str">
        <f>IF(Logs_Reseau6[[#This Row],[Type_Forfait]]="Pro Monde","B2B","B2C")</f>
        <v>B2C</v>
      </c>
      <c r="L373" s="5" t="str">
        <f>_xlfn.XLOOKUP(Logs_Reseau6[[#This Row],[Id_Client]],Clients_Churn[ID_Client],Clients_Churn[Duree_Cumulee_Panne_Min],"Non Trouvée")</f>
        <v>Non Trouvée</v>
      </c>
      <c r="M373" s="5" t="str">
        <f>_xlfn.XLOOKUP(Logs_Reseau6[[#This Row],[Id_Client]],Clients_Churn[ID_Client],Clients_Churn[Anciennete_Mois],"Rien à signaler")</f>
        <v>Rien à signaler</v>
      </c>
      <c r="N373" s="5" t="e">
        <f>Logs_Reseau6[[#This Row],[Anciennette]]/24</f>
        <v>#VALUE!</v>
      </c>
      <c r="O373" s="5" t="e">
        <f>Logs_Reseau6[[#This Row],[Duree_Cumulée_Panne]]/1440</f>
        <v>#VALUE!</v>
      </c>
      <c r="P37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74" spans="1:16" x14ac:dyDescent="0.25">
      <c r="A374" s="2">
        <v>45222</v>
      </c>
      <c r="B374" s="1">
        <v>0.17916666666666667</v>
      </c>
      <c r="C374" t="s">
        <v>928</v>
      </c>
      <c r="D374">
        <v>28</v>
      </c>
      <c r="E374" t="s">
        <v>1303</v>
      </c>
      <c r="F374" t="str">
        <f>_xlfn.XLOOKUP(Logs_Reseau6[[#This Row],[Cell_ID]],Registre[ID_Antenne],Registre[Province_RDC],"Non Trouvée")</f>
        <v>Kinshasa</v>
      </c>
      <c r="G374" t="str">
        <f>_xlfn.XLOOKUP(Logs_Reseau6[[#This Row],[Province]],Clients_Churn[Province_Client],Clients_Churn[ID_Client],"Aucun")</f>
        <v>CLI-00184</v>
      </c>
      <c r="H374" t="str">
        <f>_xlfn.XLOOKUP(Logs_Reseau6[[#This Row],[Cell_ID]],Registre[ID_Antenne],Registre[Technologie],"Rien à signaler")</f>
        <v>3G</v>
      </c>
      <c r="I374" t="str">
        <f>_xlfn.XLOOKUP(Logs_Reseau6[[#This Row],[Cell_ID]],Registre[ID_Antenne],Registre[Equipementier],"Non Trouvée")</f>
        <v>Huawei</v>
      </c>
      <c r="J374" t="str">
        <f>_xlfn.XLOOKUP(Logs_Reseau6[[#This Row],[Id_Client]],Clients_Churn[ID_Client],Clients_Churn[Type_Forfait],"Pas d'information")</f>
        <v>Premium 5G 150Go</v>
      </c>
      <c r="K374" s="5" t="str">
        <f>IF(Logs_Reseau6[[#This Row],[Type_Forfait]]="Pro Monde","B2B","B2C")</f>
        <v>B2C</v>
      </c>
      <c r="L374" s="5">
        <f>_xlfn.XLOOKUP(Logs_Reseau6[[#This Row],[Id_Client]],Clients_Churn[ID_Client],Clients_Churn[Duree_Cumulee_Panne_Min],"Non Trouvée")</f>
        <v>191</v>
      </c>
      <c r="M374" s="5">
        <f>_xlfn.XLOOKUP(Logs_Reseau6[[#This Row],[Id_Client]],Clients_Churn[ID_Client],Clients_Churn[Anciennete_Mois],"Rien à signaler")</f>
        <v>71</v>
      </c>
      <c r="N374" s="11">
        <f>Logs_Reseau6[[#This Row],[Anciennette]]/24</f>
        <v>2.9583333333333335</v>
      </c>
      <c r="O374" s="1">
        <f>Logs_Reseau6[[#This Row],[Duree_Cumulée_Panne]]/1440</f>
        <v>0.13263888888888889</v>
      </c>
      <c r="P37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75" spans="1:16" x14ac:dyDescent="0.25">
      <c r="A375" s="2">
        <v>45214</v>
      </c>
      <c r="B375" s="1">
        <v>0.7368055555555556</v>
      </c>
      <c r="C375" t="s">
        <v>1252</v>
      </c>
      <c r="D375">
        <v>34</v>
      </c>
      <c r="E375" t="s">
        <v>1305</v>
      </c>
      <c r="F375" t="str">
        <f>_xlfn.XLOOKUP(Logs_Reseau6[[#This Row],[Cell_ID]],Registre[ID_Antenne],Registre[Province_RDC],"Non Trouvée")</f>
        <v>Kwilu</v>
      </c>
      <c r="G375" t="str">
        <f>_xlfn.XLOOKUP(Logs_Reseau6[[#This Row],[Province]],Clients_Churn[Province_Client],Clients_Churn[ID_Client],"Aucun")</f>
        <v>CLI-00009</v>
      </c>
      <c r="H375" t="str">
        <f>_xlfn.XLOOKUP(Logs_Reseau6[[#This Row],[Cell_ID]],Registre[ID_Antenne],Registre[Technologie],"Rien à signaler")</f>
        <v>3G</v>
      </c>
      <c r="I375" t="str">
        <f>_xlfn.XLOOKUP(Logs_Reseau6[[#This Row],[Cell_ID]],Registre[ID_Antenne],Registre[Equipementier],"Non Trouvée")</f>
        <v>ZTE</v>
      </c>
      <c r="J375" t="str">
        <f>_xlfn.XLOOKUP(Logs_Reseau6[[#This Row],[Id_Client]],Clients_Churn[ID_Client],Clients_Churn[Type_Forfait],"Pas d'information")</f>
        <v>Pro Monde</v>
      </c>
      <c r="K375" s="5" t="str">
        <f>IF(Logs_Reseau6[[#This Row],[Type_Forfait]]="Pro Monde","B2B","B2C")</f>
        <v>B2B</v>
      </c>
      <c r="L375" s="5">
        <f>_xlfn.XLOOKUP(Logs_Reseau6[[#This Row],[Id_Client]],Clients_Churn[ID_Client],Clients_Churn[Duree_Cumulee_Panne_Min],"Non Trouvée")</f>
        <v>297</v>
      </c>
      <c r="M375" s="5">
        <f>_xlfn.XLOOKUP(Logs_Reseau6[[#This Row],[Id_Client]],Clients_Churn[ID_Client],Clients_Churn[Anciennete_Mois],"Rien à signaler")</f>
        <v>105</v>
      </c>
      <c r="N375" s="11">
        <f>Logs_Reseau6[[#This Row],[Anciennette]]/24</f>
        <v>4.375</v>
      </c>
      <c r="O375" s="1">
        <f>Logs_Reseau6[[#This Row],[Duree_Cumulée_Panne]]/1440</f>
        <v>0.20624999999999999</v>
      </c>
      <c r="P37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76" spans="1:16" hidden="1" x14ac:dyDescent="0.25">
      <c r="A376" s="2">
        <v>45224</v>
      </c>
      <c r="B376" s="1">
        <v>0.6</v>
      </c>
      <c r="C376" t="s">
        <v>1637</v>
      </c>
      <c r="D376">
        <v>70</v>
      </c>
      <c r="E376" t="s">
        <v>1305</v>
      </c>
      <c r="F376" t="str">
        <f>_xlfn.XLOOKUP(Logs_Reseau6[[#This Row],[Cell_ID]],Registre[ID_Antenne],Registre[Province_RDC],"Non Trouvée")</f>
        <v>Non Trouvée</v>
      </c>
      <c r="G376" t="str">
        <f>_xlfn.XLOOKUP(Logs_Reseau6[[#This Row],[Province]],Clients_Churn[Province_Client],Clients_Churn[ID_Client],"Aucun")</f>
        <v>Aucun</v>
      </c>
      <c r="H376" t="str">
        <f>_xlfn.XLOOKUP(Logs_Reseau6[[#This Row],[Cell_ID]],Registre[ID_Antenne],Registre[Technologie],"Rien à signaler")</f>
        <v>Rien à signaler</v>
      </c>
      <c r="I376" t="str">
        <f>_xlfn.XLOOKUP(Logs_Reseau6[[#This Row],[Cell_ID]],Registre[ID_Antenne],Registre[Equipementier],"Non Trouvée")</f>
        <v>Non Trouvée</v>
      </c>
      <c r="J376" t="str">
        <f>_xlfn.XLOOKUP(Logs_Reseau6[[#This Row],[Id_Client]],Clients_Churn[ID_Client],Clients_Churn[Type_Forfait],"Pas d'information")</f>
        <v>Pas d'information</v>
      </c>
      <c r="K376" s="5" t="str">
        <f>IF(Logs_Reseau6[[#This Row],[Type_Forfait]]="Pro Monde","B2B","B2C")</f>
        <v>B2C</v>
      </c>
      <c r="L376" s="5" t="str">
        <f>_xlfn.XLOOKUP(Logs_Reseau6[[#This Row],[Id_Client]],Clients_Churn[ID_Client],Clients_Churn[Duree_Cumulee_Panne_Min],"Non Trouvée")</f>
        <v>Non Trouvée</v>
      </c>
      <c r="M376" s="5" t="str">
        <f>_xlfn.XLOOKUP(Logs_Reseau6[[#This Row],[Id_Client]],Clients_Churn[ID_Client],Clients_Churn[Anciennete_Mois],"Rien à signaler")</f>
        <v>Rien à signaler</v>
      </c>
      <c r="N376" s="5" t="e">
        <f>Logs_Reseau6[[#This Row],[Anciennette]]/24</f>
        <v>#VALUE!</v>
      </c>
      <c r="O376" s="5" t="e">
        <f>Logs_Reseau6[[#This Row],[Duree_Cumulée_Panne]]/1440</f>
        <v>#VALUE!</v>
      </c>
      <c r="P37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77" spans="1:16" hidden="1" x14ac:dyDescent="0.25">
      <c r="A377" s="2">
        <v>45206</v>
      </c>
      <c r="B377" s="1">
        <v>0.36666666666666664</v>
      </c>
      <c r="C377" t="s">
        <v>1628</v>
      </c>
      <c r="D377">
        <v>30</v>
      </c>
      <c r="E377" t="s">
        <v>1305</v>
      </c>
      <c r="F377" t="str">
        <f>_xlfn.XLOOKUP(Logs_Reseau6[[#This Row],[Cell_ID]],Registre[ID_Antenne],Registre[Province_RDC],"Non Trouvée")</f>
        <v>Non Trouvée</v>
      </c>
      <c r="G377" t="str">
        <f>_xlfn.XLOOKUP(Logs_Reseau6[[#This Row],[Province]],Clients_Churn[Province_Client],Clients_Churn[ID_Client],"Aucun")</f>
        <v>Aucun</v>
      </c>
      <c r="H377" t="str">
        <f>_xlfn.XLOOKUP(Logs_Reseau6[[#This Row],[Cell_ID]],Registre[ID_Antenne],Registre[Technologie],"Rien à signaler")</f>
        <v>Rien à signaler</v>
      </c>
      <c r="I377" t="str">
        <f>_xlfn.XLOOKUP(Logs_Reseau6[[#This Row],[Cell_ID]],Registre[ID_Antenne],Registre[Equipementier],"Non Trouvée")</f>
        <v>Non Trouvée</v>
      </c>
      <c r="J377" t="str">
        <f>_xlfn.XLOOKUP(Logs_Reseau6[[#This Row],[Id_Client]],Clients_Churn[ID_Client],Clients_Churn[Type_Forfait],"Pas d'information")</f>
        <v>Pas d'information</v>
      </c>
      <c r="K377" s="5" t="str">
        <f>IF(Logs_Reseau6[[#This Row],[Type_Forfait]]="Pro Monde","B2B","B2C")</f>
        <v>B2C</v>
      </c>
      <c r="L377" s="5" t="str">
        <f>_xlfn.XLOOKUP(Logs_Reseau6[[#This Row],[Id_Client]],Clients_Churn[ID_Client],Clients_Churn[Duree_Cumulee_Panne_Min],"Non Trouvée")</f>
        <v>Non Trouvée</v>
      </c>
      <c r="M377" s="5" t="str">
        <f>_xlfn.XLOOKUP(Logs_Reseau6[[#This Row],[Id_Client]],Clients_Churn[ID_Client],Clients_Churn[Anciennete_Mois],"Rien à signaler")</f>
        <v>Rien à signaler</v>
      </c>
      <c r="N377" s="5" t="e">
        <f>Logs_Reseau6[[#This Row],[Anciennette]]/24</f>
        <v>#VALUE!</v>
      </c>
      <c r="O377" s="5" t="e">
        <f>Logs_Reseau6[[#This Row],[Duree_Cumulée_Panne]]/1440</f>
        <v>#VALUE!</v>
      </c>
      <c r="P37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78" spans="1:16" x14ac:dyDescent="0.25">
      <c r="A378" s="2">
        <v>45225</v>
      </c>
      <c r="B378" s="1">
        <v>0.17152777777777778</v>
      </c>
      <c r="C378" t="s">
        <v>878</v>
      </c>
      <c r="D378">
        <v>104</v>
      </c>
      <c r="E378" t="s">
        <v>1303</v>
      </c>
      <c r="F378" t="str">
        <f>_xlfn.XLOOKUP(Logs_Reseau6[[#This Row],[Cell_ID]],Registre[ID_Antenne],Registre[Province_RDC],"Non Trouvée")</f>
        <v>Kongo-Central</v>
      </c>
      <c r="G378" t="str">
        <f>_xlfn.XLOOKUP(Logs_Reseau6[[#This Row],[Province]],Clients_Churn[Province_Client],Clients_Churn[ID_Client],"Aucun")</f>
        <v>CLI-00012</v>
      </c>
      <c r="H378" t="str">
        <f>_xlfn.XLOOKUP(Logs_Reseau6[[#This Row],[Cell_ID]],Registre[ID_Antenne],Registre[Technologie],"Rien à signaler")</f>
        <v>5G</v>
      </c>
      <c r="I378" t="str">
        <f>_xlfn.XLOOKUP(Logs_Reseau6[[#This Row],[Cell_ID]],Registre[ID_Antenne],Registre[Equipementier],"Non Trouvée")</f>
        <v>Huawei</v>
      </c>
      <c r="J378" t="str">
        <f>_xlfn.XLOOKUP(Logs_Reseau6[[#This Row],[Id_Client]],Clients_Churn[ID_Client],Clients_Churn[Type_Forfait],"Pas d'information")</f>
        <v>Illimité 50Go</v>
      </c>
      <c r="K378" s="5" t="str">
        <f>IF(Logs_Reseau6[[#This Row],[Type_Forfait]]="Pro Monde","B2B","B2C")</f>
        <v>B2C</v>
      </c>
      <c r="L378" s="5">
        <f>_xlfn.XLOOKUP(Logs_Reseau6[[#This Row],[Id_Client]],Clients_Churn[ID_Client],Clients_Churn[Duree_Cumulee_Panne_Min],"Non Trouvée")</f>
        <v>172</v>
      </c>
      <c r="M378" s="5">
        <f>_xlfn.XLOOKUP(Logs_Reseau6[[#This Row],[Id_Client]],Clients_Churn[ID_Client],Clients_Churn[Anciennete_Mois],"Rien à signaler")</f>
        <v>105</v>
      </c>
      <c r="N378" s="11">
        <f>Logs_Reseau6[[#This Row],[Anciennette]]/24</f>
        <v>4.375</v>
      </c>
      <c r="O378" s="1">
        <f>Logs_Reseau6[[#This Row],[Duree_Cumulée_Panne]]/1440</f>
        <v>0.11944444444444445</v>
      </c>
      <c r="P37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79" spans="1:16" x14ac:dyDescent="0.25">
      <c r="A379" s="2">
        <v>45215</v>
      </c>
      <c r="B379" s="1">
        <v>9.3055555555555558E-2</v>
      </c>
      <c r="C379" t="s">
        <v>893</v>
      </c>
      <c r="D379">
        <v>87</v>
      </c>
      <c r="E379" t="s">
        <v>1300</v>
      </c>
      <c r="F379" t="str">
        <f>_xlfn.XLOOKUP(Logs_Reseau6[[#This Row],[Cell_ID]],Registre[ID_Antenne],Registre[Province_RDC],"Non Trouvée")</f>
        <v>Mongala</v>
      </c>
      <c r="G379" t="str">
        <f>_xlfn.XLOOKUP(Logs_Reseau6[[#This Row],[Province]],Clients_Churn[Province_Client],Clients_Churn[ID_Client],"Aucun")</f>
        <v>CLI-00011</v>
      </c>
      <c r="H379" t="str">
        <f>_xlfn.XLOOKUP(Logs_Reseau6[[#This Row],[Cell_ID]],Registre[ID_Antenne],Registre[Technologie],"Rien à signaler")</f>
        <v>4G</v>
      </c>
      <c r="I379" t="str">
        <f>_xlfn.XLOOKUP(Logs_Reseau6[[#This Row],[Cell_ID]],Registre[ID_Antenne],Registre[Equipementier],"Non Trouvée")</f>
        <v>Ericsson</v>
      </c>
      <c r="J379" t="str">
        <f>_xlfn.XLOOKUP(Logs_Reseau6[[#This Row],[Id_Client]],Clients_Churn[ID_Client],Clients_Churn[Type_Forfait],"Pas d'information")</f>
        <v>Illimité 50Go</v>
      </c>
      <c r="K379" s="5" t="str">
        <f>IF(Logs_Reseau6[[#This Row],[Type_Forfait]]="Pro Monde","B2B","B2C")</f>
        <v>B2C</v>
      </c>
      <c r="L379" s="5">
        <f>_xlfn.XLOOKUP(Logs_Reseau6[[#This Row],[Id_Client]],Clients_Churn[ID_Client],Clients_Churn[Duree_Cumulee_Panne_Min],"Non Trouvée")</f>
        <v>86</v>
      </c>
      <c r="M379" s="5">
        <f>_xlfn.XLOOKUP(Logs_Reseau6[[#This Row],[Id_Client]],Clients_Churn[ID_Client],Clients_Churn[Anciennete_Mois],"Rien à signaler")</f>
        <v>49</v>
      </c>
      <c r="N379" s="11">
        <f>Logs_Reseau6[[#This Row],[Anciennette]]/24</f>
        <v>2.0416666666666665</v>
      </c>
      <c r="O379" s="1">
        <f>Logs_Reseau6[[#This Row],[Duree_Cumulée_Panne]]/1440</f>
        <v>5.9722222222222225E-2</v>
      </c>
      <c r="P37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380" spans="1:16" x14ac:dyDescent="0.25">
      <c r="A380" s="2">
        <v>45202</v>
      </c>
      <c r="B380" s="1">
        <v>0.21875</v>
      </c>
      <c r="C380" t="s">
        <v>949</v>
      </c>
      <c r="D380">
        <v>86</v>
      </c>
      <c r="E380" t="s">
        <v>1305</v>
      </c>
      <c r="F380" t="str">
        <f>_xlfn.XLOOKUP(Logs_Reseau6[[#This Row],[Cell_ID]],Registre[ID_Antenne],Registre[Province_RDC],"Non Trouvée")</f>
        <v>Haut-Lomami</v>
      </c>
      <c r="G380" t="str">
        <f>_xlfn.XLOOKUP(Logs_Reseau6[[#This Row],[Province]],Clients_Churn[Province_Client],Clients_Churn[ID_Client],"Aucun")</f>
        <v>CLI-00022</v>
      </c>
      <c r="H380" t="str">
        <f>_xlfn.XLOOKUP(Logs_Reseau6[[#This Row],[Cell_ID]],Registre[ID_Antenne],Registre[Technologie],"Rien à signaler")</f>
        <v>4G</v>
      </c>
      <c r="I380" t="str">
        <f>_xlfn.XLOOKUP(Logs_Reseau6[[#This Row],[Cell_ID]],Registre[ID_Antenne],Registre[Equipementier],"Non Trouvée")</f>
        <v>Huawei</v>
      </c>
      <c r="J380" t="str">
        <f>_xlfn.XLOOKUP(Logs_Reseau6[[#This Row],[Id_Client]],Clients_Churn[ID_Client],Clients_Churn[Type_Forfait],"Pas d'information")</f>
        <v>Premium 5G 150Go</v>
      </c>
      <c r="K380" s="5" t="str">
        <f>IF(Logs_Reseau6[[#This Row],[Type_Forfait]]="Pro Monde","B2B","B2C")</f>
        <v>B2C</v>
      </c>
      <c r="L380" s="5">
        <f>_xlfn.XLOOKUP(Logs_Reseau6[[#This Row],[Id_Client]],Clients_Churn[ID_Client],Clients_Churn[Duree_Cumulee_Panne_Min],"Non Trouvée")</f>
        <v>488</v>
      </c>
      <c r="M380" s="5">
        <f>_xlfn.XLOOKUP(Logs_Reseau6[[#This Row],[Id_Client]],Clients_Churn[ID_Client],Clients_Churn[Anciennete_Mois],"Rien à signaler")</f>
        <v>77</v>
      </c>
      <c r="N380" s="11">
        <f>Logs_Reseau6[[#This Row],[Anciennette]]/24</f>
        <v>3.2083333333333335</v>
      </c>
      <c r="O380" s="1">
        <f>Logs_Reseau6[[#This Row],[Duree_Cumulée_Panne]]/1440</f>
        <v>0.33888888888888891</v>
      </c>
      <c r="P38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81" spans="1:16" x14ac:dyDescent="0.25">
      <c r="A381" s="2">
        <v>45210</v>
      </c>
      <c r="B381" s="1">
        <v>0.45833333333333331</v>
      </c>
      <c r="C381" t="s">
        <v>949</v>
      </c>
      <c r="D381">
        <v>95</v>
      </c>
      <c r="E381" t="s">
        <v>1303</v>
      </c>
      <c r="F381" t="str">
        <f>_xlfn.XLOOKUP(Logs_Reseau6[[#This Row],[Cell_ID]],Registre[ID_Antenne],Registre[Province_RDC],"Non Trouvée")</f>
        <v>Haut-Lomami</v>
      </c>
      <c r="G381" t="str">
        <f>_xlfn.XLOOKUP(Logs_Reseau6[[#This Row],[Province]],Clients_Churn[Province_Client],Clients_Churn[ID_Client],"Aucun")</f>
        <v>CLI-00022</v>
      </c>
      <c r="H381" t="str">
        <f>_xlfn.XLOOKUP(Logs_Reseau6[[#This Row],[Cell_ID]],Registre[ID_Antenne],Registre[Technologie],"Rien à signaler")</f>
        <v>4G</v>
      </c>
      <c r="I381" t="str">
        <f>_xlfn.XLOOKUP(Logs_Reseau6[[#This Row],[Cell_ID]],Registre[ID_Antenne],Registre[Equipementier],"Non Trouvée")</f>
        <v>Huawei</v>
      </c>
      <c r="J381" t="str">
        <f>_xlfn.XLOOKUP(Logs_Reseau6[[#This Row],[Id_Client]],Clients_Churn[ID_Client],Clients_Churn[Type_Forfait],"Pas d'information")</f>
        <v>Premium 5G 150Go</v>
      </c>
      <c r="K381" s="5" t="str">
        <f>IF(Logs_Reseau6[[#This Row],[Type_Forfait]]="Pro Monde","B2B","B2C")</f>
        <v>B2C</v>
      </c>
      <c r="L381" s="5">
        <f>_xlfn.XLOOKUP(Logs_Reseau6[[#This Row],[Id_Client]],Clients_Churn[ID_Client],Clients_Churn[Duree_Cumulee_Panne_Min],"Non Trouvée")</f>
        <v>488</v>
      </c>
      <c r="M381" s="5">
        <f>_xlfn.XLOOKUP(Logs_Reseau6[[#This Row],[Id_Client]],Clients_Churn[ID_Client],Clients_Churn[Anciennete_Mois],"Rien à signaler")</f>
        <v>77</v>
      </c>
      <c r="N381" s="11">
        <f>Logs_Reseau6[[#This Row],[Anciennette]]/24</f>
        <v>3.2083333333333335</v>
      </c>
      <c r="O381" s="1">
        <f>Logs_Reseau6[[#This Row],[Duree_Cumulée_Panne]]/1440</f>
        <v>0.33888888888888891</v>
      </c>
      <c r="P38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82" spans="1:16" hidden="1" x14ac:dyDescent="0.25">
      <c r="A382" s="2">
        <v>45217</v>
      </c>
      <c r="B382" s="1">
        <v>0.3215277777777778</v>
      </c>
      <c r="C382" t="s">
        <v>1321</v>
      </c>
      <c r="D382">
        <v>118</v>
      </c>
      <c r="E382" t="s">
        <v>1303</v>
      </c>
      <c r="F382" t="str">
        <f>_xlfn.XLOOKUP(Logs_Reseau6[[#This Row],[Cell_ID]],Registre[ID_Antenne],Registre[Province_RDC],"Non Trouvée")</f>
        <v>Non Trouvée</v>
      </c>
      <c r="G382" t="str">
        <f>_xlfn.XLOOKUP(Logs_Reseau6[[#This Row],[Province]],Clients_Churn[Province_Client],Clients_Churn[ID_Client],"Aucun")</f>
        <v>Aucun</v>
      </c>
      <c r="H382" t="str">
        <f>_xlfn.XLOOKUP(Logs_Reseau6[[#This Row],[Cell_ID]],Registre[ID_Antenne],Registre[Technologie],"Rien à signaler")</f>
        <v>Rien à signaler</v>
      </c>
      <c r="I382" t="str">
        <f>_xlfn.XLOOKUP(Logs_Reseau6[[#This Row],[Cell_ID]],Registre[ID_Antenne],Registre[Equipementier],"Non Trouvée")</f>
        <v>Non Trouvée</v>
      </c>
      <c r="J382" t="str">
        <f>_xlfn.XLOOKUP(Logs_Reseau6[[#This Row],[Id_Client]],Clients_Churn[ID_Client],Clients_Churn[Type_Forfait],"Pas d'information")</f>
        <v>Pas d'information</v>
      </c>
      <c r="K382" s="5" t="str">
        <f>IF(Logs_Reseau6[[#This Row],[Type_Forfait]]="Pro Monde","B2B","B2C")</f>
        <v>B2C</v>
      </c>
      <c r="L382" s="5" t="str">
        <f>_xlfn.XLOOKUP(Logs_Reseau6[[#This Row],[Id_Client]],Clients_Churn[ID_Client],Clients_Churn[Duree_Cumulee_Panne_Min],"Non Trouvée")</f>
        <v>Non Trouvée</v>
      </c>
      <c r="M382" s="5" t="str">
        <f>_xlfn.XLOOKUP(Logs_Reseau6[[#This Row],[Id_Client]],Clients_Churn[ID_Client],Clients_Churn[Anciennete_Mois],"Rien à signaler")</f>
        <v>Rien à signaler</v>
      </c>
      <c r="N382" s="5" t="e">
        <f>Logs_Reseau6[[#This Row],[Anciennette]]/24</f>
        <v>#VALUE!</v>
      </c>
      <c r="O382" s="5" t="e">
        <f>Logs_Reseau6[[#This Row],[Duree_Cumulée_Panne]]/1440</f>
        <v>#VALUE!</v>
      </c>
      <c r="P38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83" spans="1:16" x14ac:dyDescent="0.25">
      <c r="A383" s="2">
        <v>45207</v>
      </c>
      <c r="B383" s="1">
        <v>0.98750000000000004</v>
      </c>
      <c r="C383" t="s">
        <v>854</v>
      </c>
      <c r="D383">
        <v>15</v>
      </c>
      <c r="E383" t="s">
        <v>1303</v>
      </c>
      <c r="F383" t="str">
        <f>_xlfn.XLOOKUP(Logs_Reseau6[[#This Row],[Cell_ID]],Registre[ID_Antenne],Registre[Province_RDC],"Non Trouvée")</f>
        <v>Kwango</v>
      </c>
      <c r="G383" t="str">
        <f>_xlfn.XLOOKUP(Logs_Reseau6[[#This Row],[Province]],Clients_Churn[Province_Client],Clients_Churn[ID_Client],"Aucun")</f>
        <v>CLI-00094</v>
      </c>
      <c r="H383" t="str">
        <f>_xlfn.XLOOKUP(Logs_Reseau6[[#This Row],[Cell_ID]],Registre[ID_Antenne],Registre[Technologie],"Rien à signaler")</f>
        <v>5G</v>
      </c>
      <c r="I383" t="str">
        <f>_xlfn.XLOOKUP(Logs_Reseau6[[#This Row],[Cell_ID]],Registre[ID_Antenne],Registre[Equipementier],"Non Trouvée")</f>
        <v>Ericsson</v>
      </c>
      <c r="J383" t="str">
        <f>_xlfn.XLOOKUP(Logs_Reseau6[[#This Row],[Id_Client]],Clients_Churn[ID_Client],Clients_Churn[Type_Forfait],"Pas d'information")</f>
        <v>Pro Monde</v>
      </c>
      <c r="K383" s="5" t="str">
        <f>IF(Logs_Reseau6[[#This Row],[Type_Forfait]]="Pro Monde","B2B","B2C")</f>
        <v>B2B</v>
      </c>
      <c r="L383" s="5">
        <f>_xlfn.XLOOKUP(Logs_Reseau6[[#This Row],[Id_Client]],Clients_Churn[ID_Client],Clients_Churn[Duree_Cumulee_Panne_Min],"Non Trouvée")</f>
        <v>493</v>
      </c>
      <c r="M383" s="5">
        <f>_xlfn.XLOOKUP(Logs_Reseau6[[#This Row],[Id_Client]],Clients_Churn[ID_Client],Clients_Churn[Anciennete_Mois],"Rien à signaler")</f>
        <v>29</v>
      </c>
      <c r="N383" s="11">
        <f>Logs_Reseau6[[#This Row],[Anciennette]]/24</f>
        <v>1.2083333333333333</v>
      </c>
      <c r="O383" s="1">
        <f>Logs_Reseau6[[#This Row],[Duree_Cumulée_Panne]]/1440</f>
        <v>0.34236111111111112</v>
      </c>
      <c r="P38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84" spans="1:16" x14ac:dyDescent="0.25">
      <c r="A384" s="2">
        <v>45210</v>
      </c>
      <c r="B384" s="1">
        <v>3.125E-2</v>
      </c>
      <c r="C384" t="s">
        <v>854</v>
      </c>
      <c r="D384">
        <v>63</v>
      </c>
      <c r="E384" t="s">
        <v>1305</v>
      </c>
      <c r="F384" t="str">
        <f>_xlfn.XLOOKUP(Logs_Reseau6[[#This Row],[Cell_ID]],Registre[ID_Antenne],Registre[Province_RDC],"Non Trouvée")</f>
        <v>Kwango</v>
      </c>
      <c r="G384" t="str">
        <f>_xlfn.XLOOKUP(Logs_Reseau6[[#This Row],[Province]],Clients_Churn[Province_Client],Clients_Churn[ID_Client],"Aucun")</f>
        <v>CLI-00094</v>
      </c>
      <c r="H384" t="str">
        <f>_xlfn.XLOOKUP(Logs_Reseau6[[#This Row],[Cell_ID]],Registre[ID_Antenne],Registre[Technologie],"Rien à signaler")</f>
        <v>5G</v>
      </c>
      <c r="I384" t="str">
        <f>_xlfn.XLOOKUP(Logs_Reseau6[[#This Row],[Cell_ID]],Registre[ID_Antenne],Registre[Equipementier],"Non Trouvée")</f>
        <v>Ericsson</v>
      </c>
      <c r="J384" t="str">
        <f>_xlfn.XLOOKUP(Logs_Reseau6[[#This Row],[Id_Client]],Clients_Churn[ID_Client],Clients_Churn[Type_Forfait],"Pas d'information")</f>
        <v>Pro Monde</v>
      </c>
      <c r="K384" s="5" t="str">
        <f>IF(Logs_Reseau6[[#This Row],[Type_Forfait]]="Pro Monde","B2B","B2C")</f>
        <v>B2B</v>
      </c>
      <c r="L384" s="5">
        <f>_xlfn.XLOOKUP(Logs_Reseau6[[#This Row],[Id_Client]],Clients_Churn[ID_Client],Clients_Churn[Duree_Cumulee_Panne_Min],"Non Trouvée")</f>
        <v>493</v>
      </c>
      <c r="M384" s="5">
        <f>_xlfn.XLOOKUP(Logs_Reseau6[[#This Row],[Id_Client]],Clients_Churn[ID_Client],Clients_Churn[Anciennete_Mois],"Rien à signaler")</f>
        <v>29</v>
      </c>
      <c r="N384" s="11">
        <f>Logs_Reseau6[[#This Row],[Anciennette]]/24</f>
        <v>1.2083333333333333</v>
      </c>
      <c r="O384" s="1">
        <f>Logs_Reseau6[[#This Row],[Duree_Cumulée_Panne]]/1440</f>
        <v>0.34236111111111112</v>
      </c>
      <c r="P38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85" spans="1:16" hidden="1" x14ac:dyDescent="0.25">
      <c r="A385" s="2">
        <v>45202</v>
      </c>
      <c r="B385" s="1">
        <v>0.45416666666666666</v>
      </c>
      <c r="C385" t="s">
        <v>1406</v>
      </c>
      <c r="D385">
        <v>89</v>
      </c>
      <c r="E385" t="s">
        <v>1305</v>
      </c>
      <c r="F385" t="str">
        <f>_xlfn.XLOOKUP(Logs_Reseau6[[#This Row],[Cell_ID]],Registre[ID_Antenne],Registre[Province_RDC],"Non Trouvée")</f>
        <v>Non Trouvée</v>
      </c>
      <c r="G385" t="str">
        <f>_xlfn.XLOOKUP(Logs_Reseau6[[#This Row],[Province]],Clients_Churn[Province_Client],Clients_Churn[ID_Client],"Aucun")</f>
        <v>Aucun</v>
      </c>
      <c r="H385" t="str">
        <f>_xlfn.XLOOKUP(Logs_Reseau6[[#This Row],[Cell_ID]],Registre[ID_Antenne],Registre[Technologie],"Rien à signaler")</f>
        <v>Rien à signaler</v>
      </c>
      <c r="I385" t="str">
        <f>_xlfn.XLOOKUP(Logs_Reseau6[[#This Row],[Cell_ID]],Registre[ID_Antenne],Registre[Equipementier],"Non Trouvée")</f>
        <v>Non Trouvée</v>
      </c>
      <c r="J385" t="str">
        <f>_xlfn.XLOOKUP(Logs_Reseau6[[#This Row],[Id_Client]],Clients_Churn[ID_Client],Clients_Churn[Type_Forfait],"Pas d'information")</f>
        <v>Pas d'information</v>
      </c>
      <c r="K385" s="5" t="str">
        <f>IF(Logs_Reseau6[[#This Row],[Type_Forfait]]="Pro Monde","B2B","B2C")</f>
        <v>B2C</v>
      </c>
      <c r="L385" s="5" t="str">
        <f>_xlfn.XLOOKUP(Logs_Reseau6[[#This Row],[Id_Client]],Clients_Churn[ID_Client],Clients_Churn[Duree_Cumulee_Panne_Min],"Non Trouvée")</f>
        <v>Non Trouvée</v>
      </c>
      <c r="M385" s="5" t="str">
        <f>_xlfn.XLOOKUP(Logs_Reseau6[[#This Row],[Id_Client]],Clients_Churn[ID_Client],Clients_Churn[Anciennete_Mois],"Rien à signaler")</f>
        <v>Rien à signaler</v>
      </c>
      <c r="N385" s="5" t="e">
        <f>Logs_Reseau6[[#This Row],[Anciennette]]/24</f>
        <v>#VALUE!</v>
      </c>
      <c r="O385" s="5" t="e">
        <f>Logs_Reseau6[[#This Row],[Duree_Cumulée_Panne]]/1440</f>
        <v>#VALUE!</v>
      </c>
      <c r="P38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86" spans="1:16" hidden="1" x14ac:dyDescent="0.25">
      <c r="A386" s="2">
        <v>45224</v>
      </c>
      <c r="B386" s="1">
        <v>0.81805555555555554</v>
      </c>
      <c r="C386" t="s">
        <v>1406</v>
      </c>
      <c r="D386">
        <v>5</v>
      </c>
      <c r="E386" t="s">
        <v>1305</v>
      </c>
      <c r="F386" t="str">
        <f>_xlfn.XLOOKUP(Logs_Reseau6[[#This Row],[Cell_ID]],Registre[ID_Antenne],Registre[Province_RDC],"Non Trouvée")</f>
        <v>Non Trouvée</v>
      </c>
      <c r="G386" t="str">
        <f>_xlfn.XLOOKUP(Logs_Reseau6[[#This Row],[Province]],Clients_Churn[Province_Client],Clients_Churn[ID_Client],"Aucun")</f>
        <v>Aucun</v>
      </c>
      <c r="H386" t="str">
        <f>_xlfn.XLOOKUP(Logs_Reseau6[[#This Row],[Cell_ID]],Registre[ID_Antenne],Registre[Technologie],"Rien à signaler")</f>
        <v>Rien à signaler</v>
      </c>
      <c r="I386" t="str">
        <f>_xlfn.XLOOKUP(Logs_Reseau6[[#This Row],[Cell_ID]],Registre[ID_Antenne],Registre[Equipementier],"Non Trouvée")</f>
        <v>Non Trouvée</v>
      </c>
      <c r="J386" t="str">
        <f>_xlfn.XLOOKUP(Logs_Reseau6[[#This Row],[Id_Client]],Clients_Churn[ID_Client],Clients_Churn[Type_Forfait],"Pas d'information")</f>
        <v>Pas d'information</v>
      </c>
      <c r="K386" s="5" t="str">
        <f>IF(Logs_Reseau6[[#This Row],[Type_Forfait]]="Pro Monde","B2B","B2C")</f>
        <v>B2C</v>
      </c>
      <c r="L386" s="5" t="str">
        <f>_xlfn.XLOOKUP(Logs_Reseau6[[#This Row],[Id_Client]],Clients_Churn[ID_Client],Clients_Churn[Duree_Cumulee_Panne_Min],"Non Trouvée")</f>
        <v>Non Trouvée</v>
      </c>
      <c r="M386" s="5" t="str">
        <f>_xlfn.XLOOKUP(Logs_Reseau6[[#This Row],[Id_Client]],Clients_Churn[ID_Client],Clients_Churn[Anciennete_Mois],"Rien à signaler")</f>
        <v>Rien à signaler</v>
      </c>
      <c r="N386" s="5" t="e">
        <f>Logs_Reseau6[[#This Row],[Anciennette]]/24</f>
        <v>#VALUE!</v>
      </c>
      <c r="O386" s="5" t="e">
        <f>Logs_Reseau6[[#This Row],[Duree_Cumulée_Panne]]/1440</f>
        <v>#VALUE!</v>
      </c>
      <c r="P38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87" spans="1:16" x14ac:dyDescent="0.25">
      <c r="A387" s="2">
        <v>45225</v>
      </c>
      <c r="B387" s="1">
        <v>0.21527777777777779</v>
      </c>
      <c r="C387" t="s">
        <v>839</v>
      </c>
      <c r="D387">
        <v>41</v>
      </c>
      <c r="E387" t="s">
        <v>1305</v>
      </c>
      <c r="F387" t="str">
        <f>_xlfn.XLOOKUP(Logs_Reseau6[[#This Row],[Cell_ID]],Registre[ID_Antenne],Registre[Province_RDC],"Non Trouvée")</f>
        <v>Mai-Ndombe</v>
      </c>
      <c r="G387" t="str">
        <f>_xlfn.XLOOKUP(Logs_Reseau6[[#This Row],[Province]],Clients_Churn[Province_Client],Clients_Churn[ID_Client],"Aucun")</f>
        <v>CLI-00090</v>
      </c>
      <c r="H387" t="str">
        <f>_xlfn.XLOOKUP(Logs_Reseau6[[#This Row],[Cell_ID]],Registre[ID_Antenne],Registre[Technologie],"Rien à signaler")</f>
        <v>4G</v>
      </c>
      <c r="I387" t="str">
        <f>_xlfn.XLOOKUP(Logs_Reseau6[[#This Row],[Cell_ID]],Registre[ID_Antenne],Registre[Equipementier],"Non Trouvée")</f>
        <v>Huawei</v>
      </c>
      <c r="J387" t="str">
        <f>_xlfn.XLOOKUP(Logs_Reseau6[[#This Row],[Id_Client]],Clients_Churn[ID_Client],Clients_Churn[Type_Forfait],"Pas d'information")</f>
        <v>Bloqué 5Go</v>
      </c>
      <c r="K387" s="5" t="str">
        <f>IF(Logs_Reseau6[[#This Row],[Type_Forfait]]="Pro Monde","B2B","B2C")</f>
        <v>B2C</v>
      </c>
      <c r="L387" s="5">
        <f>_xlfn.XLOOKUP(Logs_Reseau6[[#This Row],[Id_Client]],Clients_Churn[ID_Client],Clients_Churn[Duree_Cumulee_Panne_Min],"Non Trouvée")</f>
        <v>400</v>
      </c>
      <c r="M387" s="5">
        <f>_xlfn.XLOOKUP(Logs_Reseau6[[#This Row],[Id_Client]],Clients_Churn[ID_Client],Clients_Churn[Anciennete_Mois],"Rien à signaler")</f>
        <v>15</v>
      </c>
      <c r="N387" s="11">
        <f>Logs_Reseau6[[#This Row],[Anciennette]]/24</f>
        <v>0.625</v>
      </c>
      <c r="O387" s="1">
        <f>Logs_Reseau6[[#This Row],[Duree_Cumulée_Panne]]/1440</f>
        <v>0.27777777777777779</v>
      </c>
      <c r="P38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88" spans="1:16" hidden="1" x14ac:dyDescent="0.25">
      <c r="A388" s="2">
        <v>45225</v>
      </c>
      <c r="B388" s="1">
        <v>0.52777777777777779</v>
      </c>
      <c r="C388" t="s">
        <v>1535</v>
      </c>
      <c r="D388">
        <v>6</v>
      </c>
      <c r="E388" t="s">
        <v>1303</v>
      </c>
      <c r="F388" t="str">
        <f>_xlfn.XLOOKUP(Logs_Reseau6[[#This Row],[Cell_ID]],Registre[ID_Antenne],Registre[Province_RDC],"Non Trouvée")</f>
        <v>Non Trouvée</v>
      </c>
      <c r="G388" t="str">
        <f>_xlfn.XLOOKUP(Logs_Reseau6[[#This Row],[Province]],Clients_Churn[Province_Client],Clients_Churn[ID_Client],"Aucun")</f>
        <v>Aucun</v>
      </c>
      <c r="H388" t="str">
        <f>_xlfn.XLOOKUP(Logs_Reseau6[[#This Row],[Cell_ID]],Registre[ID_Antenne],Registre[Technologie],"Rien à signaler")</f>
        <v>Rien à signaler</v>
      </c>
      <c r="I388" t="str">
        <f>_xlfn.XLOOKUP(Logs_Reseau6[[#This Row],[Cell_ID]],Registre[ID_Antenne],Registre[Equipementier],"Non Trouvée")</f>
        <v>Non Trouvée</v>
      </c>
      <c r="J388" t="str">
        <f>_xlfn.XLOOKUP(Logs_Reseau6[[#This Row],[Id_Client]],Clients_Churn[ID_Client],Clients_Churn[Type_Forfait],"Pas d'information")</f>
        <v>Pas d'information</v>
      </c>
      <c r="K388" s="5" t="str">
        <f>IF(Logs_Reseau6[[#This Row],[Type_Forfait]]="Pro Monde","B2B","B2C")</f>
        <v>B2C</v>
      </c>
      <c r="L388" s="5" t="str">
        <f>_xlfn.XLOOKUP(Logs_Reseau6[[#This Row],[Id_Client]],Clients_Churn[ID_Client],Clients_Churn[Duree_Cumulee_Panne_Min],"Non Trouvée")</f>
        <v>Non Trouvée</v>
      </c>
      <c r="M388" s="5" t="str">
        <f>_xlfn.XLOOKUP(Logs_Reseau6[[#This Row],[Id_Client]],Clients_Churn[ID_Client],Clients_Churn[Anciennete_Mois],"Rien à signaler")</f>
        <v>Rien à signaler</v>
      </c>
      <c r="N388" s="5" t="e">
        <f>Logs_Reseau6[[#This Row],[Anciennette]]/24</f>
        <v>#VALUE!</v>
      </c>
      <c r="O388" s="5" t="e">
        <f>Logs_Reseau6[[#This Row],[Duree_Cumulée_Panne]]/1440</f>
        <v>#VALUE!</v>
      </c>
      <c r="P38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89" spans="1:16" hidden="1" x14ac:dyDescent="0.25">
      <c r="A389" s="2">
        <v>45225</v>
      </c>
      <c r="B389" s="1">
        <v>0.77847222222222223</v>
      </c>
      <c r="C389" t="s">
        <v>1443</v>
      </c>
      <c r="D389">
        <v>89</v>
      </c>
      <c r="E389" t="s">
        <v>1300</v>
      </c>
      <c r="F389" t="str">
        <f>_xlfn.XLOOKUP(Logs_Reseau6[[#This Row],[Cell_ID]],Registre[ID_Antenne],Registre[Province_RDC],"Non Trouvée")</f>
        <v>Non Trouvée</v>
      </c>
      <c r="G389" t="str">
        <f>_xlfn.XLOOKUP(Logs_Reseau6[[#This Row],[Province]],Clients_Churn[Province_Client],Clients_Churn[ID_Client],"Aucun")</f>
        <v>Aucun</v>
      </c>
      <c r="H389" t="str">
        <f>_xlfn.XLOOKUP(Logs_Reseau6[[#This Row],[Cell_ID]],Registre[ID_Antenne],Registre[Technologie],"Rien à signaler")</f>
        <v>Rien à signaler</v>
      </c>
      <c r="I389" t="str">
        <f>_xlfn.XLOOKUP(Logs_Reseau6[[#This Row],[Cell_ID]],Registre[ID_Antenne],Registre[Equipementier],"Non Trouvée")</f>
        <v>Non Trouvée</v>
      </c>
      <c r="J389" t="str">
        <f>_xlfn.XLOOKUP(Logs_Reseau6[[#This Row],[Id_Client]],Clients_Churn[ID_Client],Clients_Churn[Type_Forfait],"Pas d'information")</f>
        <v>Pas d'information</v>
      </c>
      <c r="K389" s="5" t="str">
        <f>IF(Logs_Reseau6[[#This Row],[Type_Forfait]]="Pro Monde","B2B","B2C")</f>
        <v>B2C</v>
      </c>
      <c r="L389" s="5" t="str">
        <f>_xlfn.XLOOKUP(Logs_Reseau6[[#This Row],[Id_Client]],Clients_Churn[ID_Client],Clients_Churn[Duree_Cumulee_Panne_Min],"Non Trouvée")</f>
        <v>Non Trouvée</v>
      </c>
      <c r="M389" s="5" t="str">
        <f>_xlfn.XLOOKUP(Logs_Reseau6[[#This Row],[Id_Client]],Clients_Churn[ID_Client],Clients_Churn[Anciennete_Mois],"Rien à signaler")</f>
        <v>Rien à signaler</v>
      </c>
      <c r="N389" s="5" t="e">
        <f>Logs_Reseau6[[#This Row],[Anciennette]]/24</f>
        <v>#VALUE!</v>
      </c>
      <c r="O389" s="5" t="e">
        <f>Logs_Reseau6[[#This Row],[Duree_Cumulée_Panne]]/1440</f>
        <v>#VALUE!</v>
      </c>
      <c r="P38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90" spans="1:16" hidden="1" x14ac:dyDescent="0.25">
      <c r="A390" s="2">
        <v>45225</v>
      </c>
      <c r="B390" s="1">
        <v>0.15972222222222221</v>
      </c>
      <c r="C390" t="s">
        <v>1373</v>
      </c>
      <c r="D390">
        <v>113</v>
      </c>
      <c r="E390" t="s">
        <v>1300</v>
      </c>
      <c r="F390" t="str">
        <f>_xlfn.XLOOKUP(Logs_Reseau6[[#This Row],[Cell_ID]],Registre[ID_Antenne],Registre[Province_RDC],"Non Trouvée")</f>
        <v>Non Trouvée</v>
      </c>
      <c r="G390" t="str">
        <f>_xlfn.XLOOKUP(Logs_Reseau6[[#This Row],[Province]],Clients_Churn[Province_Client],Clients_Churn[ID_Client],"Aucun")</f>
        <v>Aucun</v>
      </c>
      <c r="H390" t="str">
        <f>_xlfn.XLOOKUP(Logs_Reseau6[[#This Row],[Cell_ID]],Registre[ID_Antenne],Registre[Technologie],"Rien à signaler")</f>
        <v>Rien à signaler</v>
      </c>
      <c r="I390" t="str">
        <f>_xlfn.XLOOKUP(Logs_Reseau6[[#This Row],[Cell_ID]],Registre[ID_Antenne],Registre[Equipementier],"Non Trouvée")</f>
        <v>Non Trouvée</v>
      </c>
      <c r="J390" t="str">
        <f>_xlfn.XLOOKUP(Logs_Reseau6[[#This Row],[Id_Client]],Clients_Churn[ID_Client],Clients_Churn[Type_Forfait],"Pas d'information")</f>
        <v>Pas d'information</v>
      </c>
      <c r="K390" s="5" t="str">
        <f>IF(Logs_Reseau6[[#This Row],[Type_Forfait]]="Pro Monde","B2B","B2C")</f>
        <v>B2C</v>
      </c>
      <c r="L390" s="5" t="str">
        <f>_xlfn.XLOOKUP(Logs_Reseau6[[#This Row],[Id_Client]],Clients_Churn[ID_Client],Clients_Churn[Duree_Cumulee_Panne_Min],"Non Trouvée")</f>
        <v>Non Trouvée</v>
      </c>
      <c r="M390" s="5" t="str">
        <f>_xlfn.XLOOKUP(Logs_Reseau6[[#This Row],[Id_Client]],Clients_Churn[ID_Client],Clients_Churn[Anciennete_Mois],"Rien à signaler")</f>
        <v>Rien à signaler</v>
      </c>
      <c r="N390" s="5" t="e">
        <f>Logs_Reseau6[[#This Row],[Anciennette]]/24</f>
        <v>#VALUE!</v>
      </c>
      <c r="O390" s="5" t="e">
        <f>Logs_Reseau6[[#This Row],[Duree_Cumulée_Panne]]/1440</f>
        <v>#VALUE!</v>
      </c>
      <c r="P39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91" spans="1:16" x14ac:dyDescent="0.25">
      <c r="A391" s="2">
        <v>45216</v>
      </c>
      <c r="B391" s="1">
        <v>0.45763888888888887</v>
      </c>
      <c r="C391" t="s">
        <v>886</v>
      </c>
      <c r="D391">
        <v>39</v>
      </c>
      <c r="E391" t="s">
        <v>1300</v>
      </c>
      <c r="F391" t="str">
        <f>_xlfn.XLOOKUP(Logs_Reseau6[[#This Row],[Cell_ID]],Registre[ID_Antenne],Registre[Province_RDC],"Non Trouvée")</f>
        <v>Kasai-Central</v>
      </c>
      <c r="G391" t="str">
        <f>_xlfn.XLOOKUP(Logs_Reseau6[[#This Row],[Province]],Clients_Churn[Province_Client],Clients_Churn[ID_Client],"Aucun")</f>
        <v>CLI-00060</v>
      </c>
      <c r="H391" t="str">
        <f>_xlfn.XLOOKUP(Logs_Reseau6[[#This Row],[Cell_ID]],Registre[ID_Antenne],Registre[Technologie],"Rien à signaler")</f>
        <v>4G</v>
      </c>
      <c r="I391" t="str">
        <f>_xlfn.XLOOKUP(Logs_Reseau6[[#This Row],[Cell_ID]],Registre[ID_Antenne],Registre[Equipementier],"Non Trouvée")</f>
        <v>Ericsson</v>
      </c>
      <c r="J391" t="str">
        <f>_xlfn.XLOOKUP(Logs_Reseau6[[#This Row],[Id_Client]],Clients_Churn[ID_Client],Clients_Churn[Type_Forfait],"Pas d'information")</f>
        <v>Pro Monde</v>
      </c>
      <c r="K391" s="5" t="str">
        <f>IF(Logs_Reseau6[[#This Row],[Type_Forfait]]="Pro Monde","B2B","B2C")</f>
        <v>B2B</v>
      </c>
      <c r="L391" s="5">
        <f>_xlfn.XLOOKUP(Logs_Reseau6[[#This Row],[Id_Client]],Clients_Churn[ID_Client],Clients_Churn[Duree_Cumulee_Panne_Min],"Non Trouvée")</f>
        <v>160</v>
      </c>
      <c r="M391" s="5">
        <f>_xlfn.XLOOKUP(Logs_Reseau6[[#This Row],[Id_Client]],Clients_Churn[ID_Client],Clients_Churn[Anciennete_Mois],"Rien à signaler")</f>
        <v>72</v>
      </c>
      <c r="N391" s="11">
        <f>Logs_Reseau6[[#This Row],[Anciennette]]/24</f>
        <v>3</v>
      </c>
      <c r="O391" s="1">
        <f>Logs_Reseau6[[#This Row],[Duree_Cumulée_Panne]]/1440</f>
        <v>0.1111111111111111</v>
      </c>
      <c r="P39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392" spans="1:16" x14ac:dyDescent="0.25">
      <c r="A392" s="2">
        <v>45204</v>
      </c>
      <c r="B392" s="1">
        <v>0.90555555555555556</v>
      </c>
      <c r="C392" t="s">
        <v>1274</v>
      </c>
      <c r="D392">
        <v>61</v>
      </c>
      <c r="E392" t="s">
        <v>1300</v>
      </c>
      <c r="F392" t="str">
        <f>_xlfn.XLOOKUP(Logs_Reseau6[[#This Row],[Cell_ID]],Registre[ID_Antenne],Registre[Province_RDC],"Non Trouvée")</f>
        <v>Bas-Uele</v>
      </c>
      <c r="G392" t="str">
        <f>_xlfn.XLOOKUP(Logs_Reseau6[[#This Row],[Province]],Clients_Churn[Province_Client],Clients_Churn[ID_Client],"Aucun")</f>
        <v>CLI-00029</v>
      </c>
      <c r="H392" t="str">
        <f>_xlfn.XLOOKUP(Logs_Reseau6[[#This Row],[Cell_ID]],Registre[ID_Antenne],Registre[Technologie],"Rien à signaler")</f>
        <v>5G</v>
      </c>
      <c r="I392" t="str">
        <f>_xlfn.XLOOKUP(Logs_Reseau6[[#This Row],[Cell_ID]],Registre[ID_Antenne],Registre[Equipementier],"Non Trouvée")</f>
        <v>Ericsson</v>
      </c>
      <c r="J392" t="str">
        <f>_xlfn.XLOOKUP(Logs_Reseau6[[#This Row],[Id_Client]],Clients_Churn[ID_Client],Clients_Churn[Type_Forfait],"Pas d'information")</f>
        <v>Pro Monde</v>
      </c>
      <c r="K392" s="5" t="str">
        <f>IF(Logs_Reseau6[[#This Row],[Type_Forfait]]="Pro Monde","B2B","B2C")</f>
        <v>B2B</v>
      </c>
      <c r="L392" s="5">
        <f>_xlfn.XLOOKUP(Logs_Reseau6[[#This Row],[Id_Client]],Clients_Churn[ID_Client],Clients_Churn[Duree_Cumulee_Panne_Min],"Non Trouvée")</f>
        <v>344</v>
      </c>
      <c r="M392" s="5">
        <f>_xlfn.XLOOKUP(Logs_Reseau6[[#This Row],[Id_Client]],Clients_Churn[ID_Client],Clients_Churn[Anciennete_Mois],"Rien à signaler")</f>
        <v>119</v>
      </c>
      <c r="N392" s="11">
        <f>Logs_Reseau6[[#This Row],[Anciennette]]/24</f>
        <v>4.958333333333333</v>
      </c>
      <c r="O392" s="1">
        <f>Logs_Reseau6[[#This Row],[Duree_Cumulée_Panne]]/1440</f>
        <v>0.2388888888888889</v>
      </c>
      <c r="P39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93" spans="1:16" hidden="1" x14ac:dyDescent="0.25">
      <c r="A393" s="2">
        <v>45215</v>
      </c>
      <c r="B393" s="1">
        <v>0.75694444444444442</v>
      </c>
      <c r="C393" t="s">
        <v>1558</v>
      </c>
      <c r="D393">
        <v>24</v>
      </c>
      <c r="E393" t="s">
        <v>1305</v>
      </c>
      <c r="F393" t="str">
        <f>_xlfn.XLOOKUP(Logs_Reseau6[[#This Row],[Cell_ID]],Registre[ID_Antenne],Registre[Province_RDC],"Non Trouvée")</f>
        <v>Non Trouvée</v>
      </c>
      <c r="G393" t="str">
        <f>_xlfn.XLOOKUP(Logs_Reseau6[[#This Row],[Province]],Clients_Churn[Province_Client],Clients_Churn[ID_Client],"Aucun")</f>
        <v>Aucun</v>
      </c>
      <c r="H393" t="str">
        <f>_xlfn.XLOOKUP(Logs_Reseau6[[#This Row],[Cell_ID]],Registre[ID_Antenne],Registre[Technologie],"Rien à signaler")</f>
        <v>Rien à signaler</v>
      </c>
      <c r="I393" t="str">
        <f>_xlfn.XLOOKUP(Logs_Reseau6[[#This Row],[Cell_ID]],Registre[ID_Antenne],Registre[Equipementier],"Non Trouvée")</f>
        <v>Non Trouvée</v>
      </c>
      <c r="J393" t="str">
        <f>_xlfn.XLOOKUP(Logs_Reseau6[[#This Row],[Id_Client]],Clients_Churn[ID_Client],Clients_Churn[Type_Forfait],"Pas d'information")</f>
        <v>Pas d'information</v>
      </c>
      <c r="K393" s="5" t="str">
        <f>IF(Logs_Reseau6[[#This Row],[Type_Forfait]]="Pro Monde","B2B","B2C")</f>
        <v>B2C</v>
      </c>
      <c r="L393" s="5" t="str">
        <f>_xlfn.XLOOKUP(Logs_Reseau6[[#This Row],[Id_Client]],Clients_Churn[ID_Client],Clients_Churn[Duree_Cumulee_Panne_Min],"Non Trouvée")</f>
        <v>Non Trouvée</v>
      </c>
      <c r="M393" s="5" t="str">
        <f>_xlfn.XLOOKUP(Logs_Reseau6[[#This Row],[Id_Client]],Clients_Churn[ID_Client],Clients_Churn[Anciennete_Mois],"Rien à signaler")</f>
        <v>Rien à signaler</v>
      </c>
      <c r="N393" s="5" t="e">
        <f>Logs_Reseau6[[#This Row],[Anciennette]]/24</f>
        <v>#VALUE!</v>
      </c>
      <c r="O393" s="5" t="e">
        <f>Logs_Reseau6[[#This Row],[Duree_Cumulée_Panne]]/1440</f>
        <v>#VALUE!</v>
      </c>
      <c r="P39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94" spans="1:16" hidden="1" x14ac:dyDescent="0.25">
      <c r="A394" s="2">
        <v>45220</v>
      </c>
      <c r="B394" s="1">
        <v>0.8305555555555556</v>
      </c>
      <c r="C394" t="s">
        <v>1316</v>
      </c>
      <c r="D394">
        <v>59</v>
      </c>
      <c r="E394" t="s">
        <v>1305</v>
      </c>
      <c r="F394" t="str">
        <f>_xlfn.XLOOKUP(Logs_Reseau6[[#This Row],[Cell_ID]],Registre[ID_Antenne],Registre[Province_RDC],"Non Trouvée")</f>
        <v>Non Trouvée</v>
      </c>
      <c r="G394" t="str">
        <f>_xlfn.XLOOKUP(Logs_Reseau6[[#This Row],[Province]],Clients_Churn[Province_Client],Clients_Churn[ID_Client],"Aucun")</f>
        <v>Aucun</v>
      </c>
      <c r="H394" t="str">
        <f>_xlfn.XLOOKUP(Logs_Reseau6[[#This Row],[Cell_ID]],Registre[ID_Antenne],Registre[Technologie],"Rien à signaler")</f>
        <v>Rien à signaler</v>
      </c>
      <c r="I394" t="str">
        <f>_xlfn.XLOOKUP(Logs_Reseau6[[#This Row],[Cell_ID]],Registre[ID_Antenne],Registre[Equipementier],"Non Trouvée")</f>
        <v>Non Trouvée</v>
      </c>
      <c r="J394" t="str">
        <f>_xlfn.XLOOKUP(Logs_Reseau6[[#This Row],[Id_Client]],Clients_Churn[ID_Client],Clients_Churn[Type_Forfait],"Pas d'information")</f>
        <v>Pas d'information</v>
      </c>
      <c r="K394" s="5" t="str">
        <f>IF(Logs_Reseau6[[#This Row],[Type_Forfait]]="Pro Monde","B2B","B2C")</f>
        <v>B2C</v>
      </c>
      <c r="L394" s="5" t="str">
        <f>_xlfn.XLOOKUP(Logs_Reseau6[[#This Row],[Id_Client]],Clients_Churn[ID_Client],Clients_Churn[Duree_Cumulee_Panne_Min],"Non Trouvée")</f>
        <v>Non Trouvée</v>
      </c>
      <c r="M394" s="5" t="str">
        <f>_xlfn.XLOOKUP(Logs_Reseau6[[#This Row],[Id_Client]],Clients_Churn[ID_Client],Clients_Churn[Anciennete_Mois],"Rien à signaler")</f>
        <v>Rien à signaler</v>
      </c>
      <c r="N394" s="5" t="e">
        <f>Logs_Reseau6[[#This Row],[Anciennette]]/24</f>
        <v>#VALUE!</v>
      </c>
      <c r="O394" s="5" t="e">
        <f>Logs_Reseau6[[#This Row],[Duree_Cumulée_Panne]]/1440</f>
        <v>#VALUE!</v>
      </c>
      <c r="P39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95" spans="1:16" hidden="1" x14ac:dyDescent="0.25">
      <c r="A395" s="2">
        <v>45224</v>
      </c>
      <c r="B395" s="1">
        <v>0.45694444444444443</v>
      </c>
      <c r="C395" t="s">
        <v>1316</v>
      </c>
      <c r="D395">
        <v>32</v>
      </c>
      <c r="E395" t="s">
        <v>1300</v>
      </c>
      <c r="F395" t="str">
        <f>_xlfn.XLOOKUP(Logs_Reseau6[[#This Row],[Cell_ID]],Registre[ID_Antenne],Registre[Province_RDC],"Non Trouvée")</f>
        <v>Non Trouvée</v>
      </c>
      <c r="G395" t="str">
        <f>_xlfn.XLOOKUP(Logs_Reseau6[[#This Row],[Province]],Clients_Churn[Province_Client],Clients_Churn[ID_Client],"Aucun")</f>
        <v>Aucun</v>
      </c>
      <c r="H395" t="str">
        <f>_xlfn.XLOOKUP(Logs_Reseau6[[#This Row],[Cell_ID]],Registre[ID_Antenne],Registre[Technologie],"Rien à signaler")</f>
        <v>Rien à signaler</v>
      </c>
      <c r="I395" t="str">
        <f>_xlfn.XLOOKUP(Logs_Reseau6[[#This Row],[Cell_ID]],Registre[ID_Antenne],Registre[Equipementier],"Non Trouvée")</f>
        <v>Non Trouvée</v>
      </c>
      <c r="J395" t="str">
        <f>_xlfn.XLOOKUP(Logs_Reseau6[[#This Row],[Id_Client]],Clients_Churn[ID_Client],Clients_Churn[Type_Forfait],"Pas d'information")</f>
        <v>Pas d'information</v>
      </c>
      <c r="K395" s="5" t="str">
        <f>IF(Logs_Reseau6[[#This Row],[Type_Forfait]]="Pro Monde","B2B","B2C")</f>
        <v>B2C</v>
      </c>
      <c r="L395" s="5" t="str">
        <f>_xlfn.XLOOKUP(Logs_Reseau6[[#This Row],[Id_Client]],Clients_Churn[ID_Client],Clients_Churn[Duree_Cumulee_Panne_Min],"Non Trouvée")</f>
        <v>Non Trouvée</v>
      </c>
      <c r="M395" s="5" t="str">
        <f>_xlfn.XLOOKUP(Logs_Reseau6[[#This Row],[Id_Client]],Clients_Churn[ID_Client],Clients_Churn[Anciennete_Mois],"Rien à signaler")</f>
        <v>Rien à signaler</v>
      </c>
      <c r="N395" s="5" t="e">
        <f>Logs_Reseau6[[#This Row],[Anciennette]]/24</f>
        <v>#VALUE!</v>
      </c>
      <c r="O395" s="5" t="e">
        <f>Logs_Reseau6[[#This Row],[Duree_Cumulée_Panne]]/1440</f>
        <v>#VALUE!</v>
      </c>
      <c r="P39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96" spans="1:16" hidden="1" x14ac:dyDescent="0.25">
      <c r="A396" s="2">
        <v>45208</v>
      </c>
      <c r="B396" s="1">
        <v>0.66249999999999998</v>
      </c>
      <c r="C396" t="s">
        <v>1594</v>
      </c>
      <c r="D396">
        <v>104</v>
      </c>
      <c r="E396" t="s">
        <v>1305</v>
      </c>
      <c r="F396" t="str">
        <f>_xlfn.XLOOKUP(Logs_Reseau6[[#This Row],[Cell_ID]],Registre[ID_Antenne],Registre[Province_RDC],"Non Trouvée")</f>
        <v>Non Trouvée</v>
      </c>
      <c r="G396" t="str">
        <f>_xlfn.XLOOKUP(Logs_Reseau6[[#This Row],[Province]],Clients_Churn[Province_Client],Clients_Churn[ID_Client],"Aucun")</f>
        <v>Aucun</v>
      </c>
      <c r="H396" t="str">
        <f>_xlfn.XLOOKUP(Logs_Reseau6[[#This Row],[Cell_ID]],Registre[ID_Antenne],Registre[Technologie],"Rien à signaler")</f>
        <v>Rien à signaler</v>
      </c>
      <c r="I396" t="str">
        <f>_xlfn.XLOOKUP(Logs_Reseau6[[#This Row],[Cell_ID]],Registre[ID_Antenne],Registre[Equipementier],"Non Trouvée")</f>
        <v>Non Trouvée</v>
      </c>
      <c r="J396" t="str">
        <f>_xlfn.XLOOKUP(Logs_Reseau6[[#This Row],[Id_Client]],Clients_Churn[ID_Client],Clients_Churn[Type_Forfait],"Pas d'information")</f>
        <v>Pas d'information</v>
      </c>
      <c r="K396" s="5" t="str">
        <f>IF(Logs_Reseau6[[#This Row],[Type_Forfait]]="Pro Monde","B2B","B2C")</f>
        <v>B2C</v>
      </c>
      <c r="L396" s="5" t="str">
        <f>_xlfn.XLOOKUP(Logs_Reseau6[[#This Row],[Id_Client]],Clients_Churn[ID_Client],Clients_Churn[Duree_Cumulee_Panne_Min],"Non Trouvée")</f>
        <v>Non Trouvée</v>
      </c>
      <c r="M396" s="5" t="str">
        <f>_xlfn.XLOOKUP(Logs_Reseau6[[#This Row],[Id_Client]],Clients_Churn[ID_Client],Clients_Churn[Anciennete_Mois],"Rien à signaler")</f>
        <v>Rien à signaler</v>
      </c>
      <c r="N396" s="5" t="e">
        <f>Logs_Reseau6[[#This Row],[Anciennette]]/24</f>
        <v>#VALUE!</v>
      </c>
      <c r="O396" s="5" t="e">
        <f>Logs_Reseau6[[#This Row],[Duree_Cumulée_Panne]]/1440</f>
        <v>#VALUE!</v>
      </c>
      <c r="P39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397" spans="1:16" x14ac:dyDescent="0.25">
      <c r="A397" s="2">
        <v>45225</v>
      </c>
      <c r="B397" s="1">
        <v>0.94861111111111107</v>
      </c>
      <c r="C397" t="s">
        <v>914</v>
      </c>
      <c r="D397">
        <v>30</v>
      </c>
      <c r="E397" t="s">
        <v>1300</v>
      </c>
      <c r="F397" t="str">
        <f>_xlfn.XLOOKUP(Logs_Reseau6[[#This Row],[Cell_ID]],Registre[ID_Antenne],Registre[Province_RDC],"Non Trouvée")</f>
        <v>Kwango</v>
      </c>
      <c r="G397" t="str">
        <f>_xlfn.XLOOKUP(Logs_Reseau6[[#This Row],[Province]],Clients_Churn[Province_Client],Clients_Churn[ID_Client],"Aucun")</f>
        <v>CLI-00094</v>
      </c>
      <c r="H397" t="str">
        <f>_xlfn.XLOOKUP(Logs_Reseau6[[#This Row],[Cell_ID]],Registre[ID_Antenne],Registre[Technologie],"Rien à signaler")</f>
        <v>4G</v>
      </c>
      <c r="I397" t="str">
        <f>_xlfn.XLOOKUP(Logs_Reseau6[[#This Row],[Cell_ID]],Registre[ID_Antenne],Registre[Equipementier],"Non Trouvée")</f>
        <v>Ericsson</v>
      </c>
      <c r="J397" t="str">
        <f>_xlfn.XLOOKUP(Logs_Reseau6[[#This Row],[Id_Client]],Clients_Churn[ID_Client],Clients_Churn[Type_Forfait],"Pas d'information")</f>
        <v>Pro Monde</v>
      </c>
      <c r="K397" s="5" t="str">
        <f>IF(Logs_Reseau6[[#This Row],[Type_Forfait]]="Pro Monde","B2B","B2C")</f>
        <v>B2B</v>
      </c>
      <c r="L397" s="5">
        <f>_xlfn.XLOOKUP(Logs_Reseau6[[#This Row],[Id_Client]],Clients_Churn[ID_Client],Clients_Churn[Duree_Cumulee_Panne_Min],"Non Trouvée")</f>
        <v>493</v>
      </c>
      <c r="M397" s="5">
        <f>_xlfn.XLOOKUP(Logs_Reseau6[[#This Row],[Id_Client]],Clients_Churn[ID_Client],Clients_Churn[Anciennete_Mois],"Rien à signaler")</f>
        <v>29</v>
      </c>
      <c r="N397" s="11">
        <f>Logs_Reseau6[[#This Row],[Anciennette]]/24</f>
        <v>1.2083333333333333</v>
      </c>
      <c r="O397" s="1">
        <f>Logs_Reseau6[[#This Row],[Duree_Cumulée_Panne]]/1440</f>
        <v>0.34236111111111112</v>
      </c>
      <c r="P39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98" spans="1:16" x14ac:dyDescent="0.25">
      <c r="A398" s="2">
        <v>45216</v>
      </c>
      <c r="B398" s="1">
        <v>0.9604166666666667</v>
      </c>
      <c r="C398" t="s">
        <v>1222</v>
      </c>
      <c r="D398">
        <v>41</v>
      </c>
      <c r="E398" t="s">
        <v>1303</v>
      </c>
      <c r="F398" t="str">
        <f>_xlfn.XLOOKUP(Logs_Reseau6[[#This Row],[Cell_ID]],Registre[ID_Antenne],Registre[Province_RDC],"Non Trouvée")</f>
        <v>Mai-Ndombe</v>
      </c>
      <c r="G398" t="str">
        <f>_xlfn.XLOOKUP(Logs_Reseau6[[#This Row],[Province]],Clients_Churn[Province_Client],Clients_Churn[ID_Client],"Aucun")</f>
        <v>CLI-00090</v>
      </c>
      <c r="H398" t="str">
        <f>_xlfn.XLOOKUP(Logs_Reseau6[[#This Row],[Cell_ID]],Registre[ID_Antenne],Registre[Technologie],"Rien à signaler")</f>
        <v>3G</v>
      </c>
      <c r="I398" t="str">
        <f>_xlfn.XLOOKUP(Logs_Reseau6[[#This Row],[Cell_ID]],Registre[ID_Antenne],Registre[Equipementier],"Non Trouvée")</f>
        <v>Huawei</v>
      </c>
      <c r="J398" t="str">
        <f>_xlfn.XLOOKUP(Logs_Reseau6[[#This Row],[Id_Client]],Clients_Churn[ID_Client],Clients_Churn[Type_Forfait],"Pas d'information")</f>
        <v>Bloqué 5Go</v>
      </c>
      <c r="K398" s="5" t="str">
        <f>IF(Logs_Reseau6[[#This Row],[Type_Forfait]]="Pro Monde","B2B","B2C")</f>
        <v>B2C</v>
      </c>
      <c r="L398" s="5">
        <f>_xlfn.XLOOKUP(Logs_Reseau6[[#This Row],[Id_Client]],Clients_Churn[ID_Client],Clients_Churn[Duree_Cumulee_Panne_Min],"Non Trouvée")</f>
        <v>400</v>
      </c>
      <c r="M398" s="5">
        <f>_xlfn.XLOOKUP(Logs_Reseau6[[#This Row],[Id_Client]],Clients_Churn[ID_Client],Clients_Churn[Anciennete_Mois],"Rien à signaler")</f>
        <v>15</v>
      </c>
      <c r="N398" s="11">
        <f>Logs_Reseau6[[#This Row],[Anciennette]]/24</f>
        <v>0.625</v>
      </c>
      <c r="O398" s="1">
        <f>Logs_Reseau6[[#This Row],[Duree_Cumulée_Panne]]/1440</f>
        <v>0.27777777777777779</v>
      </c>
      <c r="P39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399" spans="1:16" hidden="1" x14ac:dyDescent="0.25">
      <c r="A399" s="2">
        <v>45207</v>
      </c>
      <c r="B399" s="1">
        <v>0.90833333333333333</v>
      </c>
      <c r="C399" t="s">
        <v>1497</v>
      </c>
      <c r="D399">
        <v>103</v>
      </c>
      <c r="E399" t="s">
        <v>1300</v>
      </c>
      <c r="F399" t="str">
        <f>_xlfn.XLOOKUP(Logs_Reseau6[[#This Row],[Cell_ID]],Registre[ID_Antenne],Registre[Province_RDC],"Non Trouvée")</f>
        <v>Non Trouvée</v>
      </c>
      <c r="G399" t="str">
        <f>_xlfn.XLOOKUP(Logs_Reseau6[[#This Row],[Province]],Clients_Churn[Province_Client],Clients_Churn[ID_Client],"Aucun")</f>
        <v>Aucun</v>
      </c>
      <c r="H399" t="str">
        <f>_xlfn.XLOOKUP(Logs_Reseau6[[#This Row],[Cell_ID]],Registre[ID_Antenne],Registre[Technologie],"Rien à signaler")</f>
        <v>Rien à signaler</v>
      </c>
      <c r="I399" t="str">
        <f>_xlfn.XLOOKUP(Logs_Reseau6[[#This Row],[Cell_ID]],Registre[ID_Antenne],Registre[Equipementier],"Non Trouvée")</f>
        <v>Non Trouvée</v>
      </c>
      <c r="J399" t="str">
        <f>_xlfn.XLOOKUP(Logs_Reseau6[[#This Row],[Id_Client]],Clients_Churn[ID_Client],Clients_Churn[Type_Forfait],"Pas d'information")</f>
        <v>Pas d'information</v>
      </c>
      <c r="K399" s="5" t="str">
        <f>IF(Logs_Reseau6[[#This Row],[Type_Forfait]]="Pro Monde","B2B","B2C")</f>
        <v>B2C</v>
      </c>
      <c r="L399" s="5" t="str">
        <f>_xlfn.XLOOKUP(Logs_Reseau6[[#This Row],[Id_Client]],Clients_Churn[ID_Client],Clients_Churn[Duree_Cumulee_Panne_Min],"Non Trouvée")</f>
        <v>Non Trouvée</v>
      </c>
      <c r="M399" s="5" t="str">
        <f>_xlfn.XLOOKUP(Logs_Reseau6[[#This Row],[Id_Client]],Clients_Churn[ID_Client],Clients_Churn[Anciennete_Mois],"Rien à signaler")</f>
        <v>Rien à signaler</v>
      </c>
      <c r="N399" s="5" t="e">
        <f>Logs_Reseau6[[#This Row],[Anciennette]]/24</f>
        <v>#VALUE!</v>
      </c>
      <c r="O399" s="5" t="e">
        <f>Logs_Reseau6[[#This Row],[Duree_Cumulée_Panne]]/1440</f>
        <v>#VALUE!</v>
      </c>
      <c r="P39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00" spans="1:16" hidden="1" x14ac:dyDescent="0.25">
      <c r="A400" s="2">
        <v>45201</v>
      </c>
      <c r="B400" s="1">
        <v>0.85902777777777772</v>
      </c>
      <c r="C400" t="s">
        <v>1602</v>
      </c>
      <c r="D400">
        <v>26</v>
      </c>
      <c r="E400" t="s">
        <v>1303</v>
      </c>
      <c r="F400" t="str">
        <f>_xlfn.XLOOKUP(Logs_Reseau6[[#This Row],[Cell_ID]],Registre[ID_Antenne],Registre[Province_RDC],"Non Trouvée")</f>
        <v>Non Trouvée</v>
      </c>
      <c r="G400" t="str">
        <f>_xlfn.XLOOKUP(Logs_Reseau6[[#This Row],[Province]],Clients_Churn[Province_Client],Clients_Churn[ID_Client],"Aucun")</f>
        <v>Aucun</v>
      </c>
      <c r="H400" t="str">
        <f>_xlfn.XLOOKUP(Logs_Reseau6[[#This Row],[Cell_ID]],Registre[ID_Antenne],Registre[Technologie],"Rien à signaler")</f>
        <v>Rien à signaler</v>
      </c>
      <c r="I400" t="str">
        <f>_xlfn.XLOOKUP(Logs_Reseau6[[#This Row],[Cell_ID]],Registre[ID_Antenne],Registre[Equipementier],"Non Trouvée")</f>
        <v>Non Trouvée</v>
      </c>
      <c r="J400" t="str">
        <f>_xlfn.XLOOKUP(Logs_Reseau6[[#This Row],[Id_Client]],Clients_Churn[ID_Client],Clients_Churn[Type_Forfait],"Pas d'information")</f>
        <v>Pas d'information</v>
      </c>
      <c r="K400" s="5" t="str">
        <f>IF(Logs_Reseau6[[#This Row],[Type_Forfait]]="Pro Monde","B2B","B2C")</f>
        <v>B2C</v>
      </c>
      <c r="L400" s="5" t="str">
        <f>_xlfn.XLOOKUP(Logs_Reseau6[[#This Row],[Id_Client]],Clients_Churn[ID_Client],Clients_Churn[Duree_Cumulee_Panne_Min],"Non Trouvée")</f>
        <v>Non Trouvée</v>
      </c>
      <c r="M400" s="5" t="str">
        <f>_xlfn.XLOOKUP(Logs_Reseau6[[#This Row],[Id_Client]],Clients_Churn[ID_Client],Clients_Churn[Anciennete_Mois],"Rien à signaler")</f>
        <v>Rien à signaler</v>
      </c>
      <c r="N400" s="5" t="e">
        <f>Logs_Reseau6[[#This Row],[Anciennette]]/24</f>
        <v>#VALUE!</v>
      </c>
      <c r="O400" s="5" t="e">
        <f>Logs_Reseau6[[#This Row],[Duree_Cumulée_Panne]]/1440</f>
        <v>#VALUE!</v>
      </c>
      <c r="P40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01" spans="1:16" x14ac:dyDescent="0.25">
      <c r="A401" s="2">
        <v>45202</v>
      </c>
      <c r="B401" s="1">
        <v>0.71736111111111112</v>
      </c>
      <c r="C401" t="s">
        <v>1064</v>
      </c>
      <c r="D401">
        <v>115</v>
      </c>
      <c r="E401" t="s">
        <v>1305</v>
      </c>
      <c r="F401" t="str">
        <f>_xlfn.XLOOKUP(Logs_Reseau6[[#This Row],[Cell_ID]],Registre[ID_Antenne],Registre[Province_RDC],"Non Trouvée")</f>
        <v>Tanganyika</v>
      </c>
      <c r="G401" t="str">
        <f>_xlfn.XLOOKUP(Logs_Reseau6[[#This Row],[Province]],Clients_Churn[Province_Client],Clients_Churn[ID_Client],"Aucun")</f>
        <v>CLI-00007</v>
      </c>
      <c r="H401" t="str">
        <f>_xlfn.XLOOKUP(Logs_Reseau6[[#This Row],[Cell_ID]],Registre[ID_Antenne],Registre[Technologie],"Rien à signaler")</f>
        <v>5G</v>
      </c>
      <c r="I401" t="str">
        <f>_xlfn.XLOOKUP(Logs_Reseau6[[#This Row],[Cell_ID]],Registre[ID_Antenne],Registre[Equipementier],"Non Trouvée")</f>
        <v>Ericsson</v>
      </c>
      <c r="J401" t="str">
        <f>_xlfn.XLOOKUP(Logs_Reseau6[[#This Row],[Id_Client]],Clients_Churn[ID_Client],Clients_Churn[Type_Forfait],"Pas d'information")</f>
        <v>Bloqué 5Go</v>
      </c>
      <c r="K401" s="5" t="str">
        <f>IF(Logs_Reseau6[[#This Row],[Type_Forfait]]="Pro Monde","B2B","B2C")</f>
        <v>B2C</v>
      </c>
      <c r="L401" s="5">
        <f>_xlfn.XLOOKUP(Logs_Reseau6[[#This Row],[Id_Client]],Clients_Churn[ID_Client],Clients_Churn[Duree_Cumulee_Panne_Min],"Non Trouvée")</f>
        <v>112</v>
      </c>
      <c r="M401" s="5">
        <f>_xlfn.XLOOKUP(Logs_Reseau6[[#This Row],[Id_Client]],Clients_Churn[ID_Client],Clients_Churn[Anciennete_Mois],"Rien à signaler")</f>
        <v>110</v>
      </c>
      <c r="N401" s="11">
        <f>Logs_Reseau6[[#This Row],[Anciennette]]/24</f>
        <v>4.583333333333333</v>
      </c>
      <c r="O401" s="1">
        <f>Logs_Reseau6[[#This Row],[Duree_Cumulée_Panne]]/1440</f>
        <v>7.7777777777777779E-2</v>
      </c>
      <c r="P40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02" spans="1:16" x14ac:dyDescent="0.25">
      <c r="A402" s="2">
        <v>45205</v>
      </c>
      <c r="B402" s="1">
        <v>0.47430555555555554</v>
      </c>
      <c r="C402" t="s">
        <v>1233</v>
      </c>
      <c r="D402">
        <v>25</v>
      </c>
      <c r="E402" t="s">
        <v>1300</v>
      </c>
      <c r="F402" t="str">
        <f>_xlfn.XLOOKUP(Logs_Reseau6[[#This Row],[Cell_ID]],Registre[ID_Antenne],Registre[Province_RDC],"Non Trouvée")</f>
        <v>Haut-Uele</v>
      </c>
      <c r="G402" t="str">
        <f>_xlfn.XLOOKUP(Logs_Reseau6[[#This Row],[Province]],Clients_Churn[Province_Client],Clients_Churn[ID_Client],"Aucun")</f>
        <v>CLI-00055</v>
      </c>
      <c r="H402" t="str">
        <f>_xlfn.XLOOKUP(Logs_Reseau6[[#This Row],[Cell_ID]],Registre[ID_Antenne],Registre[Technologie],"Rien à signaler")</f>
        <v>5G</v>
      </c>
      <c r="I402" t="str">
        <f>_xlfn.XLOOKUP(Logs_Reseau6[[#This Row],[Cell_ID]],Registre[ID_Antenne],Registre[Equipementier],"Non Trouvée")</f>
        <v>Huawei</v>
      </c>
      <c r="J402" t="str">
        <f>_xlfn.XLOOKUP(Logs_Reseau6[[#This Row],[Id_Client]],Clients_Churn[ID_Client],Clients_Churn[Type_Forfait],"Pas d'information")</f>
        <v>Pro Monde</v>
      </c>
      <c r="K402" s="5" t="str">
        <f>IF(Logs_Reseau6[[#This Row],[Type_Forfait]]="Pro Monde","B2B","B2C")</f>
        <v>B2B</v>
      </c>
      <c r="L402" s="5">
        <f>_xlfn.XLOOKUP(Logs_Reseau6[[#This Row],[Id_Client]],Clients_Churn[ID_Client],Clients_Churn[Duree_Cumulee_Panne_Min],"Non Trouvée")</f>
        <v>206</v>
      </c>
      <c r="M402" s="5">
        <f>_xlfn.XLOOKUP(Logs_Reseau6[[#This Row],[Id_Client]],Clients_Churn[ID_Client],Clients_Churn[Anciennete_Mois],"Rien à signaler")</f>
        <v>6</v>
      </c>
      <c r="N402" s="11">
        <f>Logs_Reseau6[[#This Row],[Anciennette]]/24</f>
        <v>0.25</v>
      </c>
      <c r="O402" s="1">
        <f>Logs_Reseau6[[#This Row],[Duree_Cumulée_Panne]]/1440</f>
        <v>0.14305555555555555</v>
      </c>
      <c r="P40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03" spans="1:16" x14ac:dyDescent="0.25">
      <c r="A403" s="2">
        <v>45225</v>
      </c>
      <c r="B403" s="1">
        <v>0.62569444444444444</v>
      </c>
      <c r="C403" t="s">
        <v>1155</v>
      </c>
      <c r="D403">
        <v>108</v>
      </c>
      <c r="E403" t="s">
        <v>1305</v>
      </c>
      <c r="F403" t="str">
        <f>_xlfn.XLOOKUP(Logs_Reseau6[[#This Row],[Cell_ID]],Registre[ID_Antenne],Registre[Province_RDC],"Non Trouvée")</f>
        <v>Sud-Ubangi</v>
      </c>
      <c r="G403" t="str">
        <f>_xlfn.XLOOKUP(Logs_Reseau6[[#This Row],[Province]],Clients_Churn[Province_Client],Clients_Churn[ID_Client],"Aucun")</f>
        <v>CLI-00070</v>
      </c>
      <c r="H403" t="str">
        <f>_xlfn.XLOOKUP(Logs_Reseau6[[#This Row],[Cell_ID]],Registre[ID_Antenne],Registre[Technologie],"Rien à signaler")</f>
        <v>5G</v>
      </c>
      <c r="I403" t="str">
        <f>_xlfn.XLOOKUP(Logs_Reseau6[[#This Row],[Cell_ID]],Registre[ID_Antenne],Registre[Equipementier],"Non Trouvée")</f>
        <v>ZTE</v>
      </c>
      <c r="J403" t="str">
        <f>_xlfn.XLOOKUP(Logs_Reseau6[[#This Row],[Id_Client]],Clients_Churn[ID_Client],Clients_Churn[Type_Forfait],"Pas d'information")</f>
        <v>Illimité 50Go</v>
      </c>
      <c r="K403" s="5" t="str">
        <f>IF(Logs_Reseau6[[#This Row],[Type_Forfait]]="Pro Monde","B2B","B2C")</f>
        <v>B2C</v>
      </c>
      <c r="L403" s="5">
        <f>_xlfn.XLOOKUP(Logs_Reseau6[[#This Row],[Id_Client]],Clients_Churn[ID_Client],Clients_Churn[Duree_Cumulee_Panne_Min],"Non Trouvée")</f>
        <v>119</v>
      </c>
      <c r="M403" s="5">
        <f>_xlfn.XLOOKUP(Logs_Reseau6[[#This Row],[Id_Client]],Clients_Churn[ID_Client],Clients_Churn[Anciennete_Mois],"Rien à signaler")</f>
        <v>52</v>
      </c>
      <c r="N403" s="11">
        <f>Logs_Reseau6[[#This Row],[Anciennette]]/24</f>
        <v>2.1666666666666665</v>
      </c>
      <c r="O403" s="1">
        <f>Logs_Reseau6[[#This Row],[Duree_Cumulée_Panne]]/1440</f>
        <v>8.2638888888888887E-2</v>
      </c>
      <c r="P40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04" spans="1:16" hidden="1" x14ac:dyDescent="0.25">
      <c r="A404" s="2">
        <v>45209</v>
      </c>
      <c r="B404" s="1">
        <v>0.98888888888888893</v>
      </c>
      <c r="C404" t="s">
        <v>1547</v>
      </c>
      <c r="D404">
        <v>80</v>
      </c>
      <c r="E404" t="s">
        <v>1303</v>
      </c>
      <c r="F404" t="str">
        <f>_xlfn.XLOOKUP(Logs_Reseau6[[#This Row],[Cell_ID]],Registre[ID_Antenne],Registre[Province_RDC],"Non Trouvée")</f>
        <v>Non Trouvée</v>
      </c>
      <c r="G404" t="str">
        <f>_xlfn.XLOOKUP(Logs_Reseau6[[#This Row],[Province]],Clients_Churn[Province_Client],Clients_Churn[ID_Client],"Aucun")</f>
        <v>Aucun</v>
      </c>
      <c r="H404" t="str">
        <f>_xlfn.XLOOKUP(Logs_Reseau6[[#This Row],[Cell_ID]],Registre[ID_Antenne],Registre[Technologie],"Rien à signaler")</f>
        <v>Rien à signaler</v>
      </c>
      <c r="I404" t="str">
        <f>_xlfn.XLOOKUP(Logs_Reseau6[[#This Row],[Cell_ID]],Registre[ID_Antenne],Registre[Equipementier],"Non Trouvée")</f>
        <v>Non Trouvée</v>
      </c>
      <c r="J404" t="str">
        <f>_xlfn.XLOOKUP(Logs_Reseau6[[#This Row],[Id_Client]],Clients_Churn[ID_Client],Clients_Churn[Type_Forfait],"Pas d'information")</f>
        <v>Pas d'information</v>
      </c>
      <c r="K404" s="5" t="str">
        <f>IF(Logs_Reseau6[[#This Row],[Type_Forfait]]="Pro Monde","B2B","B2C")</f>
        <v>B2C</v>
      </c>
      <c r="L404" s="5" t="str">
        <f>_xlfn.XLOOKUP(Logs_Reseau6[[#This Row],[Id_Client]],Clients_Churn[ID_Client],Clients_Churn[Duree_Cumulee_Panne_Min],"Non Trouvée")</f>
        <v>Non Trouvée</v>
      </c>
      <c r="M404" s="5" t="str">
        <f>_xlfn.XLOOKUP(Logs_Reseau6[[#This Row],[Id_Client]],Clients_Churn[ID_Client],Clients_Churn[Anciennete_Mois],"Rien à signaler")</f>
        <v>Rien à signaler</v>
      </c>
      <c r="N404" s="5" t="e">
        <f>Logs_Reseau6[[#This Row],[Anciennette]]/24</f>
        <v>#VALUE!</v>
      </c>
      <c r="O404" s="5" t="e">
        <f>Logs_Reseau6[[#This Row],[Duree_Cumulée_Panne]]/1440</f>
        <v>#VALUE!</v>
      </c>
      <c r="P40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05" spans="1:16" hidden="1" x14ac:dyDescent="0.25">
      <c r="A405" s="2">
        <v>45209</v>
      </c>
      <c r="B405" s="1">
        <v>0.18333333333333332</v>
      </c>
      <c r="C405" t="s">
        <v>1551</v>
      </c>
      <c r="D405">
        <v>81</v>
      </c>
      <c r="E405" t="s">
        <v>1303</v>
      </c>
      <c r="F405" t="str">
        <f>_xlfn.XLOOKUP(Logs_Reseau6[[#This Row],[Cell_ID]],Registre[ID_Antenne],Registre[Province_RDC],"Non Trouvée")</f>
        <v>Non Trouvée</v>
      </c>
      <c r="G405" t="str">
        <f>_xlfn.XLOOKUP(Logs_Reseau6[[#This Row],[Province]],Clients_Churn[Province_Client],Clients_Churn[ID_Client],"Aucun")</f>
        <v>Aucun</v>
      </c>
      <c r="H405" t="str">
        <f>_xlfn.XLOOKUP(Logs_Reseau6[[#This Row],[Cell_ID]],Registre[ID_Antenne],Registre[Technologie],"Rien à signaler")</f>
        <v>Rien à signaler</v>
      </c>
      <c r="I405" t="str">
        <f>_xlfn.XLOOKUP(Logs_Reseau6[[#This Row],[Cell_ID]],Registre[ID_Antenne],Registre[Equipementier],"Non Trouvée")</f>
        <v>Non Trouvée</v>
      </c>
      <c r="J405" t="str">
        <f>_xlfn.XLOOKUP(Logs_Reseau6[[#This Row],[Id_Client]],Clients_Churn[ID_Client],Clients_Churn[Type_Forfait],"Pas d'information")</f>
        <v>Pas d'information</v>
      </c>
      <c r="K405" s="5" t="str">
        <f>IF(Logs_Reseau6[[#This Row],[Type_Forfait]]="Pro Monde","B2B","B2C")</f>
        <v>B2C</v>
      </c>
      <c r="L405" s="5" t="str">
        <f>_xlfn.XLOOKUP(Logs_Reseau6[[#This Row],[Id_Client]],Clients_Churn[ID_Client],Clients_Churn[Duree_Cumulee_Panne_Min],"Non Trouvée")</f>
        <v>Non Trouvée</v>
      </c>
      <c r="M405" s="5" t="str">
        <f>_xlfn.XLOOKUP(Logs_Reseau6[[#This Row],[Id_Client]],Clients_Churn[ID_Client],Clients_Churn[Anciennete_Mois],"Rien à signaler")</f>
        <v>Rien à signaler</v>
      </c>
      <c r="N405" s="5" t="e">
        <f>Logs_Reseau6[[#This Row],[Anciennette]]/24</f>
        <v>#VALUE!</v>
      </c>
      <c r="O405" s="5" t="e">
        <f>Logs_Reseau6[[#This Row],[Duree_Cumulée_Panne]]/1440</f>
        <v>#VALUE!</v>
      </c>
      <c r="P40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06" spans="1:16" hidden="1" x14ac:dyDescent="0.25">
      <c r="A406" s="2">
        <v>45223</v>
      </c>
      <c r="B406" s="1">
        <v>0.54861111111111116</v>
      </c>
      <c r="C406" t="s">
        <v>1551</v>
      </c>
      <c r="D406">
        <v>19</v>
      </c>
      <c r="E406" t="s">
        <v>1303</v>
      </c>
      <c r="F406" t="str">
        <f>_xlfn.XLOOKUP(Logs_Reseau6[[#This Row],[Cell_ID]],Registre[ID_Antenne],Registre[Province_RDC],"Non Trouvée")</f>
        <v>Non Trouvée</v>
      </c>
      <c r="G406" t="str">
        <f>_xlfn.XLOOKUP(Logs_Reseau6[[#This Row],[Province]],Clients_Churn[Province_Client],Clients_Churn[ID_Client],"Aucun")</f>
        <v>Aucun</v>
      </c>
      <c r="H406" t="str">
        <f>_xlfn.XLOOKUP(Logs_Reseau6[[#This Row],[Cell_ID]],Registre[ID_Antenne],Registre[Technologie],"Rien à signaler")</f>
        <v>Rien à signaler</v>
      </c>
      <c r="I406" t="str">
        <f>_xlfn.XLOOKUP(Logs_Reseau6[[#This Row],[Cell_ID]],Registre[ID_Antenne],Registre[Equipementier],"Non Trouvée")</f>
        <v>Non Trouvée</v>
      </c>
      <c r="J406" t="str">
        <f>_xlfn.XLOOKUP(Logs_Reseau6[[#This Row],[Id_Client]],Clients_Churn[ID_Client],Clients_Churn[Type_Forfait],"Pas d'information")</f>
        <v>Pas d'information</v>
      </c>
      <c r="K406" s="5" t="str">
        <f>IF(Logs_Reseau6[[#This Row],[Type_Forfait]]="Pro Monde","B2B","B2C")</f>
        <v>B2C</v>
      </c>
      <c r="L406" s="5" t="str">
        <f>_xlfn.XLOOKUP(Logs_Reseau6[[#This Row],[Id_Client]],Clients_Churn[ID_Client],Clients_Churn[Duree_Cumulee_Panne_Min],"Non Trouvée")</f>
        <v>Non Trouvée</v>
      </c>
      <c r="M406" s="5" t="str">
        <f>_xlfn.XLOOKUP(Logs_Reseau6[[#This Row],[Id_Client]],Clients_Churn[ID_Client],Clients_Churn[Anciennete_Mois],"Rien à signaler")</f>
        <v>Rien à signaler</v>
      </c>
      <c r="N406" s="5" t="e">
        <f>Logs_Reseau6[[#This Row],[Anciennette]]/24</f>
        <v>#VALUE!</v>
      </c>
      <c r="O406" s="5" t="e">
        <f>Logs_Reseau6[[#This Row],[Duree_Cumulée_Panne]]/1440</f>
        <v>#VALUE!</v>
      </c>
      <c r="P40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07" spans="1:16" x14ac:dyDescent="0.25">
      <c r="A407" s="2">
        <v>45220</v>
      </c>
      <c r="B407" s="1">
        <v>0.58402777777777781</v>
      </c>
      <c r="C407" t="s">
        <v>840</v>
      </c>
      <c r="D407">
        <v>92</v>
      </c>
      <c r="E407" t="s">
        <v>1305</v>
      </c>
      <c r="F407" t="str">
        <f>_xlfn.XLOOKUP(Logs_Reseau6[[#This Row],[Cell_ID]],Registre[ID_Antenne],Registre[Province_RDC],"Non Trouvée")</f>
        <v>Nord-Ubangi</v>
      </c>
      <c r="G407" t="str">
        <f>_xlfn.XLOOKUP(Logs_Reseau6[[#This Row],[Province]],Clients_Churn[Province_Client],Clients_Churn[ID_Client],"Aucun")</f>
        <v>CLI-00112</v>
      </c>
      <c r="H407" t="str">
        <f>_xlfn.XLOOKUP(Logs_Reseau6[[#This Row],[Cell_ID]],Registre[ID_Antenne],Registre[Technologie],"Rien à signaler")</f>
        <v>4G</v>
      </c>
      <c r="I407" t="str">
        <f>_xlfn.XLOOKUP(Logs_Reseau6[[#This Row],[Cell_ID]],Registre[ID_Antenne],Registre[Equipementier],"Non Trouvée")</f>
        <v>Nokia</v>
      </c>
      <c r="J407" t="str">
        <f>_xlfn.XLOOKUP(Logs_Reseau6[[#This Row],[Id_Client]],Clients_Churn[ID_Client],Clients_Churn[Type_Forfait],"Pas d'information")</f>
        <v>Bloqué 5Go</v>
      </c>
      <c r="K407" s="5" t="str">
        <f>IF(Logs_Reseau6[[#This Row],[Type_Forfait]]="Pro Monde","B2B","B2C")</f>
        <v>B2C</v>
      </c>
      <c r="L407" s="5">
        <f>_xlfn.XLOOKUP(Logs_Reseau6[[#This Row],[Id_Client]],Clients_Churn[ID_Client],Clients_Churn[Duree_Cumulee_Panne_Min],"Non Trouvée")</f>
        <v>52</v>
      </c>
      <c r="M407" s="5">
        <f>_xlfn.XLOOKUP(Logs_Reseau6[[#This Row],[Id_Client]],Clients_Churn[ID_Client],Clients_Churn[Anciennete_Mois],"Rien à signaler")</f>
        <v>98</v>
      </c>
      <c r="N407" s="11">
        <f>Logs_Reseau6[[#This Row],[Anciennette]]/24</f>
        <v>4.083333333333333</v>
      </c>
      <c r="O407" s="1">
        <f>Logs_Reseau6[[#This Row],[Duree_Cumulée_Panne]]/1440</f>
        <v>3.6111111111111108E-2</v>
      </c>
      <c r="P40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08" spans="1:16" hidden="1" x14ac:dyDescent="0.25">
      <c r="A408" s="2">
        <v>45202</v>
      </c>
      <c r="B408" s="1">
        <v>0.44305555555555554</v>
      </c>
      <c r="C408" t="s">
        <v>1479</v>
      </c>
      <c r="D408">
        <v>43</v>
      </c>
      <c r="E408" t="s">
        <v>1300</v>
      </c>
      <c r="F408" t="str">
        <f>_xlfn.XLOOKUP(Logs_Reseau6[[#This Row],[Cell_ID]],Registre[ID_Antenne],Registre[Province_RDC],"Non Trouvée")</f>
        <v>Non Trouvée</v>
      </c>
      <c r="G408" t="str">
        <f>_xlfn.XLOOKUP(Logs_Reseau6[[#This Row],[Province]],Clients_Churn[Province_Client],Clients_Churn[ID_Client],"Aucun")</f>
        <v>Aucun</v>
      </c>
      <c r="H408" t="str">
        <f>_xlfn.XLOOKUP(Logs_Reseau6[[#This Row],[Cell_ID]],Registre[ID_Antenne],Registre[Technologie],"Rien à signaler")</f>
        <v>Rien à signaler</v>
      </c>
      <c r="I408" t="str">
        <f>_xlfn.XLOOKUP(Logs_Reseau6[[#This Row],[Cell_ID]],Registre[ID_Antenne],Registre[Equipementier],"Non Trouvée")</f>
        <v>Non Trouvée</v>
      </c>
      <c r="J408" t="str">
        <f>_xlfn.XLOOKUP(Logs_Reseau6[[#This Row],[Id_Client]],Clients_Churn[ID_Client],Clients_Churn[Type_Forfait],"Pas d'information")</f>
        <v>Pas d'information</v>
      </c>
      <c r="K408" s="5" t="str">
        <f>IF(Logs_Reseau6[[#This Row],[Type_Forfait]]="Pro Monde","B2B","B2C")</f>
        <v>B2C</v>
      </c>
      <c r="L408" s="5" t="str">
        <f>_xlfn.XLOOKUP(Logs_Reseau6[[#This Row],[Id_Client]],Clients_Churn[ID_Client],Clients_Churn[Duree_Cumulee_Panne_Min],"Non Trouvée")</f>
        <v>Non Trouvée</v>
      </c>
      <c r="M408" s="5" t="str">
        <f>_xlfn.XLOOKUP(Logs_Reseau6[[#This Row],[Id_Client]],Clients_Churn[ID_Client],Clients_Churn[Anciennete_Mois],"Rien à signaler")</f>
        <v>Rien à signaler</v>
      </c>
      <c r="N408" s="5" t="e">
        <f>Logs_Reseau6[[#This Row],[Anciennette]]/24</f>
        <v>#VALUE!</v>
      </c>
      <c r="O408" s="5" t="e">
        <f>Logs_Reseau6[[#This Row],[Duree_Cumulée_Panne]]/1440</f>
        <v>#VALUE!</v>
      </c>
      <c r="P40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09" spans="1:16" hidden="1" x14ac:dyDescent="0.25">
      <c r="A409" s="2">
        <v>45209</v>
      </c>
      <c r="B409" s="1">
        <v>0.78194444444444444</v>
      </c>
      <c r="C409" t="s">
        <v>1479</v>
      </c>
      <c r="D409">
        <v>10</v>
      </c>
      <c r="E409" t="s">
        <v>1303</v>
      </c>
      <c r="F409" t="str">
        <f>_xlfn.XLOOKUP(Logs_Reseau6[[#This Row],[Cell_ID]],Registre[ID_Antenne],Registre[Province_RDC],"Non Trouvée")</f>
        <v>Non Trouvée</v>
      </c>
      <c r="G409" t="str">
        <f>_xlfn.XLOOKUP(Logs_Reseau6[[#This Row],[Province]],Clients_Churn[Province_Client],Clients_Churn[ID_Client],"Aucun")</f>
        <v>Aucun</v>
      </c>
      <c r="H409" t="str">
        <f>_xlfn.XLOOKUP(Logs_Reseau6[[#This Row],[Cell_ID]],Registre[ID_Antenne],Registre[Technologie],"Rien à signaler")</f>
        <v>Rien à signaler</v>
      </c>
      <c r="I409" t="str">
        <f>_xlfn.XLOOKUP(Logs_Reseau6[[#This Row],[Cell_ID]],Registre[ID_Antenne],Registre[Equipementier],"Non Trouvée")</f>
        <v>Non Trouvée</v>
      </c>
      <c r="J409" t="str">
        <f>_xlfn.XLOOKUP(Logs_Reseau6[[#This Row],[Id_Client]],Clients_Churn[ID_Client],Clients_Churn[Type_Forfait],"Pas d'information")</f>
        <v>Pas d'information</v>
      </c>
      <c r="K409" s="5" t="str">
        <f>IF(Logs_Reseau6[[#This Row],[Type_Forfait]]="Pro Monde","B2B","B2C")</f>
        <v>B2C</v>
      </c>
      <c r="L409" s="5" t="str">
        <f>_xlfn.XLOOKUP(Logs_Reseau6[[#This Row],[Id_Client]],Clients_Churn[ID_Client],Clients_Churn[Duree_Cumulee_Panne_Min],"Non Trouvée")</f>
        <v>Non Trouvée</v>
      </c>
      <c r="M409" s="5" t="str">
        <f>_xlfn.XLOOKUP(Logs_Reseau6[[#This Row],[Id_Client]],Clients_Churn[ID_Client],Clients_Churn[Anciennete_Mois],"Rien à signaler")</f>
        <v>Rien à signaler</v>
      </c>
      <c r="N409" s="5" t="e">
        <f>Logs_Reseau6[[#This Row],[Anciennette]]/24</f>
        <v>#VALUE!</v>
      </c>
      <c r="O409" s="5" t="e">
        <f>Logs_Reseau6[[#This Row],[Duree_Cumulée_Panne]]/1440</f>
        <v>#VALUE!</v>
      </c>
      <c r="P40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10" spans="1:16" hidden="1" x14ac:dyDescent="0.25">
      <c r="A410" s="2">
        <v>45219</v>
      </c>
      <c r="B410" s="1">
        <v>0.45347222222222222</v>
      </c>
      <c r="C410" t="s">
        <v>1479</v>
      </c>
      <c r="D410">
        <v>52</v>
      </c>
      <c r="E410" t="s">
        <v>1303</v>
      </c>
      <c r="F410" t="str">
        <f>_xlfn.XLOOKUP(Logs_Reseau6[[#This Row],[Cell_ID]],Registre[ID_Antenne],Registre[Province_RDC],"Non Trouvée")</f>
        <v>Non Trouvée</v>
      </c>
      <c r="G410" t="str">
        <f>_xlfn.XLOOKUP(Logs_Reseau6[[#This Row],[Province]],Clients_Churn[Province_Client],Clients_Churn[ID_Client],"Aucun")</f>
        <v>Aucun</v>
      </c>
      <c r="H410" t="str">
        <f>_xlfn.XLOOKUP(Logs_Reseau6[[#This Row],[Cell_ID]],Registre[ID_Antenne],Registre[Technologie],"Rien à signaler")</f>
        <v>Rien à signaler</v>
      </c>
      <c r="I410" t="str">
        <f>_xlfn.XLOOKUP(Logs_Reseau6[[#This Row],[Cell_ID]],Registre[ID_Antenne],Registre[Equipementier],"Non Trouvée")</f>
        <v>Non Trouvée</v>
      </c>
      <c r="J410" t="str">
        <f>_xlfn.XLOOKUP(Logs_Reseau6[[#This Row],[Id_Client]],Clients_Churn[ID_Client],Clients_Churn[Type_Forfait],"Pas d'information")</f>
        <v>Pas d'information</v>
      </c>
      <c r="K410" s="5" t="str">
        <f>IF(Logs_Reseau6[[#This Row],[Type_Forfait]]="Pro Monde","B2B","B2C")</f>
        <v>B2C</v>
      </c>
      <c r="L410" s="5" t="str">
        <f>_xlfn.XLOOKUP(Logs_Reseau6[[#This Row],[Id_Client]],Clients_Churn[ID_Client],Clients_Churn[Duree_Cumulee_Panne_Min],"Non Trouvée")</f>
        <v>Non Trouvée</v>
      </c>
      <c r="M410" s="5" t="str">
        <f>_xlfn.XLOOKUP(Logs_Reseau6[[#This Row],[Id_Client]],Clients_Churn[ID_Client],Clients_Churn[Anciennete_Mois],"Rien à signaler")</f>
        <v>Rien à signaler</v>
      </c>
      <c r="N410" s="5" t="e">
        <f>Logs_Reseau6[[#This Row],[Anciennette]]/24</f>
        <v>#VALUE!</v>
      </c>
      <c r="O410" s="5" t="e">
        <f>Logs_Reseau6[[#This Row],[Duree_Cumulée_Panne]]/1440</f>
        <v>#VALUE!</v>
      </c>
      <c r="P41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11" spans="1:16" hidden="1" x14ac:dyDescent="0.25">
      <c r="A411" s="2">
        <v>45220</v>
      </c>
      <c r="B411" s="1">
        <v>0.55138888888888893</v>
      </c>
      <c r="C411" t="s">
        <v>1565</v>
      </c>
      <c r="D411">
        <v>6</v>
      </c>
      <c r="E411" t="s">
        <v>1300</v>
      </c>
      <c r="F411" t="str">
        <f>_xlfn.XLOOKUP(Logs_Reseau6[[#This Row],[Cell_ID]],Registre[ID_Antenne],Registre[Province_RDC],"Non Trouvée")</f>
        <v>Non Trouvée</v>
      </c>
      <c r="G411" t="str">
        <f>_xlfn.XLOOKUP(Logs_Reseau6[[#This Row],[Province]],Clients_Churn[Province_Client],Clients_Churn[ID_Client],"Aucun")</f>
        <v>Aucun</v>
      </c>
      <c r="H411" t="str">
        <f>_xlfn.XLOOKUP(Logs_Reseau6[[#This Row],[Cell_ID]],Registre[ID_Antenne],Registre[Technologie],"Rien à signaler")</f>
        <v>Rien à signaler</v>
      </c>
      <c r="I411" t="str">
        <f>_xlfn.XLOOKUP(Logs_Reseau6[[#This Row],[Cell_ID]],Registre[ID_Antenne],Registre[Equipementier],"Non Trouvée")</f>
        <v>Non Trouvée</v>
      </c>
      <c r="J411" t="str">
        <f>_xlfn.XLOOKUP(Logs_Reseau6[[#This Row],[Id_Client]],Clients_Churn[ID_Client],Clients_Churn[Type_Forfait],"Pas d'information")</f>
        <v>Pas d'information</v>
      </c>
      <c r="K411" s="5" t="str">
        <f>IF(Logs_Reseau6[[#This Row],[Type_Forfait]]="Pro Monde","B2B","B2C")</f>
        <v>B2C</v>
      </c>
      <c r="L411" s="5" t="str">
        <f>_xlfn.XLOOKUP(Logs_Reseau6[[#This Row],[Id_Client]],Clients_Churn[ID_Client],Clients_Churn[Duree_Cumulee_Panne_Min],"Non Trouvée")</f>
        <v>Non Trouvée</v>
      </c>
      <c r="M411" s="5" t="str">
        <f>_xlfn.XLOOKUP(Logs_Reseau6[[#This Row],[Id_Client]],Clients_Churn[ID_Client],Clients_Churn[Anciennete_Mois],"Rien à signaler")</f>
        <v>Rien à signaler</v>
      </c>
      <c r="N411" s="5" t="e">
        <f>Logs_Reseau6[[#This Row],[Anciennette]]/24</f>
        <v>#VALUE!</v>
      </c>
      <c r="O411" s="5" t="e">
        <f>Logs_Reseau6[[#This Row],[Duree_Cumulée_Panne]]/1440</f>
        <v>#VALUE!</v>
      </c>
      <c r="P41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12" spans="1:16" x14ac:dyDescent="0.25">
      <c r="A412" s="2">
        <v>45200</v>
      </c>
      <c r="B412" s="1">
        <v>0.57013888888888886</v>
      </c>
      <c r="C412" t="s">
        <v>1185</v>
      </c>
      <c r="D412">
        <v>53</v>
      </c>
      <c r="E412" t="s">
        <v>1305</v>
      </c>
      <c r="F412" t="str">
        <f>_xlfn.XLOOKUP(Logs_Reseau6[[#This Row],[Cell_ID]],Registre[ID_Antenne],Registre[Province_RDC],"Non Trouvée")</f>
        <v>Kongo-Central</v>
      </c>
      <c r="G412" t="str">
        <f>_xlfn.XLOOKUP(Logs_Reseau6[[#This Row],[Province]],Clients_Churn[Province_Client],Clients_Churn[ID_Client],"Aucun")</f>
        <v>CLI-00012</v>
      </c>
      <c r="H412" t="str">
        <f>_xlfn.XLOOKUP(Logs_Reseau6[[#This Row],[Cell_ID]],Registre[ID_Antenne],Registre[Technologie],"Rien à signaler")</f>
        <v>4G</v>
      </c>
      <c r="I412" t="str">
        <f>_xlfn.XLOOKUP(Logs_Reseau6[[#This Row],[Cell_ID]],Registre[ID_Antenne],Registre[Equipementier],"Non Trouvée")</f>
        <v>ZTE</v>
      </c>
      <c r="J412" t="str">
        <f>_xlfn.XLOOKUP(Logs_Reseau6[[#This Row],[Id_Client]],Clients_Churn[ID_Client],Clients_Churn[Type_Forfait],"Pas d'information")</f>
        <v>Illimité 50Go</v>
      </c>
      <c r="K412" s="5" t="str">
        <f>IF(Logs_Reseau6[[#This Row],[Type_Forfait]]="Pro Monde","B2B","B2C")</f>
        <v>B2C</v>
      </c>
      <c r="L412" s="5">
        <f>_xlfn.XLOOKUP(Logs_Reseau6[[#This Row],[Id_Client]],Clients_Churn[ID_Client],Clients_Churn[Duree_Cumulee_Panne_Min],"Non Trouvée")</f>
        <v>172</v>
      </c>
      <c r="M412" s="5">
        <f>_xlfn.XLOOKUP(Logs_Reseau6[[#This Row],[Id_Client]],Clients_Churn[ID_Client],Clients_Churn[Anciennete_Mois],"Rien à signaler")</f>
        <v>105</v>
      </c>
      <c r="N412" s="11">
        <f>Logs_Reseau6[[#This Row],[Anciennette]]/24</f>
        <v>4.375</v>
      </c>
      <c r="O412" s="1">
        <f>Logs_Reseau6[[#This Row],[Duree_Cumulée_Panne]]/1440</f>
        <v>0.11944444444444445</v>
      </c>
      <c r="P41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13" spans="1:16" hidden="1" x14ac:dyDescent="0.25">
      <c r="A413" s="2">
        <v>45205</v>
      </c>
      <c r="B413" s="1">
        <v>0.79374999999999996</v>
      </c>
      <c r="C413" t="s">
        <v>1439</v>
      </c>
      <c r="D413">
        <v>99</v>
      </c>
      <c r="E413" t="s">
        <v>1303</v>
      </c>
      <c r="F413" t="str">
        <f>_xlfn.XLOOKUP(Logs_Reseau6[[#This Row],[Cell_ID]],Registre[ID_Antenne],Registre[Province_RDC],"Non Trouvée")</f>
        <v>Non Trouvée</v>
      </c>
      <c r="G413" t="str">
        <f>_xlfn.XLOOKUP(Logs_Reseau6[[#This Row],[Province]],Clients_Churn[Province_Client],Clients_Churn[ID_Client],"Aucun")</f>
        <v>Aucun</v>
      </c>
      <c r="H413" t="str">
        <f>_xlfn.XLOOKUP(Logs_Reseau6[[#This Row],[Cell_ID]],Registre[ID_Antenne],Registre[Technologie],"Rien à signaler")</f>
        <v>Rien à signaler</v>
      </c>
      <c r="I413" t="str">
        <f>_xlfn.XLOOKUP(Logs_Reseau6[[#This Row],[Cell_ID]],Registre[ID_Antenne],Registre[Equipementier],"Non Trouvée")</f>
        <v>Non Trouvée</v>
      </c>
      <c r="J413" t="str">
        <f>_xlfn.XLOOKUP(Logs_Reseau6[[#This Row],[Id_Client]],Clients_Churn[ID_Client],Clients_Churn[Type_Forfait],"Pas d'information")</f>
        <v>Pas d'information</v>
      </c>
      <c r="K413" s="5" t="str">
        <f>IF(Logs_Reseau6[[#This Row],[Type_Forfait]]="Pro Monde","B2B","B2C")</f>
        <v>B2C</v>
      </c>
      <c r="L413" s="5" t="str">
        <f>_xlfn.XLOOKUP(Logs_Reseau6[[#This Row],[Id_Client]],Clients_Churn[ID_Client],Clients_Churn[Duree_Cumulee_Panne_Min],"Non Trouvée")</f>
        <v>Non Trouvée</v>
      </c>
      <c r="M413" s="5" t="str">
        <f>_xlfn.XLOOKUP(Logs_Reseau6[[#This Row],[Id_Client]],Clients_Churn[ID_Client],Clients_Churn[Anciennete_Mois],"Rien à signaler")</f>
        <v>Rien à signaler</v>
      </c>
      <c r="N413" s="5" t="e">
        <f>Logs_Reseau6[[#This Row],[Anciennette]]/24</f>
        <v>#VALUE!</v>
      </c>
      <c r="O413" s="5" t="e">
        <f>Logs_Reseau6[[#This Row],[Duree_Cumulée_Panne]]/1440</f>
        <v>#VALUE!</v>
      </c>
      <c r="P41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14" spans="1:16" x14ac:dyDescent="0.25">
      <c r="A414" s="2">
        <v>45215</v>
      </c>
      <c r="B414" s="1">
        <v>0.58750000000000002</v>
      </c>
      <c r="C414" t="s">
        <v>853</v>
      </c>
      <c r="D414">
        <v>24</v>
      </c>
      <c r="E414" t="s">
        <v>1303</v>
      </c>
      <c r="F414" t="str">
        <f>_xlfn.XLOOKUP(Logs_Reseau6[[#This Row],[Cell_ID]],Registre[ID_Antenne],Registre[Province_RDC],"Non Trouvée")</f>
        <v>Maniema</v>
      </c>
      <c r="G414" t="str">
        <f>_xlfn.XLOOKUP(Logs_Reseau6[[#This Row],[Province]],Clients_Churn[Province_Client],Clients_Churn[ID_Client],"Aucun")</f>
        <v>CLI-00039</v>
      </c>
      <c r="H414" t="str">
        <f>_xlfn.XLOOKUP(Logs_Reseau6[[#This Row],[Cell_ID]],Registre[ID_Antenne],Registre[Technologie],"Rien à signaler")</f>
        <v>5G</v>
      </c>
      <c r="I414" t="str">
        <f>_xlfn.XLOOKUP(Logs_Reseau6[[#This Row],[Cell_ID]],Registre[ID_Antenne],Registre[Equipementier],"Non Trouvée")</f>
        <v>ZTE</v>
      </c>
      <c r="J414" t="str">
        <f>_xlfn.XLOOKUP(Logs_Reseau6[[#This Row],[Id_Client]],Clients_Churn[ID_Client],Clients_Churn[Type_Forfait],"Pas d'information")</f>
        <v>Pro Monde</v>
      </c>
      <c r="K414" s="5" t="str">
        <f>IF(Logs_Reseau6[[#This Row],[Type_Forfait]]="Pro Monde","B2B","B2C")</f>
        <v>B2B</v>
      </c>
      <c r="L414" s="5">
        <f>_xlfn.XLOOKUP(Logs_Reseau6[[#This Row],[Id_Client]],Clients_Churn[ID_Client],Clients_Churn[Duree_Cumulee_Panne_Min],"Non Trouvée")</f>
        <v>31</v>
      </c>
      <c r="M414" s="5">
        <f>_xlfn.XLOOKUP(Logs_Reseau6[[#This Row],[Id_Client]],Clients_Churn[ID_Client],Clients_Churn[Anciennete_Mois],"Rien à signaler")</f>
        <v>119</v>
      </c>
      <c r="N414" s="11">
        <f>Logs_Reseau6[[#This Row],[Anciennette]]/24</f>
        <v>4.958333333333333</v>
      </c>
      <c r="O414" s="1">
        <f>Logs_Reseau6[[#This Row],[Duree_Cumulée_Panne]]/1440</f>
        <v>2.1527777777777778E-2</v>
      </c>
      <c r="P41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15" spans="1:16" x14ac:dyDescent="0.25">
      <c r="A415" s="2">
        <v>45215</v>
      </c>
      <c r="B415" s="1">
        <v>4.9305555555555554E-2</v>
      </c>
      <c r="C415" t="s">
        <v>853</v>
      </c>
      <c r="D415">
        <v>33</v>
      </c>
      <c r="E415" t="s">
        <v>1303</v>
      </c>
      <c r="F415" t="str">
        <f>_xlfn.XLOOKUP(Logs_Reseau6[[#This Row],[Cell_ID]],Registre[ID_Antenne],Registre[Province_RDC],"Non Trouvée")</f>
        <v>Maniema</v>
      </c>
      <c r="G415" t="str">
        <f>_xlfn.XLOOKUP(Logs_Reseau6[[#This Row],[Province]],Clients_Churn[Province_Client],Clients_Churn[ID_Client],"Aucun")</f>
        <v>CLI-00039</v>
      </c>
      <c r="H415" t="str">
        <f>_xlfn.XLOOKUP(Logs_Reseau6[[#This Row],[Cell_ID]],Registre[ID_Antenne],Registre[Technologie],"Rien à signaler")</f>
        <v>5G</v>
      </c>
      <c r="I415" t="str">
        <f>_xlfn.XLOOKUP(Logs_Reseau6[[#This Row],[Cell_ID]],Registre[ID_Antenne],Registre[Equipementier],"Non Trouvée")</f>
        <v>ZTE</v>
      </c>
      <c r="J415" t="str">
        <f>_xlfn.XLOOKUP(Logs_Reseau6[[#This Row],[Id_Client]],Clients_Churn[ID_Client],Clients_Churn[Type_Forfait],"Pas d'information")</f>
        <v>Pro Monde</v>
      </c>
      <c r="K415" s="5" t="str">
        <f>IF(Logs_Reseau6[[#This Row],[Type_Forfait]]="Pro Monde","B2B","B2C")</f>
        <v>B2B</v>
      </c>
      <c r="L415" s="5">
        <f>_xlfn.XLOOKUP(Logs_Reseau6[[#This Row],[Id_Client]],Clients_Churn[ID_Client],Clients_Churn[Duree_Cumulee_Panne_Min],"Non Trouvée")</f>
        <v>31</v>
      </c>
      <c r="M415" s="5">
        <f>_xlfn.XLOOKUP(Logs_Reseau6[[#This Row],[Id_Client]],Clients_Churn[ID_Client],Clients_Churn[Anciennete_Mois],"Rien à signaler")</f>
        <v>119</v>
      </c>
      <c r="N415" s="11">
        <f>Logs_Reseau6[[#This Row],[Anciennette]]/24</f>
        <v>4.958333333333333</v>
      </c>
      <c r="O415" s="1">
        <f>Logs_Reseau6[[#This Row],[Duree_Cumulée_Panne]]/1440</f>
        <v>2.1527777777777778E-2</v>
      </c>
      <c r="P41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16" spans="1:16" x14ac:dyDescent="0.25">
      <c r="A416" s="2">
        <v>45223</v>
      </c>
      <c r="B416" s="1">
        <v>0.45069444444444445</v>
      </c>
      <c r="C416" t="s">
        <v>1133</v>
      </c>
      <c r="D416">
        <v>14</v>
      </c>
      <c r="E416" t="s">
        <v>1305</v>
      </c>
      <c r="F416" t="str">
        <f>_xlfn.XLOOKUP(Logs_Reseau6[[#This Row],[Cell_ID]],Registre[ID_Antenne],Registre[Province_RDC],"Non Trouvée")</f>
        <v>Tshuapa</v>
      </c>
      <c r="G416" t="str">
        <f>_xlfn.XLOOKUP(Logs_Reseau6[[#This Row],[Province]],Clients_Churn[Province_Client],Clients_Churn[ID_Client],"Aucun")</f>
        <v>CLI-00033</v>
      </c>
      <c r="H416" t="str">
        <f>_xlfn.XLOOKUP(Logs_Reseau6[[#This Row],[Cell_ID]],Registre[ID_Antenne],Registre[Technologie],"Rien à signaler")</f>
        <v>3G</v>
      </c>
      <c r="I416" t="str">
        <f>_xlfn.XLOOKUP(Logs_Reseau6[[#This Row],[Cell_ID]],Registre[ID_Antenne],Registre[Equipementier],"Non Trouvée")</f>
        <v>Huawei</v>
      </c>
      <c r="J416" t="str">
        <f>_xlfn.XLOOKUP(Logs_Reseau6[[#This Row],[Id_Client]],Clients_Churn[ID_Client],Clients_Churn[Type_Forfait],"Pas d'information")</f>
        <v>Premium 5G 150Go</v>
      </c>
      <c r="K416" s="5" t="str">
        <f>IF(Logs_Reseau6[[#This Row],[Type_Forfait]]="Pro Monde","B2B","B2C")</f>
        <v>B2C</v>
      </c>
      <c r="L416" s="5">
        <f>_xlfn.XLOOKUP(Logs_Reseau6[[#This Row],[Id_Client]],Clients_Churn[ID_Client],Clients_Churn[Duree_Cumulee_Panne_Min],"Non Trouvée")</f>
        <v>201</v>
      </c>
      <c r="M416" s="5">
        <f>_xlfn.XLOOKUP(Logs_Reseau6[[#This Row],[Id_Client]],Clients_Churn[ID_Client],Clients_Churn[Anciennete_Mois],"Rien à signaler")</f>
        <v>2</v>
      </c>
      <c r="N416" s="11">
        <f>Logs_Reseau6[[#This Row],[Anciennette]]/24</f>
        <v>8.3333333333333329E-2</v>
      </c>
      <c r="O416" s="1">
        <f>Logs_Reseau6[[#This Row],[Duree_Cumulée_Panne]]/1440</f>
        <v>0.13958333333333334</v>
      </c>
      <c r="P41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17" spans="1:16" x14ac:dyDescent="0.25">
      <c r="A417" s="2">
        <v>45220</v>
      </c>
      <c r="B417" s="1">
        <v>0.87708333333333333</v>
      </c>
      <c r="C417" t="s">
        <v>1203</v>
      </c>
      <c r="D417">
        <v>78</v>
      </c>
      <c r="E417" t="s">
        <v>1300</v>
      </c>
      <c r="F417" t="str">
        <f>_xlfn.XLOOKUP(Logs_Reseau6[[#This Row],[Cell_ID]],Registre[ID_Antenne],Registre[Province_RDC],"Non Trouvée")</f>
        <v>Kinshasa</v>
      </c>
      <c r="G417" t="str">
        <f>_xlfn.XLOOKUP(Logs_Reseau6[[#This Row],[Province]],Clients_Churn[Province_Client],Clients_Churn[ID_Client],"Aucun")</f>
        <v>CLI-00184</v>
      </c>
      <c r="H417" t="str">
        <f>_xlfn.XLOOKUP(Logs_Reseau6[[#This Row],[Cell_ID]],Registre[ID_Antenne],Registre[Technologie],"Rien à signaler")</f>
        <v>3G</v>
      </c>
      <c r="I417" t="str">
        <f>_xlfn.XLOOKUP(Logs_Reseau6[[#This Row],[Cell_ID]],Registre[ID_Antenne],Registre[Equipementier],"Non Trouvée")</f>
        <v>Nokia</v>
      </c>
      <c r="J417" t="str">
        <f>_xlfn.XLOOKUP(Logs_Reseau6[[#This Row],[Id_Client]],Clients_Churn[ID_Client],Clients_Churn[Type_Forfait],"Pas d'information")</f>
        <v>Premium 5G 150Go</v>
      </c>
      <c r="K417" s="5" t="str">
        <f>IF(Logs_Reseau6[[#This Row],[Type_Forfait]]="Pro Monde","B2B","B2C")</f>
        <v>B2C</v>
      </c>
      <c r="L417" s="5">
        <f>_xlfn.XLOOKUP(Logs_Reseau6[[#This Row],[Id_Client]],Clients_Churn[ID_Client],Clients_Churn[Duree_Cumulee_Panne_Min],"Non Trouvée")</f>
        <v>191</v>
      </c>
      <c r="M417" s="5">
        <f>_xlfn.XLOOKUP(Logs_Reseau6[[#This Row],[Id_Client]],Clients_Churn[ID_Client],Clients_Churn[Anciennete_Mois],"Rien à signaler")</f>
        <v>71</v>
      </c>
      <c r="N417" s="11">
        <f>Logs_Reseau6[[#This Row],[Anciennette]]/24</f>
        <v>2.9583333333333335</v>
      </c>
      <c r="O417" s="1">
        <f>Logs_Reseau6[[#This Row],[Duree_Cumulée_Panne]]/1440</f>
        <v>0.13263888888888889</v>
      </c>
      <c r="P41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18" spans="1:16" x14ac:dyDescent="0.25">
      <c r="A418" s="2">
        <v>45227</v>
      </c>
      <c r="B418" s="1">
        <v>0.19583333333333333</v>
      </c>
      <c r="C418" t="s">
        <v>1203</v>
      </c>
      <c r="D418">
        <v>113</v>
      </c>
      <c r="E418" t="s">
        <v>1303</v>
      </c>
      <c r="F418" t="str">
        <f>_xlfn.XLOOKUP(Logs_Reseau6[[#This Row],[Cell_ID]],Registre[ID_Antenne],Registre[Province_RDC],"Non Trouvée")</f>
        <v>Kinshasa</v>
      </c>
      <c r="G418" t="str">
        <f>_xlfn.XLOOKUP(Logs_Reseau6[[#This Row],[Province]],Clients_Churn[Province_Client],Clients_Churn[ID_Client],"Aucun")</f>
        <v>CLI-00184</v>
      </c>
      <c r="H418" t="str">
        <f>_xlfn.XLOOKUP(Logs_Reseau6[[#This Row],[Cell_ID]],Registre[ID_Antenne],Registre[Technologie],"Rien à signaler")</f>
        <v>3G</v>
      </c>
      <c r="I418" t="str">
        <f>_xlfn.XLOOKUP(Logs_Reseau6[[#This Row],[Cell_ID]],Registre[ID_Antenne],Registre[Equipementier],"Non Trouvée")</f>
        <v>Nokia</v>
      </c>
      <c r="J418" t="str">
        <f>_xlfn.XLOOKUP(Logs_Reseau6[[#This Row],[Id_Client]],Clients_Churn[ID_Client],Clients_Churn[Type_Forfait],"Pas d'information")</f>
        <v>Premium 5G 150Go</v>
      </c>
      <c r="K418" s="5" t="str">
        <f>IF(Logs_Reseau6[[#This Row],[Type_Forfait]]="Pro Monde","B2B","B2C")</f>
        <v>B2C</v>
      </c>
      <c r="L418" s="5">
        <f>_xlfn.XLOOKUP(Logs_Reseau6[[#This Row],[Id_Client]],Clients_Churn[ID_Client],Clients_Churn[Duree_Cumulee_Panne_Min],"Non Trouvée")</f>
        <v>191</v>
      </c>
      <c r="M418" s="5">
        <f>_xlfn.XLOOKUP(Logs_Reseau6[[#This Row],[Id_Client]],Clients_Churn[ID_Client],Clients_Churn[Anciennete_Mois],"Rien à signaler")</f>
        <v>71</v>
      </c>
      <c r="N418" s="11">
        <f>Logs_Reseau6[[#This Row],[Anciennette]]/24</f>
        <v>2.9583333333333335</v>
      </c>
      <c r="O418" s="1">
        <f>Logs_Reseau6[[#This Row],[Duree_Cumulée_Panne]]/1440</f>
        <v>0.13263888888888889</v>
      </c>
      <c r="P41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19" spans="1:16" x14ac:dyDescent="0.25">
      <c r="A419" s="2">
        <v>45218</v>
      </c>
      <c r="B419" s="1">
        <v>0.67569444444444449</v>
      </c>
      <c r="C419" t="s">
        <v>824</v>
      </c>
      <c r="D419">
        <v>37</v>
      </c>
      <c r="E419" t="s">
        <v>1305</v>
      </c>
      <c r="F419" t="str">
        <f>_xlfn.XLOOKUP(Logs_Reseau6[[#This Row],[Cell_ID]],Registre[ID_Antenne],Registre[Province_RDC],"Non Trouvée")</f>
        <v>Sud-Kivu</v>
      </c>
      <c r="G419" t="str">
        <f>_xlfn.XLOOKUP(Logs_Reseau6[[#This Row],[Province]],Clients_Churn[Province_Client],Clients_Churn[ID_Client],"Aucun")</f>
        <v>CLI-00054</v>
      </c>
      <c r="H419" t="str">
        <f>_xlfn.XLOOKUP(Logs_Reseau6[[#This Row],[Cell_ID]],Registre[ID_Antenne],Registre[Technologie],"Rien à signaler")</f>
        <v>4G</v>
      </c>
      <c r="I419" t="str">
        <f>_xlfn.XLOOKUP(Logs_Reseau6[[#This Row],[Cell_ID]],Registre[ID_Antenne],Registre[Equipementier],"Non Trouvée")</f>
        <v>Ericsson</v>
      </c>
      <c r="J419" t="str">
        <f>_xlfn.XLOOKUP(Logs_Reseau6[[#This Row],[Id_Client]],Clients_Churn[ID_Client],Clients_Churn[Type_Forfait],"Pas d'information")</f>
        <v>Bloqué 5Go</v>
      </c>
      <c r="K419" s="5" t="str">
        <f>IF(Logs_Reseau6[[#This Row],[Type_Forfait]]="Pro Monde","B2B","B2C")</f>
        <v>B2C</v>
      </c>
      <c r="L419" s="5">
        <f>_xlfn.XLOOKUP(Logs_Reseau6[[#This Row],[Id_Client]],Clients_Churn[ID_Client],Clients_Churn[Duree_Cumulee_Panne_Min],"Non Trouvée")</f>
        <v>40</v>
      </c>
      <c r="M419" s="5">
        <f>_xlfn.XLOOKUP(Logs_Reseau6[[#This Row],[Id_Client]],Clients_Churn[ID_Client],Clients_Churn[Anciennete_Mois],"Rien à signaler")</f>
        <v>34</v>
      </c>
      <c r="N419" s="11">
        <f>Logs_Reseau6[[#This Row],[Anciennette]]/24</f>
        <v>1.4166666666666667</v>
      </c>
      <c r="O419" s="1">
        <f>Logs_Reseau6[[#This Row],[Duree_Cumulée_Panne]]/1440</f>
        <v>2.7777777777777776E-2</v>
      </c>
      <c r="P41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20" spans="1:16" x14ac:dyDescent="0.25">
      <c r="A420" s="2">
        <v>45221</v>
      </c>
      <c r="B420" s="1">
        <v>0.51736111111111116</v>
      </c>
      <c r="C420" t="s">
        <v>824</v>
      </c>
      <c r="D420">
        <v>83</v>
      </c>
      <c r="E420" t="s">
        <v>1305</v>
      </c>
      <c r="F420" t="str">
        <f>_xlfn.XLOOKUP(Logs_Reseau6[[#This Row],[Cell_ID]],Registre[ID_Antenne],Registre[Province_RDC],"Non Trouvée")</f>
        <v>Sud-Kivu</v>
      </c>
      <c r="G420" t="str">
        <f>_xlfn.XLOOKUP(Logs_Reseau6[[#This Row],[Province]],Clients_Churn[Province_Client],Clients_Churn[ID_Client],"Aucun")</f>
        <v>CLI-00054</v>
      </c>
      <c r="H420" t="str">
        <f>_xlfn.XLOOKUP(Logs_Reseau6[[#This Row],[Cell_ID]],Registre[ID_Antenne],Registre[Technologie],"Rien à signaler")</f>
        <v>4G</v>
      </c>
      <c r="I420" t="str">
        <f>_xlfn.XLOOKUP(Logs_Reseau6[[#This Row],[Cell_ID]],Registre[ID_Antenne],Registre[Equipementier],"Non Trouvée")</f>
        <v>Ericsson</v>
      </c>
      <c r="J420" t="str">
        <f>_xlfn.XLOOKUP(Logs_Reseau6[[#This Row],[Id_Client]],Clients_Churn[ID_Client],Clients_Churn[Type_Forfait],"Pas d'information")</f>
        <v>Bloqué 5Go</v>
      </c>
      <c r="K420" s="5" t="str">
        <f>IF(Logs_Reseau6[[#This Row],[Type_Forfait]]="Pro Monde","B2B","B2C")</f>
        <v>B2C</v>
      </c>
      <c r="L420" s="5">
        <f>_xlfn.XLOOKUP(Logs_Reseau6[[#This Row],[Id_Client]],Clients_Churn[ID_Client],Clients_Churn[Duree_Cumulee_Panne_Min],"Non Trouvée")</f>
        <v>40</v>
      </c>
      <c r="M420" s="5">
        <f>_xlfn.XLOOKUP(Logs_Reseau6[[#This Row],[Id_Client]],Clients_Churn[ID_Client],Clients_Churn[Anciennete_Mois],"Rien à signaler")</f>
        <v>34</v>
      </c>
      <c r="N420" s="11">
        <f>Logs_Reseau6[[#This Row],[Anciennette]]/24</f>
        <v>1.4166666666666667</v>
      </c>
      <c r="O420" s="1">
        <f>Logs_Reseau6[[#This Row],[Duree_Cumulée_Panne]]/1440</f>
        <v>2.7777777777777776E-2</v>
      </c>
      <c r="P42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21" spans="1:16" x14ac:dyDescent="0.25">
      <c r="A421" s="2">
        <v>45211</v>
      </c>
      <c r="B421" s="1">
        <v>9.8611111111111108E-2</v>
      </c>
      <c r="C421" t="s">
        <v>927</v>
      </c>
      <c r="D421">
        <v>59</v>
      </c>
      <c r="E421" t="s">
        <v>1305</v>
      </c>
      <c r="F421" t="str">
        <f>_xlfn.XLOOKUP(Logs_Reseau6[[#This Row],[Cell_ID]],Registre[ID_Antenne],Registre[Province_RDC],"Non Trouvée")</f>
        <v>Sud-Ubangi</v>
      </c>
      <c r="G421" t="str">
        <f>_xlfn.XLOOKUP(Logs_Reseau6[[#This Row],[Province]],Clients_Churn[Province_Client],Clients_Churn[ID_Client],"Aucun")</f>
        <v>CLI-00070</v>
      </c>
      <c r="H421" t="str">
        <f>_xlfn.XLOOKUP(Logs_Reseau6[[#This Row],[Cell_ID]],Registre[ID_Antenne],Registre[Technologie],"Rien à signaler")</f>
        <v>3G</v>
      </c>
      <c r="I421" t="str">
        <f>_xlfn.XLOOKUP(Logs_Reseau6[[#This Row],[Cell_ID]],Registre[ID_Antenne],Registre[Equipementier],"Non Trouvée")</f>
        <v>Huawei</v>
      </c>
      <c r="J421" t="str">
        <f>_xlfn.XLOOKUP(Logs_Reseau6[[#This Row],[Id_Client]],Clients_Churn[ID_Client],Clients_Churn[Type_Forfait],"Pas d'information")</f>
        <v>Illimité 50Go</v>
      </c>
      <c r="K421" s="5" t="str">
        <f>IF(Logs_Reseau6[[#This Row],[Type_Forfait]]="Pro Monde","B2B","B2C")</f>
        <v>B2C</v>
      </c>
      <c r="L421" s="5">
        <f>_xlfn.XLOOKUP(Logs_Reseau6[[#This Row],[Id_Client]],Clients_Churn[ID_Client],Clients_Churn[Duree_Cumulee_Panne_Min],"Non Trouvée")</f>
        <v>119</v>
      </c>
      <c r="M421" s="5">
        <f>_xlfn.XLOOKUP(Logs_Reseau6[[#This Row],[Id_Client]],Clients_Churn[ID_Client],Clients_Churn[Anciennete_Mois],"Rien à signaler")</f>
        <v>52</v>
      </c>
      <c r="N421" s="11">
        <f>Logs_Reseau6[[#This Row],[Anciennette]]/24</f>
        <v>2.1666666666666665</v>
      </c>
      <c r="O421" s="1">
        <f>Logs_Reseau6[[#This Row],[Duree_Cumulée_Panne]]/1440</f>
        <v>8.2638888888888887E-2</v>
      </c>
      <c r="P42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22" spans="1:16" x14ac:dyDescent="0.25">
      <c r="A422" s="2">
        <v>45213</v>
      </c>
      <c r="B422" s="1">
        <v>6.6666666666666666E-2</v>
      </c>
      <c r="C422" t="s">
        <v>927</v>
      </c>
      <c r="D422">
        <v>63</v>
      </c>
      <c r="E422" t="s">
        <v>1300</v>
      </c>
      <c r="F422" t="str">
        <f>_xlfn.XLOOKUP(Logs_Reseau6[[#This Row],[Cell_ID]],Registre[ID_Antenne],Registre[Province_RDC],"Non Trouvée")</f>
        <v>Sud-Ubangi</v>
      </c>
      <c r="G422" t="str">
        <f>_xlfn.XLOOKUP(Logs_Reseau6[[#This Row],[Province]],Clients_Churn[Province_Client],Clients_Churn[ID_Client],"Aucun")</f>
        <v>CLI-00070</v>
      </c>
      <c r="H422" t="str">
        <f>_xlfn.XLOOKUP(Logs_Reseau6[[#This Row],[Cell_ID]],Registre[ID_Antenne],Registre[Technologie],"Rien à signaler")</f>
        <v>3G</v>
      </c>
      <c r="I422" t="str">
        <f>_xlfn.XLOOKUP(Logs_Reseau6[[#This Row],[Cell_ID]],Registre[ID_Antenne],Registre[Equipementier],"Non Trouvée")</f>
        <v>Huawei</v>
      </c>
      <c r="J422" t="str">
        <f>_xlfn.XLOOKUP(Logs_Reseau6[[#This Row],[Id_Client]],Clients_Churn[ID_Client],Clients_Churn[Type_Forfait],"Pas d'information")</f>
        <v>Illimité 50Go</v>
      </c>
      <c r="K422" s="5" t="str">
        <f>IF(Logs_Reseau6[[#This Row],[Type_Forfait]]="Pro Monde","B2B","B2C")</f>
        <v>B2C</v>
      </c>
      <c r="L422" s="5">
        <f>_xlfn.XLOOKUP(Logs_Reseau6[[#This Row],[Id_Client]],Clients_Churn[ID_Client],Clients_Churn[Duree_Cumulee_Panne_Min],"Non Trouvée")</f>
        <v>119</v>
      </c>
      <c r="M422" s="5">
        <f>_xlfn.XLOOKUP(Logs_Reseau6[[#This Row],[Id_Client]],Clients_Churn[ID_Client],Clients_Churn[Anciennete_Mois],"Rien à signaler")</f>
        <v>52</v>
      </c>
      <c r="N422" s="11">
        <f>Logs_Reseau6[[#This Row],[Anciennette]]/24</f>
        <v>2.1666666666666665</v>
      </c>
      <c r="O422" s="1">
        <f>Logs_Reseau6[[#This Row],[Duree_Cumulée_Panne]]/1440</f>
        <v>8.2638888888888887E-2</v>
      </c>
      <c r="P42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23" spans="1:16" x14ac:dyDescent="0.25">
      <c r="A423" s="2">
        <v>45219</v>
      </c>
      <c r="B423" s="1">
        <v>0.50624999999999998</v>
      </c>
      <c r="C423" t="s">
        <v>1208</v>
      </c>
      <c r="D423">
        <v>41</v>
      </c>
      <c r="E423" t="s">
        <v>1303</v>
      </c>
      <c r="F423" t="str">
        <f>_xlfn.XLOOKUP(Logs_Reseau6[[#This Row],[Cell_ID]],Registre[ID_Antenne],Registre[Province_RDC],"Non Trouvée")</f>
        <v>Tshuapa</v>
      </c>
      <c r="G423" t="str">
        <f>_xlfn.XLOOKUP(Logs_Reseau6[[#This Row],[Province]],Clients_Churn[Province_Client],Clients_Churn[ID_Client],"Aucun")</f>
        <v>CLI-00033</v>
      </c>
      <c r="H423" t="str">
        <f>_xlfn.XLOOKUP(Logs_Reseau6[[#This Row],[Cell_ID]],Registre[ID_Antenne],Registre[Technologie],"Rien à signaler")</f>
        <v>5G</v>
      </c>
      <c r="I423" t="str">
        <f>_xlfn.XLOOKUP(Logs_Reseau6[[#This Row],[Cell_ID]],Registre[ID_Antenne],Registre[Equipementier],"Non Trouvée")</f>
        <v>Huawei</v>
      </c>
      <c r="J423" t="str">
        <f>_xlfn.XLOOKUP(Logs_Reseau6[[#This Row],[Id_Client]],Clients_Churn[ID_Client],Clients_Churn[Type_Forfait],"Pas d'information")</f>
        <v>Premium 5G 150Go</v>
      </c>
      <c r="K423" s="5" t="str">
        <f>IF(Logs_Reseau6[[#This Row],[Type_Forfait]]="Pro Monde","B2B","B2C")</f>
        <v>B2C</v>
      </c>
      <c r="L423" s="5">
        <f>_xlfn.XLOOKUP(Logs_Reseau6[[#This Row],[Id_Client]],Clients_Churn[ID_Client],Clients_Churn[Duree_Cumulee_Panne_Min],"Non Trouvée")</f>
        <v>201</v>
      </c>
      <c r="M423" s="5">
        <f>_xlfn.XLOOKUP(Logs_Reseau6[[#This Row],[Id_Client]],Clients_Churn[ID_Client],Clients_Churn[Anciennete_Mois],"Rien à signaler")</f>
        <v>2</v>
      </c>
      <c r="N423" s="11">
        <f>Logs_Reseau6[[#This Row],[Anciennette]]/24</f>
        <v>8.3333333333333329E-2</v>
      </c>
      <c r="O423" s="1">
        <f>Logs_Reseau6[[#This Row],[Duree_Cumulée_Panne]]/1440</f>
        <v>0.13958333333333334</v>
      </c>
      <c r="P42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24" spans="1:16" x14ac:dyDescent="0.25">
      <c r="A424" s="2">
        <v>45226</v>
      </c>
      <c r="B424" s="1">
        <v>0.10416666666666667</v>
      </c>
      <c r="C424" t="s">
        <v>1208</v>
      </c>
      <c r="D424">
        <v>110</v>
      </c>
      <c r="E424" t="s">
        <v>1303</v>
      </c>
      <c r="F424" t="str">
        <f>_xlfn.XLOOKUP(Logs_Reseau6[[#This Row],[Cell_ID]],Registre[ID_Antenne],Registre[Province_RDC],"Non Trouvée")</f>
        <v>Tshuapa</v>
      </c>
      <c r="G424" t="str">
        <f>_xlfn.XLOOKUP(Logs_Reseau6[[#This Row],[Province]],Clients_Churn[Province_Client],Clients_Churn[ID_Client],"Aucun")</f>
        <v>CLI-00033</v>
      </c>
      <c r="H424" t="str">
        <f>_xlfn.XLOOKUP(Logs_Reseau6[[#This Row],[Cell_ID]],Registre[ID_Antenne],Registre[Technologie],"Rien à signaler")</f>
        <v>5G</v>
      </c>
      <c r="I424" t="str">
        <f>_xlfn.XLOOKUP(Logs_Reseau6[[#This Row],[Cell_ID]],Registre[ID_Antenne],Registre[Equipementier],"Non Trouvée")</f>
        <v>Huawei</v>
      </c>
      <c r="J424" t="str">
        <f>_xlfn.XLOOKUP(Logs_Reseau6[[#This Row],[Id_Client]],Clients_Churn[ID_Client],Clients_Churn[Type_Forfait],"Pas d'information")</f>
        <v>Premium 5G 150Go</v>
      </c>
      <c r="K424" s="5" t="str">
        <f>IF(Logs_Reseau6[[#This Row],[Type_Forfait]]="Pro Monde","B2B","B2C")</f>
        <v>B2C</v>
      </c>
      <c r="L424" s="5">
        <f>_xlfn.XLOOKUP(Logs_Reseau6[[#This Row],[Id_Client]],Clients_Churn[ID_Client],Clients_Churn[Duree_Cumulee_Panne_Min],"Non Trouvée")</f>
        <v>201</v>
      </c>
      <c r="M424" s="5">
        <f>_xlfn.XLOOKUP(Logs_Reseau6[[#This Row],[Id_Client]],Clients_Churn[ID_Client],Clients_Churn[Anciennete_Mois],"Rien à signaler")</f>
        <v>2</v>
      </c>
      <c r="N424" s="11">
        <f>Logs_Reseau6[[#This Row],[Anciennette]]/24</f>
        <v>8.3333333333333329E-2</v>
      </c>
      <c r="O424" s="1">
        <f>Logs_Reseau6[[#This Row],[Duree_Cumulée_Panne]]/1440</f>
        <v>0.13958333333333334</v>
      </c>
      <c r="P42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25" spans="1:16" x14ac:dyDescent="0.25">
      <c r="A425" s="2">
        <v>45205</v>
      </c>
      <c r="B425" s="1">
        <v>0.17847222222222223</v>
      </c>
      <c r="C425" t="s">
        <v>1079</v>
      </c>
      <c r="D425">
        <v>42</v>
      </c>
      <c r="E425" t="s">
        <v>1303</v>
      </c>
      <c r="F425" t="str">
        <f>_xlfn.XLOOKUP(Logs_Reseau6[[#This Row],[Cell_ID]],Registre[ID_Antenne],Registre[Province_RDC],"Non Trouvée")</f>
        <v>Sud-Ubangi</v>
      </c>
      <c r="G425" t="str">
        <f>_xlfn.XLOOKUP(Logs_Reseau6[[#This Row],[Province]],Clients_Churn[Province_Client],Clients_Churn[ID_Client],"Aucun")</f>
        <v>CLI-00070</v>
      </c>
      <c r="H425" t="str">
        <f>_xlfn.XLOOKUP(Logs_Reseau6[[#This Row],[Cell_ID]],Registre[ID_Antenne],Registre[Technologie],"Rien à signaler")</f>
        <v>3G</v>
      </c>
      <c r="I425" t="str">
        <f>_xlfn.XLOOKUP(Logs_Reseau6[[#This Row],[Cell_ID]],Registre[ID_Antenne],Registre[Equipementier],"Non Trouvée")</f>
        <v>ZTE</v>
      </c>
      <c r="J425" t="str">
        <f>_xlfn.XLOOKUP(Logs_Reseau6[[#This Row],[Id_Client]],Clients_Churn[ID_Client],Clients_Churn[Type_Forfait],"Pas d'information")</f>
        <v>Illimité 50Go</v>
      </c>
      <c r="K425" s="5" t="str">
        <f>IF(Logs_Reseau6[[#This Row],[Type_Forfait]]="Pro Monde","B2B","B2C")</f>
        <v>B2C</v>
      </c>
      <c r="L425" s="5">
        <f>_xlfn.XLOOKUP(Logs_Reseau6[[#This Row],[Id_Client]],Clients_Churn[ID_Client],Clients_Churn[Duree_Cumulee_Panne_Min],"Non Trouvée")</f>
        <v>119</v>
      </c>
      <c r="M425" s="5">
        <f>_xlfn.XLOOKUP(Logs_Reseau6[[#This Row],[Id_Client]],Clients_Churn[ID_Client],Clients_Churn[Anciennete_Mois],"Rien à signaler")</f>
        <v>52</v>
      </c>
      <c r="N425" s="11">
        <f>Logs_Reseau6[[#This Row],[Anciennette]]/24</f>
        <v>2.1666666666666665</v>
      </c>
      <c r="O425" s="1">
        <f>Logs_Reseau6[[#This Row],[Duree_Cumulée_Panne]]/1440</f>
        <v>8.2638888888888887E-2</v>
      </c>
      <c r="P42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26" spans="1:16" hidden="1" x14ac:dyDescent="0.25">
      <c r="A426" s="2">
        <v>45212</v>
      </c>
      <c r="B426" s="1">
        <v>0.68055555555555558</v>
      </c>
      <c r="C426" t="s">
        <v>1505</v>
      </c>
      <c r="D426">
        <v>63</v>
      </c>
      <c r="E426" t="s">
        <v>1300</v>
      </c>
      <c r="F426" t="str">
        <f>_xlfn.XLOOKUP(Logs_Reseau6[[#This Row],[Cell_ID]],Registre[ID_Antenne],Registre[Province_RDC],"Non Trouvée")</f>
        <v>Non Trouvée</v>
      </c>
      <c r="G426" t="str">
        <f>_xlfn.XLOOKUP(Logs_Reseau6[[#This Row],[Province]],Clients_Churn[Province_Client],Clients_Churn[ID_Client],"Aucun")</f>
        <v>Aucun</v>
      </c>
      <c r="H426" t="str">
        <f>_xlfn.XLOOKUP(Logs_Reseau6[[#This Row],[Cell_ID]],Registre[ID_Antenne],Registre[Technologie],"Rien à signaler")</f>
        <v>Rien à signaler</v>
      </c>
      <c r="I426" t="str">
        <f>_xlfn.XLOOKUP(Logs_Reseau6[[#This Row],[Cell_ID]],Registre[ID_Antenne],Registre[Equipementier],"Non Trouvée")</f>
        <v>Non Trouvée</v>
      </c>
      <c r="J426" t="str">
        <f>_xlfn.XLOOKUP(Logs_Reseau6[[#This Row],[Id_Client]],Clients_Churn[ID_Client],Clients_Churn[Type_Forfait],"Pas d'information")</f>
        <v>Pas d'information</v>
      </c>
      <c r="K426" s="5" t="str">
        <f>IF(Logs_Reseau6[[#This Row],[Type_Forfait]]="Pro Monde","B2B","B2C")</f>
        <v>B2C</v>
      </c>
      <c r="L426" s="5" t="str">
        <f>_xlfn.XLOOKUP(Logs_Reseau6[[#This Row],[Id_Client]],Clients_Churn[ID_Client],Clients_Churn[Duree_Cumulee_Panne_Min],"Non Trouvée")</f>
        <v>Non Trouvée</v>
      </c>
      <c r="M426" s="5" t="str">
        <f>_xlfn.XLOOKUP(Logs_Reseau6[[#This Row],[Id_Client]],Clients_Churn[ID_Client],Clients_Churn[Anciennete_Mois],"Rien à signaler")</f>
        <v>Rien à signaler</v>
      </c>
      <c r="N426" s="5" t="e">
        <f>Logs_Reseau6[[#This Row],[Anciennette]]/24</f>
        <v>#VALUE!</v>
      </c>
      <c r="O426" s="5" t="e">
        <f>Logs_Reseau6[[#This Row],[Duree_Cumulée_Panne]]/1440</f>
        <v>#VALUE!</v>
      </c>
      <c r="P42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27" spans="1:16" x14ac:dyDescent="0.25">
      <c r="A427" s="2">
        <v>45220</v>
      </c>
      <c r="B427" s="1">
        <v>0.22291666666666668</v>
      </c>
      <c r="C427" t="s">
        <v>1237</v>
      </c>
      <c r="D427">
        <v>65</v>
      </c>
      <c r="E427" t="s">
        <v>1305</v>
      </c>
      <c r="F427" t="str">
        <f>_xlfn.XLOOKUP(Logs_Reseau6[[#This Row],[Cell_ID]],Registre[ID_Antenne],Registre[Province_RDC],"Non Trouvée")</f>
        <v>Haut-Lomami</v>
      </c>
      <c r="G427" t="str">
        <f>_xlfn.XLOOKUP(Logs_Reseau6[[#This Row],[Province]],Clients_Churn[Province_Client],Clients_Churn[ID_Client],"Aucun")</f>
        <v>CLI-00022</v>
      </c>
      <c r="H427" t="str">
        <f>_xlfn.XLOOKUP(Logs_Reseau6[[#This Row],[Cell_ID]],Registre[ID_Antenne],Registre[Technologie],"Rien à signaler")</f>
        <v>4G</v>
      </c>
      <c r="I427" t="str">
        <f>_xlfn.XLOOKUP(Logs_Reseau6[[#This Row],[Cell_ID]],Registre[ID_Antenne],Registre[Equipementier],"Non Trouvée")</f>
        <v>Huawei</v>
      </c>
      <c r="J427" t="str">
        <f>_xlfn.XLOOKUP(Logs_Reseau6[[#This Row],[Id_Client]],Clients_Churn[ID_Client],Clients_Churn[Type_Forfait],"Pas d'information")</f>
        <v>Premium 5G 150Go</v>
      </c>
      <c r="K427" s="5" t="str">
        <f>IF(Logs_Reseau6[[#This Row],[Type_Forfait]]="Pro Monde","B2B","B2C")</f>
        <v>B2C</v>
      </c>
      <c r="L427" s="5">
        <f>_xlfn.XLOOKUP(Logs_Reseau6[[#This Row],[Id_Client]],Clients_Churn[ID_Client],Clients_Churn[Duree_Cumulee_Panne_Min],"Non Trouvée")</f>
        <v>488</v>
      </c>
      <c r="M427" s="5">
        <f>_xlfn.XLOOKUP(Logs_Reseau6[[#This Row],[Id_Client]],Clients_Churn[ID_Client],Clients_Churn[Anciennete_Mois],"Rien à signaler")</f>
        <v>77</v>
      </c>
      <c r="N427" s="11">
        <f>Logs_Reseau6[[#This Row],[Anciennette]]/24</f>
        <v>3.2083333333333335</v>
      </c>
      <c r="O427" s="1">
        <f>Logs_Reseau6[[#This Row],[Duree_Cumulée_Panne]]/1440</f>
        <v>0.33888888888888891</v>
      </c>
      <c r="P42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28" spans="1:16" x14ac:dyDescent="0.25">
      <c r="A428" s="2">
        <v>45222</v>
      </c>
      <c r="B428" s="1">
        <v>0.77777777777777779</v>
      </c>
      <c r="C428" t="s">
        <v>1237</v>
      </c>
      <c r="D428">
        <v>102</v>
      </c>
      <c r="E428" t="s">
        <v>1305</v>
      </c>
      <c r="F428" t="str">
        <f>_xlfn.XLOOKUP(Logs_Reseau6[[#This Row],[Cell_ID]],Registre[ID_Antenne],Registre[Province_RDC],"Non Trouvée")</f>
        <v>Haut-Lomami</v>
      </c>
      <c r="G428" t="str">
        <f>_xlfn.XLOOKUP(Logs_Reseau6[[#This Row],[Province]],Clients_Churn[Province_Client],Clients_Churn[ID_Client],"Aucun")</f>
        <v>CLI-00022</v>
      </c>
      <c r="H428" t="str">
        <f>_xlfn.XLOOKUP(Logs_Reseau6[[#This Row],[Cell_ID]],Registre[ID_Antenne],Registre[Technologie],"Rien à signaler")</f>
        <v>4G</v>
      </c>
      <c r="I428" t="str">
        <f>_xlfn.XLOOKUP(Logs_Reseau6[[#This Row],[Cell_ID]],Registre[ID_Antenne],Registre[Equipementier],"Non Trouvée")</f>
        <v>Huawei</v>
      </c>
      <c r="J428" t="str">
        <f>_xlfn.XLOOKUP(Logs_Reseau6[[#This Row],[Id_Client]],Clients_Churn[ID_Client],Clients_Churn[Type_Forfait],"Pas d'information")</f>
        <v>Premium 5G 150Go</v>
      </c>
      <c r="K428" s="5" t="str">
        <f>IF(Logs_Reseau6[[#This Row],[Type_Forfait]]="Pro Monde","B2B","B2C")</f>
        <v>B2C</v>
      </c>
      <c r="L428" s="5">
        <f>_xlfn.XLOOKUP(Logs_Reseau6[[#This Row],[Id_Client]],Clients_Churn[ID_Client],Clients_Churn[Duree_Cumulee_Panne_Min],"Non Trouvée")</f>
        <v>488</v>
      </c>
      <c r="M428" s="5">
        <f>_xlfn.XLOOKUP(Logs_Reseau6[[#This Row],[Id_Client]],Clients_Churn[ID_Client],Clients_Churn[Anciennete_Mois],"Rien à signaler")</f>
        <v>77</v>
      </c>
      <c r="N428" s="11">
        <f>Logs_Reseau6[[#This Row],[Anciennette]]/24</f>
        <v>3.2083333333333335</v>
      </c>
      <c r="O428" s="1">
        <f>Logs_Reseau6[[#This Row],[Duree_Cumulée_Panne]]/1440</f>
        <v>0.33888888888888891</v>
      </c>
      <c r="P42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29" spans="1:16" x14ac:dyDescent="0.25">
      <c r="A429" s="2">
        <v>45209</v>
      </c>
      <c r="B429" s="1">
        <v>0.77708333333333335</v>
      </c>
      <c r="C429" t="s">
        <v>1111</v>
      </c>
      <c r="D429">
        <v>40</v>
      </c>
      <c r="E429" t="s">
        <v>1305</v>
      </c>
      <c r="F429" t="str">
        <f>_xlfn.XLOOKUP(Logs_Reseau6[[#This Row],[Cell_ID]],Registre[ID_Antenne],Registre[Province_RDC],"Non Trouvée")</f>
        <v>Lualaba</v>
      </c>
      <c r="G429" t="str">
        <f>_xlfn.XLOOKUP(Logs_Reseau6[[#This Row],[Province]],Clients_Churn[Province_Client],Clients_Churn[ID_Client],"Aucun")</f>
        <v>CLI-00334</v>
      </c>
      <c r="H429" t="str">
        <f>_xlfn.XLOOKUP(Logs_Reseau6[[#This Row],[Cell_ID]],Registre[ID_Antenne],Registre[Technologie],"Rien à signaler")</f>
        <v>3G</v>
      </c>
      <c r="I429" t="str">
        <f>_xlfn.XLOOKUP(Logs_Reseau6[[#This Row],[Cell_ID]],Registre[ID_Antenne],Registre[Equipementier],"Non Trouvée")</f>
        <v>Ericsson</v>
      </c>
      <c r="J429" t="str">
        <f>_xlfn.XLOOKUP(Logs_Reseau6[[#This Row],[Id_Client]],Clients_Churn[ID_Client],Clients_Churn[Type_Forfait],"Pas d'information")</f>
        <v>Pro Monde</v>
      </c>
      <c r="K429" s="5" t="str">
        <f>IF(Logs_Reseau6[[#This Row],[Type_Forfait]]="Pro Monde","B2B","B2C")</f>
        <v>B2B</v>
      </c>
      <c r="L429" s="5">
        <f>_xlfn.XLOOKUP(Logs_Reseau6[[#This Row],[Id_Client]],Clients_Churn[ID_Client],Clients_Churn[Duree_Cumulee_Panne_Min],"Non Trouvée")</f>
        <v>214</v>
      </c>
      <c r="M429" s="5">
        <f>_xlfn.XLOOKUP(Logs_Reseau6[[#This Row],[Id_Client]],Clients_Churn[ID_Client],Clients_Churn[Anciennete_Mois],"Rien à signaler")</f>
        <v>16</v>
      </c>
      <c r="N429" s="11">
        <f>Logs_Reseau6[[#This Row],[Anciennette]]/24</f>
        <v>0.66666666666666663</v>
      </c>
      <c r="O429" s="1">
        <f>Logs_Reseau6[[#This Row],[Duree_Cumulée_Panne]]/1440</f>
        <v>0.14861111111111111</v>
      </c>
      <c r="P42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30" spans="1:16" x14ac:dyDescent="0.25">
      <c r="A430" s="2">
        <v>45216</v>
      </c>
      <c r="B430" s="1">
        <v>0.72986111111111107</v>
      </c>
      <c r="C430" t="s">
        <v>1111</v>
      </c>
      <c r="D430">
        <v>78</v>
      </c>
      <c r="E430" t="s">
        <v>1303</v>
      </c>
      <c r="F430" t="str">
        <f>_xlfn.XLOOKUP(Logs_Reseau6[[#This Row],[Cell_ID]],Registre[ID_Antenne],Registre[Province_RDC],"Non Trouvée")</f>
        <v>Lualaba</v>
      </c>
      <c r="G430" t="str">
        <f>_xlfn.XLOOKUP(Logs_Reseau6[[#This Row],[Province]],Clients_Churn[Province_Client],Clients_Churn[ID_Client],"Aucun")</f>
        <v>CLI-00334</v>
      </c>
      <c r="H430" t="str">
        <f>_xlfn.XLOOKUP(Logs_Reseau6[[#This Row],[Cell_ID]],Registre[ID_Antenne],Registre[Technologie],"Rien à signaler")</f>
        <v>3G</v>
      </c>
      <c r="I430" t="str">
        <f>_xlfn.XLOOKUP(Logs_Reseau6[[#This Row],[Cell_ID]],Registre[ID_Antenne],Registre[Equipementier],"Non Trouvée")</f>
        <v>Ericsson</v>
      </c>
      <c r="J430" t="str">
        <f>_xlfn.XLOOKUP(Logs_Reseau6[[#This Row],[Id_Client]],Clients_Churn[ID_Client],Clients_Churn[Type_Forfait],"Pas d'information")</f>
        <v>Pro Monde</v>
      </c>
      <c r="K430" s="5" t="str">
        <f>IF(Logs_Reseau6[[#This Row],[Type_Forfait]]="Pro Monde","B2B","B2C")</f>
        <v>B2B</v>
      </c>
      <c r="L430" s="5">
        <f>_xlfn.XLOOKUP(Logs_Reseau6[[#This Row],[Id_Client]],Clients_Churn[ID_Client],Clients_Churn[Duree_Cumulee_Panne_Min],"Non Trouvée")</f>
        <v>214</v>
      </c>
      <c r="M430" s="5">
        <f>_xlfn.XLOOKUP(Logs_Reseau6[[#This Row],[Id_Client]],Clients_Churn[ID_Client],Clients_Churn[Anciennete_Mois],"Rien à signaler")</f>
        <v>16</v>
      </c>
      <c r="N430" s="11">
        <f>Logs_Reseau6[[#This Row],[Anciennette]]/24</f>
        <v>0.66666666666666663</v>
      </c>
      <c r="O430" s="1">
        <f>Logs_Reseau6[[#This Row],[Duree_Cumulée_Panne]]/1440</f>
        <v>0.14861111111111111</v>
      </c>
      <c r="P43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31" spans="1:16" x14ac:dyDescent="0.25">
      <c r="A431" s="2">
        <v>45230</v>
      </c>
      <c r="B431" s="1">
        <v>0.11944444444444445</v>
      </c>
      <c r="C431" t="s">
        <v>1111</v>
      </c>
      <c r="D431">
        <v>8</v>
      </c>
      <c r="E431" t="s">
        <v>1303</v>
      </c>
      <c r="F431" t="str">
        <f>_xlfn.XLOOKUP(Logs_Reseau6[[#This Row],[Cell_ID]],Registre[ID_Antenne],Registre[Province_RDC],"Non Trouvée")</f>
        <v>Lualaba</v>
      </c>
      <c r="G431" t="str">
        <f>_xlfn.XLOOKUP(Logs_Reseau6[[#This Row],[Province]],Clients_Churn[Province_Client],Clients_Churn[ID_Client],"Aucun")</f>
        <v>CLI-00334</v>
      </c>
      <c r="H431" t="str">
        <f>_xlfn.XLOOKUP(Logs_Reseau6[[#This Row],[Cell_ID]],Registre[ID_Antenne],Registre[Technologie],"Rien à signaler")</f>
        <v>3G</v>
      </c>
      <c r="I431" t="str">
        <f>_xlfn.XLOOKUP(Logs_Reseau6[[#This Row],[Cell_ID]],Registre[ID_Antenne],Registre[Equipementier],"Non Trouvée")</f>
        <v>Ericsson</v>
      </c>
      <c r="J431" t="str">
        <f>_xlfn.XLOOKUP(Logs_Reseau6[[#This Row],[Id_Client]],Clients_Churn[ID_Client],Clients_Churn[Type_Forfait],"Pas d'information")</f>
        <v>Pro Monde</v>
      </c>
      <c r="K431" s="5" t="str">
        <f>IF(Logs_Reseau6[[#This Row],[Type_Forfait]]="Pro Monde","B2B","B2C")</f>
        <v>B2B</v>
      </c>
      <c r="L431" s="5">
        <f>_xlfn.XLOOKUP(Logs_Reseau6[[#This Row],[Id_Client]],Clients_Churn[ID_Client],Clients_Churn[Duree_Cumulee_Panne_Min],"Non Trouvée")</f>
        <v>214</v>
      </c>
      <c r="M431" s="5">
        <f>_xlfn.XLOOKUP(Logs_Reseau6[[#This Row],[Id_Client]],Clients_Churn[ID_Client],Clients_Churn[Anciennete_Mois],"Rien à signaler")</f>
        <v>16</v>
      </c>
      <c r="N431" s="11">
        <f>Logs_Reseau6[[#This Row],[Anciennette]]/24</f>
        <v>0.66666666666666663</v>
      </c>
      <c r="O431" s="1">
        <f>Logs_Reseau6[[#This Row],[Duree_Cumulée_Panne]]/1440</f>
        <v>0.14861111111111111</v>
      </c>
      <c r="P43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32" spans="1:16" hidden="1" x14ac:dyDescent="0.25">
      <c r="A432" s="2">
        <v>45203</v>
      </c>
      <c r="B432" s="1">
        <v>0.86458333333333337</v>
      </c>
      <c r="C432" t="s">
        <v>1411</v>
      </c>
      <c r="D432">
        <v>100</v>
      </c>
      <c r="E432" t="s">
        <v>1305</v>
      </c>
      <c r="F432" t="str">
        <f>_xlfn.XLOOKUP(Logs_Reseau6[[#This Row],[Cell_ID]],Registre[ID_Antenne],Registre[Province_RDC],"Non Trouvée")</f>
        <v>Non Trouvée</v>
      </c>
      <c r="G432" t="str">
        <f>_xlfn.XLOOKUP(Logs_Reseau6[[#This Row],[Province]],Clients_Churn[Province_Client],Clients_Churn[ID_Client],"Aucun")</f>
        <v>Aucun</v>
      </c>
      <c r="H432" t="str">
        <f>_xlfn.XLOOKUP(Logs_Reseau6[[#This Row],[Cell_ID]],Registre[ID_Antenne],Registre[Technologie],"Rien à signaler")</f>
        <v>Rien à signaler</v>
      </c>
      <c r="I432" t="str">
        <f>_xlfn.XLOOKUP(Logs_Reseau6[[#This Row],[Cell_ID]],Registre[ID_Antenne],Registre[Equipementier],"Non Trouvée")</f>
        <v>Non Trouvée</v>
      </c>
      <c r="J432" t="str">
        <f>_xlfn.XLOOKUP(Logs_Reseau6[[#This Row],[Id_Client]],Clients_Churn[ID_Client],Clients_Churn[Type_Forfait],"Pas d'information")</f>
        <v>Pas d'information</v>
      </c>
      <c r="K432" s="5" t="str">
        <f>IF(Logs_Reseau6[[#This Row],[Type_Forfait]]="Pro Monde","B2B","B2C")</f>
        <v>B2C</v>
      </c>
      <c r="L432" s="5" t="str">
        <f>_xlfn.XLOOKUP(Logs_Reseau6[[#This Row],[Id_Client]],Clients_Churn[ID_Client],Clients_Churn[Duree_Cumulee_Panne_Min],"Non Trouvée")</f>
        <v>Non Trouvée</v>
      </c>
      <c r="M432" s="5" t="str">
        <f>_xlfn.XLOOKUP(Logs_Reseau6[[#This Row],[Id_Client]],Clients_Churn[ID_Client],Clients_Churn[Anciennete_Mois],"Rien à signaler")</f>
        <v>Rien à signaler</v>
      </c>
      <c r="N432" s="5" t="e">
        <f>Logs_Reseau6[[#This Row],[Anciennette]]/24</f>
        <v>#VALUE!</v>
      </c>
      <c r="O432" s="5" t="e">
        <f>Logs_Reseau6[[#This Row],[Duree_Cumulée_Panne]]/1440</f>
        <v>#VALUE!</v>
      </c>
      <c r="P43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33" spans="1:16" hidden="1" x14ac:dyDescent="0.25">
      <c r="A433" s="2">
        <v>45208</v>
      </c>
      <c r="B433" s="1">
        <v>0.76249999999999996</v>
      </c>
      <c r="C433" t="s">
        <v>1601</v>
      </c>
      <c r="D433">
        <v>101</v>
      </c>
      <c r="E433" t="s">
        <v>1300</v>
      </c>
      <c r="F433" t="str">
        <f>_xlfn.XLOOKUP(Logs_Reseau6[[#This Row],[Cell_ID]],Registre[ID_Antenne],Registre[Province_RDC],"Non Trouvée")</f>
        <v>Non Trouvée</v>
      </c>
      <c r="G433" t="str">
        <f>_xlfn.XLOOKUP(Logs_Reseau6[[#This Row],[Province]],Clients_Churn[Province_Client],Clients_Churn[ID_Client],"Aucun")</f>
        <v>Aucun</v>
      </c>
      <c r="H433" t="str">
        <f>_xlfn.XLOOKUP(Logs_Reseau6[[#This Row],[Cell_ID]],Registre[ID_Antenne],Registre[Technologie],"Rien à signaler")</f>
        <v>Rien à signaler</v>
      </c>
      <c r="I433" t="str">
        <f>_xlfn.XLOOKUP(Logs_Reseau6[[#This Row],[Cell_ID]],Registre[ID_Antenne],Registre[Equipementier],"Non Trouvée")</f>
        <v>Non Trouvée</v>
      </c>
      <c r="J433" t="str">
        <f>_xlfn.XLOOKUP(Logs_Reseau6[[#This Row],[Id_Client]],Clients_Churn[ID_Client],Clients_Churn[Type_Forfait],"Pas d'information")</f>
        <v>Pas d'information</v>
      </c>
      <c r="K433" s="5" t="str">
        <f>IF(Logs_Reseau6[[#This Row],[Type_Forfait]]="Pro Monde","B2B","B2C")</f>
        <v>B2C</v>
      </c>
      <c r="L433" s="5" t="str">
        <f>_xlfn.XLOOKUP(Logs_Reseau6[[#This Row],[Id_Client]],Clients_Churn[ID_Client],Clients_Churn[Duree_Cumulee_Panne_Min],"Non Trouvée")</f>
        <v>Non Trouvée</v>
      </c>
      <c r="M433" s="5" t="str">
        <f>_xlfn.XLOOKUP(Logs_Reseau6[[#This Row],[Id_Client]],Clients_Churn[ID_Client],Clients_Churn[Anciennete_Mois],"Rien à signaler")</f>
        <v>Rien à signaler</v>
      </c>
      <c r="N433" s="5" t="e">
        <f>Logs_Reseau6[[#This Row],[Anciennette]]/24</f>
        <v>#VALUE!</v>
      </c>
      <c r="O433" s="5" t="e">
        <f>Logs_Reseau6[[#This Row],[Duree_Cumulée_Panne]]/1440</f>
        <v>#VALUE!</v>
      </c>
      <c r="P43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34" spans="1:16" hidden="1" x14ac:dyDescent="0.25">
      <c r="A434" s="2">
        <v>45213</v>
      </c>
      <c r="B434" s="1">
        <v>0.9604166666666667</v>
      </c>
      <c r="C434" t="s">
        <v>1431</v>
      </c>
      <c r="D434">
        <v>103</v>
      </c>
      <c r="E434" t="s">
        <v>1303</v>
      </c>
      <c r="F434" t="str">
        <f>_xlfn.XLOOKUP(Logs_Reseau6[[#This Row],[Cell_ID]],Registre[ID_Antenne],Registre[Province_RDC],"Non Trouvée")</f>
        <v>Non Trouvée</v>
      </c>
      <c r="G434" t="str">
        <f>_xlfn.XLOOKUP(Logs_Reseau6[[#This Row],[Province]],Clients_Churn[Province_Client],Clients_Churn[ID_Client],"Aucun")</f>
        <v>Aucun</v>
      </c>
      <c r="H434" t="str">
        <f>_xlfn.XLOOKUP(Logs_Reseau6[[#This Row],[Cell_ID]],Registre[ID_Antenne],Registre[Technologie],"Rien à signaler")</f>
        <v>Rien à signaler</v>
      </c>
      <c r="I434" t="str">
        <f>_xlfn.XLOOKUP(Logs_Reseau6[[#This Row],[Cell_ID]],Registre[ID_Antenne],Registre[Equipementier],"Non Trouvée")</f>
        <v>Non Trouvée</v>
      </c>
      <c r="J434" t="str">
        <f>_xlfn.XLOOKUP(Logs_Reseau6[[#This Row],[Id_Client]],Clients_Churn[ID_Client],Clients_Churn[Type_Forfait],"Pas d'information")</f>
        <v>Pas d'information</v>
      </c>
      <c r="K434" s="5" t="str">
        <f>IF(Logs_Reseau6[[#This Row],[Type_Forfait]]="Pro Monde","B2B","B2C")</f>
        <v>B2C</v>
      </c>
      <c r="L434" s="5" t="str">
        <f>_xlfn.XLOOKUP(Logs_Reseau6[[#This Row],[Id_Client]],Clients_Churn[ID_Client],Clients_Churn[Duree_Cumulee_Panne_Min],"Non Trouvée")</f>
        <v>Non Trouvée</v>
      </c>
      <c r="M434" s="5" t="str">
        <f>_xlfn.XLOOKUP(Logs_Reseau6[[#This Row],[Id_Client]],Clients_Churn[ID_Client],Clients_Churn[Anciennete_Mois],"Rien à signaler")</f>
        <v>Rien à signaler</v>
      </c>
      <c r="N434" s="5" t="e">
        <f>Logs_Reseau6[[#This Row],[Anciennette]]/24</f>
        <v>#VALUE!</v>
      </c>
      <c r="O434" s="5" t="e">
        <f>Logs_Reseau6[[#This Row],[Duree_Cumulée_Panne]]/1440</f>
        <v>#VALUE!</v>
      </c>
      <c r="P43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35" spans="1:16" hidden="1" x14ac:dyDescent="0.25">
      <c r="A435" s="2">
        <v>45217</v>
      </c>
      <c r="B435" s="1">
        <v>0.19375000000000001</v>
      </c>
      <c r="C435" t="s">
        <v>1448</v>
      </c>
      <c r="D435">
        <v>56</v>
      </c>
      <c r="E435" t="s">
        <v>1300</v>
      </c>
      <c r="F435" t="str">
        <f>_xlfn.XLOOKUP(Logs_Reseau6[[#This Row],[Cell_ID]],Registre[ID_Antenne],Registre[Province_RDC],"Non Trouvée")</f>
        <v>Non Trouvée</v>
      </c>
      <c r="G435" t="str">
        <f>_xlfn.XLOOKUP(Logs_Reseau6[[#This Row],[Province]],Clients_Churn[Province_Client],Clients_Churn[ID_Client],"Aucun")</f>
        <v>Aucun</v>
      </c>
      <c r="H435" t="str">
        <f>_xlfn.XLOOKUP(Logs_Reseau6[[#This Row],[Cell_ID]],Registre[ID_Antenne],Registre[Technologie],"Rien à signaler")</f>
        <v>Rien à signaler</v>
      </c>
      <c r="I435" t="str">
        <f>_xlfn.XLOOKUP(Logs_Reseau6[[#This Row],[Cell_ID]],Registre[ID_Antenne],Registre[Equipementier],"Non Trouvée")</f>
        <v>Non Trouvée</v>
      </c>
      <c r="J435" t="str">
        <f>_xlfn.XLOOKUP(Logs_Reseau6[[#This Row],[Id_Client]],Clients_Churn[ID_Client],Clients_Churn[Type_Forfait],"Pas d'information")</f>
        <v>Pas d'information</v>
      </c>
      <c r="K435" s="5" t="str">
        <f>IF(Logs_Reseau6[[#This Row],[Type_Forfait]]="Pro Monde","B2B","B2C")</f>
        <v>B2C</v>
      </c>
      <c r="L435" s="5" t="str">
        <f>_xlfn.XLOOKUP(Logs_Reseau6[[#This Row],[Id_Client]],Clients_Churn[ID_Client],Clients_Churn[Duree_Cumulee_Panne_Min],"Non Trouvée")</f>
        <v>Non Trouvée</v>
      </c>
      <c r="M435" s="5" t="str">
        <f>_xlfn.XLOOKUP(Logs_Reseau6[[#This Row],[Id_Client]],Clients_Churn[ID_Client],Clients_Churn[Anciennete_Mois],"Rien à signaler")</f>
        <v>Rien à signaler</v>
      </c>
      <c r="N435" s="5" t="e">
        <f>Logs_Reseau6[[#This Row],[Anciennette]]/24</f>
        <v>#VALUE!</v>
      </c>
      <c r="O435" s="5" t="e">
        <f>Logs_Reseau6[[#This Row],[Duree_Cumulée_Panne]]/1440</f>
        <v>#VALUE!</v>
      </c>
      <c r="P43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36" spans="1:16" hidden="1" x14ac:dyDescent="0.25">
      <c r="A436" s="2">
        <v>45217</v>
      </c>
      <c r="B436" s="1">
        <v>0.50416666666666665</v>
      </c>
      <c r="C436" t="s">
        <v>1448</v>
      </c>
      <c r="D436">
        <v>55</v>
      </c>
      <c r="E436" t="s">
        <v>1305</v>
      </c>
      <c r="F436" t="str">
        <f>_xlfn.XLOOKUP(Logs_Reseau6[[#This Row],[Cell_ID]],Registre[ID_Antenne],Registre[Province_RDC],"Non Trouvée")</f>
        <v>Non Trouvée</v>
      </c>
      <c r="G436" t="str">
        <f>_xlfn.XLOOKUP(Logs_Reseau6[[#This Row],[Province]],Clients_Churn[Province_Client],Clients_Churn[ID_Client],"Aucun")</f>
        <v>Aucun</v>
      </c>
      <c r="H436" t="str">
        <f>_xlfn.XLOOKUP(Logs_Reseau6[[#This Row],[Cell_ID]],Registre[ID_Antenne],Registre[Technologie],"Rien à signaler")</f>
        <v>Rien à signaler</v>
      </c>
      <c r="I436" t="str">
        <f>_xlfn.XLOOKUP(Logs_Reseau6[[#This Row],[Cell_ID]],Registre[ID_Antenne],Registre[Equipementier],"Non Trouvée")</f>
        <v>Non Trouvée</v>
      </c>
      <c r="J436" t="str">
        <f>_xlfn.XLOOKUP(Logs_Reseau6[[#This Row],[Id_Client]],Clients_Churn[ID_Client],Clients_Churn[Type_Forfait],"Pas d'information")</f>
        <v>Pas d'information</v>
      </c>
      <c r="K436" s="5" t="str">
        <f>IF(Logs_Reseau6[[#This Row],[Type_Forfait]]="Pro Monde","B2B","B2C")</f>
        <v>B2C</v>
      </c>
      <c r="L436" s="5" t="str">
        <f>_xlfn.XLOOKUP(Logs_Reseau6[[#This Row],[Id_Client]],Clients_Churn[ID_Client],Clients_Churn[Duree_Cumulee_Panne_Min],"Non Trouvée")</f>
        <v>Non Trouvée</v>
      </c>
      <c r="M436" s="5" t="str">
        <f>_xlfn.XLOOKUP(Logs_Reseau6[[#This Row],[Id_Client]],Clients_Churn[ID_Client],Clients_Churn[Anciennete_Mois],"Rien à signaler")</f>
        <v>Rien à signaler</v>
      </c>
      <c r="N436" s="5" t="e">
        <f>Logs_Reseau6[[#This Row],[Anciennette]]/24</f>
        <v>#VALUE!</v>
      </c>
      <c r="O436" s="5" t="e">
        <f>Logs_Reseau6[[#This Row],[Duree_Cumulée_Panne]]/1440</f>
        <v>#VALUE!</v>
      </c>
      <c r="P43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37" spans="1:16" hidden="1" x14ac:dyDescent="0.25">
      <c r="A437" s="2">
        <v>45219</v>
      </c>
      <c r="B437" s="1">
        <v>7.6388888888888895E-2</v>
      </c>
      <c r="C437" t="s">
        <v>1448</v>
      </c>
      <c r="D437">
        <v>93</v>
      </c>
      <c r="E437" t="s">
        <v>1305</v>
      </c>
      <c r="F437" t="str">
        <f>_xlfn.XLOOKUP(Logs_Reseau6[[#This Row],[Cell_ID]],Registre[ID_Antenne],Registre[Province_RDC],"Non Trouvée")</f>
        <v>Non Trouvée</v>
      </c>
      <c r="G437" t="str">
        <f>_xlfn.XLOOKUP(Logs_Reseau6[[#This Row],[Province]],Clients_Churn[Province_Client],Clients_Churn[ID_Client],"Aucun")</f>
        <v>Aucun</v>
      </c>
      <c r="H437" t="str">
        <f>_xlfn.XLOOKUP(Logs_Reseau6[[#This Row],[Cell_ID]],Registre[ID_Antenne],Registre[Technologie],"Rien à signaler")</f>
        <v>Rien à signaler</v>
      </c>
      <c r="I437" t="str">
        <f>_xlfn.XLOOKUP(Logs_Reseau6[[#This Row],[Cell_ID]],Registre[ID_Antenne],Registre[Equipementier],"Non Trouvée")</f>
        <v>Non Trouvée</v>
      </c>
      <c r="J437" t="str">
        <f>_xlfn.XLOOKUP(Logs_Reseau6[[#This Row],[Id_Client]],Clients_Churn[ID_Client],Clients_Churn[Type_Forfait],"Pas d'information")</f>
        <v>Pas d'information</v>
      </c>
      <c r="K437" s="5" t="str">
        <f>IF(Logs_Reseau6[[#This Row],[Type_Forfait]]="Pro Monde","B2B","B2C")</f>
        <v>B2C</v>
      </c>
      <c r="L437" s="5" t="str">
        <f>_xlfn.XLOOKUP(Logs_Reseau6[[#This Row],[Id_Client]],Clients_Churn[ID_Client],Clients_Churn[Duree_Cumulee_Panne_Min],"Non Trouvée")</f>
        <v>Non Trouvée</v>
      </c>
      <c r="M437" s="5" t="str">
        <f>_xlfn.XLOOKUP(Logs_Reseau6[[#This Row],[Id_Client]],Clients_Churn[ID_Client],Clients_Churn[Anciennete_Mois],"Rien à signaler")</f>
        <v>Rien à signaler</v>
      </c>
      <c r="N437" s="5" t="e">
        <f>Logs_Reseau6[[#This Row],[Anciennette]]/24</f>
        <v>#VALUE!</v>
      </c>
      <c r="O437" s="5" t="e">
        <f>Logs_Reseau6[[#This Row],[Duree_Cumulée_Panne]]/1440</f>
        <v>#VALUE!</v>
      </c>
      <c r="P43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38" spans="1:16" x14ac:dyDescent="0.25">
      <c r="A438" s="2">
        <v>45200</v>
      </c>
      <c r="B438" s="1">
        <v>0.51111111111111107</v>
      </c>
      <c r="C438" t="s">
        <v>1033</v>
      </c>
      <c r="D438">
        <v>22</v>
      </c>
      <c r="E438" t="s">
        <v>1305</v>
      </c>
      <c r="F438" t="str">
        <f>_xlfn.XLOOKUP(Logs_Reseau6[[#This Row],[Cell_ID]],Registre[ID_Antenne],Registre[Province_RDC],"Non Trouvée")</f>
        <v>Kwilu</v>
      </c>
      <c r="G438" t="str">
        <f>_xlfn.XLOOKUP(Logs_Reseau6[[#This Row],[Province]],Clients_Churn[Province_Client],Clients_Churn[ID_Client],"Aucun")</f>
        <v>CLI-00009</v>
      </c>
      <c r="H438" t="str">
        <f>_xlfn.XLOOKUP(Logs_Reseau6[[#This Row],[Cell_ID]],Registre[ID_Antenne],Registre[Technologie],"Rien à signaler")</f>
        <v>4G</v>
      </c>
      <c r="I438" t="str">
        <f>_xlfn.XLOOKUP(Logs_Reseau6[[#This Row],[Cell_ID]],Registre[ID_Antenne],Registre[Equipementier],"Non Trouvée")</f>
        <v>ZTE</v>
      </c>
      <c r="J438" t="str">
        <f>_xlfn.XLOOKUP(Logs_Reseau6[[#This Row],[Id_Client]],Clients_Churn[ID_Client],Clients_Churn[Type_Forfait],"Pas d'information")</f>
        <v>Pro Monde</v>
      </c>
      <c r="K438" s="5" t="str">
        <f>IF(Logs_Reseau6[[#This Row],[Type_Forfait]]="Pro Monde","B2B","B2C")</f>
        <v>B2B</v>
      </c>
      <c r="L438" s="5">
        <f>_xlfn.XLOOKUP(Logs_Reseau6[[#This Row],[Id_Client]],Clients_Churn[ID_Client],Clients_Churn[Duree_Cumulee_Panne_Min],"Non Trouvée")</f>
        <v>297</v>
      </c>
      <c r="M438" s="5">
        <f>_xlfn.XLOOKUP(Logs_Reseau6[[#This Row],[Id_Client]],Clients_Churn[ID_Client],Clients_Churn[Anciennete_Mois],"Rien à signaler")</f>
        <v>105</v>
      </c>
      <c r="N438" s="11">
        <f>Logs_Reseau6[[#This Row],[Anciennette]]/24</f>
        <v>4.375</v>
      </c>
      <c r="O438" s="1">
        <f>Logs_Reseau6[[#This Row],[Duree_Cumulée_Panne]]/1440</f>
        <v>0.20624999999999999</v>
      </c>
      <c r="P43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39" spans="1:16" x14ac:dyDescent="0.25">
      <c r="A439" s="2">
        <v>45213</v>
      </c>
      <c r="B439" s="1">
        <v>0.1451388888888889</v>
      </c>
      <c r="C439" t="s">
        <v>1033</v>
      </c>
      <c r="D439">
        <v>105</v>
      </c>
      <c r="E439" t="s">
        <v>1303</v>
      </c>
      <c r="F439" t="str">
        <f>_xlfn.XLOOKUP(Logs_Reseau6[[#This Row],[Cell_ID]],Registre[ID_Antenne],Registre[Province_RDC],"Non Trouvée")</f>
        <v>Kwilu</v>
      </c>
      <c r="G439" t="str">
        <f>_xlfn.XLOOKUP(Logs_Reseau6[[#This Row],[Province]],Clients_Churn[Province_Client],Clients_Churn[ID_Client],"Aucun")</f>
        <v>CLI-00009</v>
      </c>
      <c r="H439" t="str">
        <f>_xlfn.XLOOKUP(Logs_Reseau6[[#This Row],[Cell_ID]],Registre[ID_Antenne],Registre[Technologie],"Rien à signaler")</f>
        <v>4G</v>
      </c>
      <c r="I439" t="str">
        <f>_xlfn.XLOOKUP(Logs_Reseau6[[#This Row],[Cell_ID]],Registre[ID_Antenne],Registre[Equipementier],"Non Trouvée")</f>
        <v>ZTE</v>
      </c>
      <c r="J439" t="str">
        <f>_xlfn.XLOOKUP(Logs_Reseau6[[#This Row],[Id_Client]],Clients_Churn[ID_Client],Clients_Churn[Type_Forfait],"Pas d'information")</f>
        <v>Pro Monde</v>
      </c>
      <c r="K439" s="5" t="str">
        <f>IF(Logs_Reseau6[[#This Row],[Type_Forfait]]="Pro Monde","B2B","B2C")</f>
        <v>B2B</v>
      </c>
      <c r="L439" s="5">
        <f>_xlfn.XLOOKUP(Logs_Reseau6[[#This Row],[Id_Client]],Clients_Churn[ID_Client],Clients_Churn[Duree_Cumulee_Panne_Min],"Non Trouvée")</f>
        <v>297</v>
      </c>
      <c r="M439" s="5">
        <f>_xlfn.XLOOKUP(Logs_Reseau6[[#This Row],[Id_Client]],Clients_Churn[ID_Client],Clients_Churn[Anciennete_Mois],"Rien à signaler")</f>
        <v>105</v>
      </c>
      <c r="N439" s="11">
        <f>Logs_Reseau6[[#This Row],[Anciennette]]/24</f>
        <v>4.375</v>
      </c>
      <c r="O439" s="1">
        <f>Logs_Reseau6[[#This Row],[Duree_Cumulée_Panne]]/1440</f>
        <v>0.20624999999999999</v>
      </c>
      <c r="P43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40" spans="1:16" x14ac:dyDescent="0.25">
      <c r="A440" s="2">
        <v>45206</v>
      </c>
      <c r="B440" s="1">
        <v>0.23333333333333334</v>
      </c>
      <c r="C440" t="s">
        <v>1056</v>
      </c>
      <c r="D440">
        <v>26</v>
      </c>
      <c r="E440" t="s">
        <v>1305</v>
      </c>
      <c r="F440" t="str">
        <f>_xlfn.XLOOKUP(Logs_Reseau6[[#This Row],[Cell_ID]],Registre[ID_Antenne],Registre[Province_RDC],"Non Trouvée")</f>
        <v>Mai-Ndombe</v>
      </c>
      <c r="G440" t="str">
        <f>_xlfn.XLOOKUP(Logs_Reseau6[[#This Row],[Province]],Clients_Churn[Province_Client],Clients_Churn[ID_Client],"Aucun")</f>
        <v>CLI-00090</v>
      </c>
      <c r="H440" t="str">
        <f>_xlfn.XLOOKUP(Logs_Reseau6[[#This Row],[Cell_ID]],Registre[ID_Antenne],Registre[Technologie],"Rien à signaler")</f>
        <v>4G</v>
      </c>
      <c r="I440" t="str">
        <f>_xlfn.XLOOKUP(Logs_Reseau6[[#This Row],[Cell_ID]],Registre[ID_Antenne],Registre[Equipementier],"Non Trouvée")</f>
        <v>Huawei</v>
      </c>
      <c r="J440" t="str">
        <f>_xlfn.XLOOKUP(Logs_Reseau6[[#This Row],[Id_Client]],Clients_Churn[ID_Client],Clients_Churn[Type_Forfait],"Pas d'information")</f>
        <v>Bloqué 5Go</v>
      </c>
      <c r="K440" s="5" t="str">
        <f>IF(Logs_Reseau6[[#This Row],[Type_Forfait]]="Pro Monde","B2B","B2C")</f>
        <v>B2C</v>
      </c>
      <c r="L440" s="5">
        <f>_xlfn.XLOOKUP(Logs_Reseau6[[#This Row],[Id_Client]],Clients_Churn[ID_Client],Clients_Churn[Duree_Cumulee_Panne_Min],"Non Trouvée")</f>
        <v>400</v>
      </c>
      <c r="M440" s="5">
        <f>_xlfn.XLOOKUP(Logs_Reseau6[[#This Row],[Id_Client]],Clients_Churn[ID_Client],Clients_Churn[Anciennete_Mois],"Rien à signaler")</f>
        <v>15</v>
      </c>
      <c r="N440" s="11">
        <f>Logs_Reseau6[[#This Row],[Anciennette]]/24</f>
        <v>0.625</v>
      </c>
      <c r="O440" s="1">
        <f>Logs_Reseau6[[#This Row],[Duree_Cumulée_Panne]]/1440</f>
        <v>0.27777777777777779</v>
      </c>
      <c r="P44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41" spans="1:16" x14ac:dyDescent="0.25">
      <c r="A441" s="2">
        <v>45205</v>
      </c>
      <c r="B441" s="1">
        <v>0.35347222222222224</v>
      </c>
      <c r="C441" t="s">
        <v>1104</v>
      </c>
      <c r="D441">
        <v>52</v>
      </c>
      <c r="E441" t="s">
        <v>1303</v>
      </c>
      <c r="F441" t="str">
        <f>_xlfn.XLOOKUP(Logs_Reseau6[[#This Row],[Cell_ID]],Registre[ID_Antenne],Registre[Province_RDC],"Non Trouvée")</f>
        <v>Tanganyika</v>
      </c>
      <c r="G441" t="str">
        <f>_xlfn.XLOOKUP(Logs_Reseau6[[#This Row],[Province]],Clients_Churn[Province_Client],Clients_Churn[ID_Client],"Aucun")</f>
        <v>CLI-00007</v>
      </c>
      <c r="H441" t="str">
        <f>_xlfn.XLOOKUP(Logs_Reseau6[[#This Row],[Cell_ID]],Registre[ID_Antenne],Registre[Technologie],"Rien à signaler")</f>
        <v>3G</v>
      </c>
      <c r="I441" t="str">
        <f>_xlfn.XLOOKUP(Logs_Reseau6[[#This Row],[Cell_ID]],Registre[ID_Antenne],Registre[Equipementier],"Non Trouvée")</f>
        <v>Nokia</v>
      </c>
      <c r="J441" t="str">
        <f>_xlfn.XLOOKUP(Logs_Reseau6[[#This Row],[Id_Client]],Clients_Churn[ID_Client],Clients_Churn[Type_Forfait],"Pas d'information")</f>
        <v>Bloqué 5Go</v>
      </c>
      <c r="K441" s="5" t="str">
        <f>IF(Logs_Reseau6[[#This Row],[Type_Forfait]]="Pro Monde","B2B","B2C")</f>
        <v>B2C</v>
      </c>
      <c r="L441" s="5">
        <f>_xlfn.XLOOKUP(Logs_Reseau6[[#This Row],[Id_Client]],Clients_Churn[ID_Client],Clients_Churn[Duree_Cumulee_Panne_Min],"Non Trouvée")</f>
        <v>112</v>
      </c>
      <c r="M441" s="5">
        <f>_xlfn.XLOOKUP(Logs_Reseau6[[#This Row],[Id_Client]],Clients_Churn[ID_Client],Clients_Churn[Anciennete_Mois],"Rien à signaler")</f>
        <v>110</v>
      </c>
      <c r="N441" s="11">
        <f>Logs_Reseau6[[#This Row],[Anciennette]]/24</f>
        <v>4.583333333333333</v>
      </c>
      <c r="O441" s="1">
        <f>Logs_Reseau6[[#This Row],[Duree_Cumulée_Panne]]/1440</f>
        <v>7.7777777777777779E-2</v>
      </c>
      <c r="P44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42" spans="1:16" hidden="1" x14ac:dyDescent="0.25">
      <c r="A442" s="2">
        <v>45215</v>
      </c>
      <c r="B442" s="1">
        <v>0.74375000000000002</v>
      </c>
      <c r="C442" t="s">
        <v>1496</v>
      </c>
      <c r="D442">
        <v>103</v>
      </c>
      <c r="E442" t="s">
        <v>1300</v>
      </c>
      <c r="F442" t="str">
        <f>_xlfn.XLOOKUP(Logs_Reseau6[[#This Row],[Cell_ID]],Registre[ID_Antenne],Registre[Province_RDC],"Non Trouvée")</f>
        <v>Non Trouvée</v>
      </c>
      <c r="G442" t="str">
        <f>_xlfn.XLOOKUP(Logs_Reseau6[[#This Row],[Province]],Clients_Churn[Province_Client],Clients_Churn[ID_Client],"Aucun")</f>
        <v>Aucun</v>
      </c>
      <c r="H442" t="str">
        <f>_xlfn.XLOOKUP(Logs_Reseau6[[#This Row],[Cell_ID]],Registre[ID_Antenne],Registre[Technologie],"Rien à signaler")</f>
        <v>Rien à signaler</v>
      </c>
      <c r="I442" t="str">
        <f>_xlfn.XLOOKUP(Logs_Reseau6[[#This Row],[Cell_ID]],Registre[ID_Antenne],Registre[Equipementier],"Non Trouvée")</f>
        <v>Non Trouvée</v>
      </c>
      <c r="J442" t="str">
        <f>_xlfn.XLOOKUP(Logs_Reseau6[[#This Row],[Id_Client]],Clients_Churn[ID_Client],Clients_Churn[Type_Forfait],"Pas d'information")</f>
        <v>Pas d'information</v>
      </c>
      <c r="K442" s="5" t="str">
        <f>IF(Logs_Reseau6[[#This Row],[Type_Forfait]]="Pro Monde","B2B","B2C")</f>
        <v>B2C</v>
      </c>
      <c r="L442" s="5" t="str">
        <f>_xlfn.XLOOKUP(Logs_Reseau6[[#This Row],[Id_Client]],Clients_Churn[ID_Client],Clients_Churn[Duree_Cumulee_Panne_Min],"Non Trouvée")</f>
        <v>Non Trouvée</v>
      </c>
      <c r="M442" s="5" t="str">
        <f>_xlfn.XLOOKUP(Logs_Reseau6[[#This Row],[Id_Client]],Clients_Churn[ID_Client],Clients_Churn[Anciennete_Mois],"Rien à signaler")</f>
        <v>Rien à signaler</v>
      </c>
      <c r="N442" s="5" t="e">
        <f>Logs_Reseau6[[#This Row],[Anciennette]]/24</f>
        <v>#VALUE!</v>
      </c>
      <c r="O442" s="5" t="e">
        <f>Logs_Reseau6[[#This Row],[Duree_Cumulée_Panne]]/1440</f>
        <v>#VALUE!</v>
      </c>
      <c r="P44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43" spans="1:16" x14ac:dyDescent="0.25">
      <c r="A443" s="2">
        <v>45211</v>
      </c>
      <c r="B443" s="1">
        <v>0.42499999999999999</v>
      </c>
      <c r="C443" t="s">
        <v>1070</v>
      </c>
      <c r="D443">
        <v>57</v>
      </c>
      <c r="E443" t="s">
        <v>1303</v>
      </c>
      <c r="F443" t="str">
        <f>_xlfn.XLOOKUP(Logs_Reseau6[[#This Row],[Cell_ID]],Registre[ID_Antenne],Registre[Province_RDC],"Non Trouvée")</f>
        <v>Tshopo</v>
      </c>
      <c r="G443" t="str">
        <f>_xlfn.XLOOKUP(Logs_Reseau6[[#This Row],[Province]],Clients_Churn[Province_Client],Clients_Churn[ID_Client],"Aucun")</f>
        <v>CLI-00100</v>
      </c>
      <c r="H443" t="str">
        <f>_xlfn.XLOOKUP(Logs_Reseau6[[#This Row],[Cell_ID]],Registre[ID_Antenne],Registre[Technologie],"Rien à signaler")</f>
        <v>5G</v>
      </c>
      <c r="I443" t="str">
        <f>_xlfn.XLOOKUP(Logs_Reseau6[[#This Row],[Cell_ID]],Registre[ID_Antenne],Registre[Equipementier],"Non Trouvée")</f>
        <v>ZTE</v>
      </c>
      <c r="J443" t="str">
        <f>_xlfn.XLOOKUP(Logs_Reseau6[[#This Row],[Id_Client]],Clients_Churn[ID_Client],Clients_Churn[Type_Forfait],"Pas d'information")</f>
        <v>Bloqué 5Go</v>
      </c>
      <c r="K443" s="5" t="str">
        <f>IF(Logs_Reseau6[[#This Row],[Type_Forfait]]="Pro Monde","B2B","B2C")</f>
        <v>B2C</v>
      </c>
      <c r="L443" s="5">
        <f>_xlfn.XLOOKUP(Logs_Reseau6[[#This Row],[Id_Client]],Clients_Churn[ID_Client],Clients_Churn[Duree_Cumulee_Panne_Min],"Non Trouvée")</f>
        <v>388</v>
      </c>
      <c r="M443" s="5">
        <f>_xlfn.XLOOKUP(Logs_Reseau6[[#This Row],[Id_Client]],Clients_Churn[ID_Client],Clients_Churn[Anciennete_Mois],"Rien à signaler")</f>
        <v>74</v>
      </c>
      <c r="N443" s="11">
        <f>Logs_Reseau6[[#This Row],[Anciennette]]/24</f>
        <v>3.0833333333333335</v>
      </c>
      <c r="O443" s="1">
        <f>Logs_Reseau6[[#This Row],[Duree_Cumulée_Panne]]/1440</f>
        <v>0.26944444444444443</v>
      </c>
      <c r="P44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44" spans="1:16" x14ac:dyDescent="0.25">
      <c r="A444" s="2">
        <v>45227</v>
      </c>
      <c r="B444" s="1">
        <v>0.57777777777777772</v>
      </c>
      <c r="C444" t="s">
        <v>1070</v>
      </c>
      <c r="D444">
        <v>50</v>
      </c>
      <c r="E444" t="s">
        <v>1305</v>
      </c>
      <c r="F444" t="str">
        <f>_xlfn.XLOOKUP(Logs_Reseau6[[#This Row],[Cell_ID]],Registre[ID_Antenne],Registre[Province_RDC],"Non Trouvée")</f>
        <v>Tshopo</v>
      </c>
      <c r="G444" t="str">
        <f>_xlfn.XLOOKUP(Logs_Reseau6[[#This Row],[Province]],Clients_Churn[Province_Client],Clients_Churn[ID_Client],"Aucun")</f>
        <v>CLI-00100</v>
      </c>
      <c r="H444" t="str">
        <f>_xlfn.XLOOKUP(Logs_Reseau6[[#This Row],[Cell_ID]],Registre[ID_Antenne],Registre[Technologie],"Rien à signaler")</f>
        <v>5G</v>
      </c>
      <c r="I444" t="str">
        <f>_xlfn.XLOOKUP(Logs_Reseau6[[#This Row],[Cell_ID]],Registre[ID_Antenne],Registre[Equipementier],"Non Trouvée")</f>
        <v>ZTE</v>
      </c>
      <c r="J444" t="str">
        <f>_xlfn.XLOOKUP(Logs_Reseau6[[#This Row],[Id_Client]],Clients_Churn[ID_Client],Clients_Churn[Type_Forfait],"Pas d'information")</f>
        <v>Bloqué 5Go</v>
      </c>
      <c r="K444" s="5" t="str">
        <f>IF(Logs_Reseau6[[#This Row],[Type_Forfait]]="Pro Monde","B2B","B2C")</f>
        <v>B2C</v>
      </c>
      <c r="L444" s="5">
        <f>_xlfn.XLOOKUP(Logs_Reseau6[[#This Row],[Id_Client]],Clients_Churn[ID_Client],Clients_Churn[Duree_Cumulee_Panne_Min],"Non Trouvée")</f>
        <v>388</v>
      </c>
      <c r="M444" s="5">
        <f>_xlfn.XLOOKUP(Logs_Reseau6[[#This Row],[Id_Client]],Clients_Churn[ID_Client],Clients_Churn[Anciennete_Mois],"Rien à signaler")</f>
        <v>74</v>
      </c>
      <c r="N444" s="11">
        <f>Logs_Reseau6[[#This Row],[Anciennette]]/24</f>
        <v>3.0833333333333335</v>
      </c>
      <c r="O444" s="1">
        <f>Logs_Reseau6[[#This Row],[Duree_Cumulée_Panne]]/1440</f>
        <v>0.26944444444444443</v>
      </c>
      <c r="P44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45" spans="1:16" x14ac:dyDescent="0.25">
      <c r="A445" s="2">
        <v>45221</v>
      </c>
      <c r="B445" s="1">
        <v>0.26597222222222222</v>
      </c>
      <c r="C445" t="s">
        <v>1098</v>
      </c>
      <c r="D445">
        <v>88</v>
      </c>
      <c r="E445" t="s">
        <v>1303</v>
      </c>
      <c r="F445" t="str">
        <f>_xlfn.XLOOKUP(Logs_Reseau6[[#This Row],[Cell_ID]],Registre[ID_Antenne],Registre[Province_RDC],"Non Trouvée")</f>
        <v>Kinshasa</v>
      </c>
      <c r="G445" t="str">
        <f>_xlfn.XLOOKUP(Logs_Reseau6[[#This Row],[Province]],Clients_Churn[Province_Client],Clients_Churn[ID_Client],"Aucun")</f>
        <v>CLI-00184</v>
      </c>
      <c r="H445" t="str">
        <f>_xlfn.XLOOKUP(Logs_Reseau6[[#This Row],[Cell_ID]],Registre[ID_Antenne],Registre[Technologie],"Rien à signaler")</f>
        <v>3G</v>
      </c>
      <c r="I445" t="str">
        <f>_xlfn.XLOOKUP(Logs_Reseau6[[#This Row],[Cell_ID]],Registre[ID_Antenne],Registre[Equipementier],"Non Trouvée")</f>
        <v>Nokia</v>
      </c>
      <c r="J445" t="str">
        <f>_xlfn.XLOOKUP(Logs_Reseau6[[#This Row],[Id_Client]],Clients_Churn[ID_Client],Clients_Churn[Type_Forfait],"Pas d'information")</f>
        <v>Premium 5G 150Go</v>
      </c>
      <c r="K445" s="5" t="str">
        <f>IF(Logs_Reseau6[[#This Row],[Type_Forfait]]="Pro Monde","B2B","B2C")</f>
        <v>B2C</v>
      </c>
      <c r="L445" s="5">
        <f>_xlfn.XLOOKUP(Logs_Reseau6[[#This Row],[Id_Client]],Clients_Churn[ID_Client],Clients_Churn[Duree_Cumulee_Panne_Min],"Non Trouvée")</f>
        <v>191</v>
      </c>
      <c r="M445" s="5">
        <f>_xlfn.XLOOKUP(Logs_Reseau6[[#This Row],[Id_Client]],Clients_Churn[ID_Client],Clients_Churn[Anciennete_Mois],"Rien à signaler")</f>
        <v>71</v>
      </c>
      <c r="N445" s="11">
        <f>Logs_Reseau6[[#This Row],[Anciennette]]/24</f>
        <v>2.9583333333333335</v>
      </c>
      <c r="O445" s="1">
        <f>Logs_Reseau6[[#This Row],[Duree_Cumulée_Panne]]/1440</f>
        <v>0.13263888888888889</v>
      </c>
      <c r="P44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46" spans="1:16" hidden="1" x14ac:dyDescent="0.25">
      <c r="A446" s="2">
        <v>45230</v>
      </c>
      <c r="B446" s="1">
        <v>6.7361111111111108E-2</v>
      </c>
      <c r="C446" t="s">
        <v>1338</v>
      </c>
      <c r="D446">
        <v>75</v>
      </c>
      <c r="E446" t="s">
        <v>1300</v>
      </c>
      <c r="F446" t="str">
        <f>_xlfn.XLOOKUP(Logs_Reseau6[[#This Row],[Cell_ID]],Registre[ID_Antenne],Registre[Province_RDC],"Non Trouvée")</f>
        <v>Non Trouvée</v>
      </c>
      <c r="G446" t="str">
        <f>_xlfn.XLOOKUP(Logs_Reseau6[[#This Row],[Province]],Clients_Churn[Province_Client],Clients_Churn[ID_Client],"Aucun")</f>
        <v>Aucun</v>
      </c>
      <c r="H446" t="str">
        <f>_xlfn.XLOOKUP(Logs_Reseau6[[#This Row],[Cell_ID]],Registre[ID_Antenne],Registre[Technologie],"Rien à signaler")</f>
        <v>Rien à signaler</v>
      </c>
      <c r="I446" t="str">
        <f>_xlfn.XLOOKUP(Logs_Reseau6[[#This Row],[Cell_ID]],Registre[ID_Antenne],Registre[Equipementier],"Non Trouvée")</f>
        <v>Non Trouvée</v>
      </c>
      <c r="J446" t="str">
        <f>_xlfn.XLOOKUP(Logs_Reseau6[[#This Row],[Id_Client]],Clients_Churn[ID_Client],Clients_Churn[Type_Forfait],"Pas d'information")</f>
        <v>Pas d'information</v>
      </c>
      <c r="K446" s="5" t="str">
        <f>IF(Logs_Reseau6[[#This Row],[Type_Forfait]]="Pro Monde","B2B","B2C")</f>
        <v>B2C</v>
      </c>
      <c r="L446" s="5" t="str">
        <f>_xlfn.XLOOKUP(Logs_Reseau6[[#This Row],[Id_Client]],Clients_Churn[ID_Client],Clients_Churn[Duree_Cumulee_Panne_Min],"Non Trouvée")</f>
        <v>Non Trouvée</v>
      </c>
      <c r="M446" s="5" t="str">
        <f>_xlfn.XLOOKUP(Logs_Reseau6[[#This Row],[Id_Client]],Clients_Churn[ID_Client],Clients_Churn[Anciennete_Mois],"Rien à signaler")</f>
        <v>Rien à signaler</v>
      </c>
      <c r="N446" s="5" t="e">
        <f>Logs_Reseau6[[#This Row],[Anciennette]]/24</f>
        <v>#VALUE!</v>
      </c>
      <c r="O446" s="5" t="e">
        <f>Logs_Reseau6[[#This Row],[Duree_Cumulée_Panne]]/1440</f>
        <v>#VALUE!</v>
      </c>
      <c r="P44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47" spans="1:16" hidden="1" x14ac:dyDescent="0.25">
      <c r="A447" s="2">
        <v>45218</v>
      </c>
      <c r="B447" s="1">
        <v>0.66597222222222219</v>
      </c>
      <c r="C447" t="s">
        <v>1620</v>
      </c>
      <c r="D447">
        <v>90</v>
      </c>
      <c r="E447" t="s">
        <v>1305</v>
      </c>
      <c r="F447" t="str">
        <f>_xlfn.XLOOKUP(Logs_Reseau6[[#This Row],[Cell_ID]],Registre[ID_Antenne],Registre[Province_RDC],"Non Trouvée")</f>
        <v>Non Trouvée</v>
      </c>
      <c r="G447" t="str">
        <f>_xlfn.XLOOKUP(Logs_Reseau6[[#This Row],[Province]],Clients_Churn[Province_Client],Clients_Churn[ID_Client],"Aucun")</f>
        <v>Aucun</v>
      </c>
      <c r="H447" t="str">
        <f>_xlfn.XLOOKUP(Logs_Reseau6[[#This Row],[Cell_ID]],Registre[ID_Antenne],Registre[Technologie],"Rien à signaler")</f>
        <v>Rien à signaler</v>
      </c>
      <c r="I447" t="str">
        <f>_xlfn.XLOOKUP(Logs_Reseau6[[#This Row],[Cell_ID]],Registre[ID_Antenne],Registre[Equipementier],"Non Trouvée")</f>
        <v>Non Trouvée</v>
      </c>
      <c r="J447" t="str">
        <f>_xlfn.XLOOKUP(Logs_Reseau6[[#This Row],[Id_Client]],Clients_Churn[ID_Client],Clients_Churn[Type_Forfait],"Pas d'information")</f>
        <v>Pas d'information</v>
      </c>
      <c r="K447" s="5" t="str">
        <f>IF(Logs_Reseau6[[#This Row],[Type_Forfait]]="Pro Monde","B2B","B2C")</f>
        <v>B2C</v>
      </c>
      <c r="L447" s="5" t="str">
        <f>_xlfn.XLOOKUP(Logs_Reseau6[[#This Row],[Id_Client]],Clients_Churn[ID_Client],Clients_Churn[Duree_Cumulee_Panne_Min],"Non Trouvée")</f>
        <v>Non Trouvée</v>
      </c>
      <c r="M447" s="5" t="str">
        <f>_xlfn.XLOOKUP(Logs_Reseau6[[#This Row],[Id_Client]],Clients_Churn[ID_Client],Clients_Churn[Anciennete_Mois],"Rien à signaler")</f>
        <v>Rien à signaler</v>
      </c>
      <c r="N447" s="5" t="e">
        <f>Logs_Reseau6[[#This Row],[Anciennette]]/24</f>
        <v>#VALUE!</v>
      </c>
      <c r="O447" s="5" t="e">
        <f>Logs_Reseau6[[#This Row],[Duree_Cumulée_Panne]]/1440</f>
        <v>#VALUE!</v>
      </c>
      <c r="P44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48" spans="1:16" x14ac:dyDescent="0.25">
      <c r="A448" s="2">
        <v>45205</v>
      </c>
      <c r="B448" s="1">
        <v>0.15416666666666667</v>
      </c>
      <c r="C448" t="s">
        <v>1293</v>
      </c>
      <c r="D448">
        <v>12</v>
      </c>
      <c r="E448" t="s">
        <v>1300</v>
      </c>
      <c r="F448" t="str">
        <f>_xlfn.XLOOKUP(Logs_Reseau6[[#This Row],[Cell_ID]],Registre[ID_Antenne],Registre[Province_RDC],"Non Trouvée")</f>
        <v>Sud-Kivu</v>
      </c>
      <c r="G448" t="str">
        <f>_xlfn.XLOOKUP(Logs_Reseau6[[#This Row],[Province]],Clients_Churn[Province_Client],Clients_Churn[ID_Client],"Aucun")</f>
        <v>CLI-00054</v>
      </c>
      <c r="H448" t="str">
        <f>_xlfn.XLOOKUP(Logs_Reseau6[[#This Row],[Cell_ID]],Registre[ID_Antenne],Registre[Technologie],"Rien à signaler")</f>
        <v>3G</v>
      </c>
      <c r="I448" t="str">
        <f>_xlfn.XLOOKUP(Logs_Reseau6[[#This Row],[Cell_ID]],Registre[ID_Antenne],Registre[Equipementier],"Non Trouvée")</f>
        <v>Nokia</v>
      </c>
      <c r="J448" t="str">
        <f>_xlfn.XLOOKUP(Logs_Reseau6[[#This Row],[Id_Client]],Clients_Churn[ID_Client],Clients_Churn[Type_Forfait],"Pas d'information")</f>
        <v>Bloqué 5Go</v>
      </c>
      <c r="K448" s="5" t="str">
        <f>IF(Logs_Reseau6[[#This Row],[Type_Forfait]]="Pro Monde","B2B","B2C")</f>
        <v>B2C</v>
      </c>
      <c r="L448" s="5">
        <f>_xlfn.XLOOKUP(Logs_Reseau6[[#This Row],[Id_Client]],Clients_Churn[ID_Client],Clients_Churn[Duree_Cumulee_Panne_Min],"Non Trouvée")</f>
        <v>40</v>
      </c>
      <c r="M448" s="5">
        <f>_xlfn.XLOOKUP(Logs_Reseau6[[#This Row],[Id_Client]],Clients_Churn[ID_Client],Clients_Churn[Anciennete_Mois],"Rien à signaler")</f>
        <v>34</v>
      </c>
      <c r="N448" s="11">
        <f>Logs_Reseau6[[#This Row],[Anciennette]]/24</f>
        <v>1.4166666666666667</v>
      </c>
      <c r="O448" s="1">
        <f>Logs_Reseau6[[#This Row],[Duree_Cumulée_Panne]]/1440</f>
        <v>2.7777777777777776E-2</v>
      </c>
      <c r="P44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49" spans="1:16" x14ac:dyDescent="0.25">
      <c r="A449" s="2">
        <v>45211</v>
      </c>
      <c r="B449" s="1">
        <v>0.10694444444444444</v>
      </c>
      <c r="C449" t="s">
        <v>1293</v>
      </c>
      <c r="D449">
        <v>87</v>
      </c>
      <c r="E449" t="s">
        <v>1305</v>
      </c>
      <c r="F449" t="str">
        <f>_xlfn.XLOOKUP(Logs_Reseau6[[#This Row],[Cell_ID]],Registre[ID_Antenne],Registre[Province_RDC],"Non Trouvée")</f>
        <v>Sud-Kivu</v>
      </c>
      <c r="G449" t="str">
        <f>_xlfn.XLOOKUP(Logs_Reseau6[[#This Row],[Province]],Clients_Churn[Province_Client],Clients_Churn[ID_Client],"Aucun")</f>
        <v>CLI-00054</v>
      </c>
      <c r="H449" t="str">
        <f>_xlfn.XLOOKUP(Logs_Reseau6[[#This Row],[Cell_ID]],Registre[ID_Antenne],Registre[Technologie],"Rien à signaler")</f>
        <v>3G</v>
      </c>
      <c r="I449" t="str">
        <f>_xlfn.XLOOKUP(Logs_Reseau6[[#This Row],[Cell_ID]],Registre[ID_Antenne],Registre[Equipementier],"Non Trouvée")</f>
        <v>Nokia</v>
      </c>
      <c r="J449" t="str">
        <f>_xlfn.XLOOKUP(Logs_Reseau6[[#This Row],[Id_Client]],Clients_Churn[ID_Client],Clients_Churn[Type_Forfait],"Pas d'information")</f>
        <v>Bloqué 5Go</v>
      </c>
      <c r="K449" s="5" t="str">
        <f>IF(Logs_Reseau6[[#This Row],[Type_Forfait]]="Pro Monde","B2B","B2C")</f>
        <v>B2C</v>
      </c>
      <c r="L449" s="5">
        <f>_xlfn.XLOOKUP(Logs_Reseau6[[#This Row],[Id_Client]],Clients_Churn[ID_Client],Clients_Churn[Duree_Cumulee_Panne_Min],"Non Trouvée")</f>
        <v>40</v>
      </c>
      <c r="M449" s="5">
        <f>_xlfn.XLOOKUP(Logs_Reseau6[[#This Row],[Id_Client]],Clients_Churn[ID_Client],Clients_Churn[Anciennete_Mois],"Rien à signaler")</f>
        <v>34</v>
      </c>
      <c r="N449" s="11">
        <f>Logs_Reseau6[[#This Row],[Anciennette]]/24</f>
        <v>1.4166666666666667</v>
      </c>
      <c r="O449" s="1">
        <f>Logs_Reseau6[[#This Row],[Duree_Cumulée_Panne]]/1440</f>
        <v>2.7777777777777776E-2</v>
      </c>
      <c r="P44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50" spans="1:16" x14ac:dyDescent="0.25">
      <c r="A450" s="2">
        <v>45221</v>
      </c>
      <c r="B450" s="1">
        <v>0.84652777777777777</v>
      </c>
      <c r="C450" t="s">
        <v>1293</v>
      </c>
      <c r="D450">
        <v>96</v>
      </c>
      <c r="E450" t="s">
        <v>1305</v>
      </c>
      <c r="F450" t="str">
        <f>_xlfn.XLOOKUP(Logs_Reseau6[[#This Row],[Cell_ID]],Registre[ID_Antenne],Registre[Province_RDC],"Non Trouvée")</f>
        <v>Sud-Kivu</v>
      </c>
      <c r="G450" t="str">
        <f>_xlfn.XLOOKUP(Logs_Reseau6[[#This Row],[Province]],Clients_Churn[Province_Client],Clients_Churn[ID_Client],"Aucun")</f>
        <v>CLI-00054</v>
      </c>
      <c r="H450" t="str">
        <f>_xlfn.XLOOKUP(Logs_Reseau6[[#This Row],[Cell_ID]],Registre[ID_Antenne],Registre[Technologie],"Rien à signaler")</f>
        <v>3G</v>
      </c>
      <c r="I450" t="str">
        <f>_xlfn.XLOOKUP(Logs_Reseau6[[#This Row],[Cell_ID]],Registre[ID_Antenne],Registre[Equipementier],"Non Trouvée")</f>
        <v>Nokia</v>
      </c>
      <c r="J450" t="str">
        <f>_xlfn.XLOOKUP(Logs_Reseau6[[#This Row],[Id_Client]],Clients_Churn[ID_Client],Clients_Churn[Type_Forfait],"Pas d'information")</f>
        <v>Bloqué 5Go</v>
      </c>
      <c r="K450" s="5" t="str">
        <f>IF(Logs_Reseau6[[#This Row],[Type_Forfait]]="Pro Monde","B2B","B2C")</f>
        <v>B2C</v>
      </c>
      <c r="L450" s="5">
        <f>_xlfn.XLOOKUP(Logs_Reseau6[[#This Row],[Id_Client]],Clients_Churn[ID_Client],Clients_Churn[Duree_Cumulee_Panne_Min],"Non Trouvée")</f>
        <v>40</v>
      </c>
      <c r="M450" s="5">
        <f>_xlfn.XLOOKUP(Logs_Reseau6[[#This Row],[Id_Client]],Clients_Churn[ID_Client],Clients_Churn[Anciennete_Mois],"Rien à signaler")</f>
        <v>34</v>
      </c>
      <c r="N450" s="11">
        <f>Logs_Reseau6[[#This Row],[Anciennette]]/24</f>
        <v>1.4166666666666667</v>
      </c>
      <c r="O450" s="1">
        <f>Logs_Reseau6[[#This Row],[Duree_Cumulée_Panne]]/1440</f>
        <v>2.7777777777777776E-2</v>
      </c>
      <c r="P45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51" spans="1:16" x14ac:dyDescent="0.25">
      <c r="A451" s="2">
        <v>45211</v>
      </c>
      <c r="B451" s="1">
        <v>0.31666666666666665</v>
      </c>
      <c r="C451" t="s">
        <v>1146</v>
      </c>
      <c r="D451">
        <v>93</v>
      </c>
      <c r="E451" t="s">
        <v>1305</v>
      </c>
      <c r="F451" t="str">
        <f>_xlfn.XLOOKUP(Logs_Reseau6[[#This Row],[Cell_ID]],Registre[ID_Antenne],Registre[Province_RDC],"Non Trouvée")</f>
        <v>Lualaba</v>
      </c>
      <c r="G451" t="str">
        <f>_xlfn.XLOOKUP(Logs_Reseau6[[#This Row],[Province]],Clients_Churn[Province_Client],Clients_Churn[ID_Client],"Aucun")</f>
        <v>CLI-00334</v>
      </c>
      <c r="H451" t="str">
        <f>_xlfn.XLOOKUP(Logs_Reseau6[[#This Row],[Cell_ID]],Registre[ID_Antenne],Registre[Technologie],"Rien à signaler")</f>
        <v>4G</v>
      </c>
      <c r="I451" t="str">
        <f>_xlfn.XLOOKUP(Logs_Reseau6[[#This Row],[Cell_ID]],Registre[ID_Antenne],Registre[Equipementier],"Non Trouvée")</f>
        <v>ZTE</v>
      </c>
      <c r="J451" t="str">
        <f>_xlfn.XLOOKUP(Logs_Reseau6[[#This Row],[Id_Client]],Clients_Churn[ID_Client],Clients_Churn[Type_Forfait],"Pas d'information")</f>
        <v>Pro Monde</v>
      </c>
      <c r="K451" s="5" t="str">
        <f>IF(Logs_Reseau6[[#This Row],[Type_Forfait]]="Pro Monde","B2B","B2C")</f>
        <v>B2B</v>
      </c>
      <c r="L451" s="5">
        <f>_xlfn.XLOOKUP(Logs_Reseau6[[#This Row],[Id_Client]],Clients_Churn[ID_Client],Clients_Churn[Duree_Cumulee_Panne_Min],"Non Trouvée")</f>
        <v>214</v>
      </c>
      <c r="M451" s="5">
        <f>_xlfn.XLOOKUP(Logs_Reseau6[[#This Row],[Id_Client]],Clients_Churn[ID_Client],Clients_Churn[Anciennete_Mois],"Rien à signaler")</f>
        <v>16</v>
      </c>
      <c r="N451" s="11">
        <f>Logs_Reseau6[[#This Row],[Anciennette]]/24</f>
        <v>0.66666666666666663</v>
      </c>
      <c r="O451" s="1">
        <f>Logs_Reseau6[[#This Row],[Duree_Cumulée_Panne]]/1440</f>
        <v>0.14861111111111111</v>
      </c>
      <c r="P45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52" spans="1:16" x14ac:dyDescent="0.25">
      <c r="A452" s="2">
        <v>45221</v>
      </c>
      <c r="B452" s="1">
        <v>4.9305555555555554E-2</v>
      </c>
      <c r="C452" t="s">
        <v>1146</v>
      </c>
      <c r="D452">
        <v>53</v>
      </c>
      <c r="E452" t="s">
        <v>1303</v>
      </c>
      <c r="F452" t="str">
        <f>_xlfn.XLOOKUP(Logs_Reseau6[[#This Row],[Cell_ID]],Registre[ID_Antenne],Registre[Province_RDC],"Non Trouvée")</f>
        <v>Lualaba</v>
      </c>
      <c r="G452" t="str">
        <f>_xlfn.XLOOKUP(Logs_Reseau6[[#This Row],[Province]],Clients_Churn[Province_Client],Clients_Churn[ID_Client],"Aucun")</f>
        <v>CLI-00334</v>
      </c>
      <c r="H452" t="str">
        <f>_xlfn.XLOOKUP(Logs_Reseau6[[#This Row],[Cell_ID]],Registre[ID_Antenne],Registre[Technologie],"Rien à signaler")</f>
        <v>4G</v>
      </c>
      <c r="I452" t="str">
        <f>_xlfn.XLOOKUP(Logs_Reseau6[[#This Row],[Cell_ID]],Registre[ID_Antenne],Registre[Equipementier],"Non Trouvée")</f>
        <v>ZTE</v>
      </c>
      <c r="J452" t="str">
        <f>_xlfn.XLOOKUP(Logs_Reseau6[[#This Row],[Id_Client]],Clients_Churn[ID_Client],Clients_Churn[Type_Forfait],"Pas d'information")</f>
        <v>Pro Monde</v>
      </c>
      <c r="K452" s="5" t="str">
        <f>IF(Logs_Reseau6[[#This Row],[Type_Forfait]]="Pro Monde","B2B","B2C")</f>
        <v>B2B</v>
      </c>
      <c r="L452" s="5">
        <f>_xlfn.XLOOKUP(Logs_Reseau6[[#This Row],[Id_Client]],Clients_Churn[ID_Client],Clients_Churn[Duree_Cumulee_Panne_Min],"Non Trouvée")</f>
        <v>214</v>
      </c>
      <c r="M452" s="5">
        <f>_xlfn.XLOOKUP(Logs_Reseau6[[#This Row],[Id_Client]],Clients_Churn[ID_Client],Clients_Churn[Anciennete_Mois],"Rien à signaler")</f>
        <v>16</v>
      </c>
      <c r="N452" s="11">
        <f>Logs_Reseau6[[#This Row],[Anciennette]]/24</f>
        <v>0.66666666666666663</v>
      </c>
      <c r="O452" s="1">
        <f>Logs_Reseau6[[#This Row],[Duree_Cumulée_Panne]]/1440</f>
        <v>0.14861111111111111</v>
      </c>
      <c r="P45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53" spans="1:16" hidden="1" x14ac:dyDescent="0.25">
      <c r="A453" s="2">
        <v>45213</v>
      </c>
      <c r="B453" s="1">
        <v>0.59791666666666665</v>
      </c>
      <c r="C453" t="s">
        <v>1437</v>
      </c>
      <c r="D453">
        <v>108</v>
      </c>
      <c r="E453" t="s">
        <v>1303</v>
      </c>
      <c r="F453" t="str">
        <f>_xlfn.XLOOKUP(Logs_Reseau6[[#This Row],[Cell_ID]],Registre[ID_Antenne],Registre[Province_RDC],"Non Trouvée")</f>
        <v>Non Trouvée</v>
      </c>
      <c r="G453" t="str">
        <f>_xlfn.XLOOKUP(Logs_Reseau6[[#This Row],[Province]],Clients_Churn[Province_Client],Clients_Churn[ID_Client],"Aucun")</f>
        <v>Aucun</v>
      </c>
      <c r="H453" t="str">
        <f>_xlfn.XLOOKUP(Logs_Reseau6[[#This Row],[Cell_ID]],Registre[ID_Antenne],Registre[Technologie],"Rien à signaler")</f>
        <v>Rien à signaler</v>
      </c>
      <c r="I453" t="str">
        <f>_xlfn.XLOOKUP(Logs_Reseau6[[#This Row],[Cell_ID]],Registre[ID_Antenne],Registre[Equipementier],"Non Trouvée")</f>
        <v>Non Trouvée</v>
      </c>
      <c r="J453" t="str">
        <f>_xlfn.XLOOKUP(Logs_Reseau6[[#This Row],[Id_Client]],Clients_Churn[ID_Client],Clients_Churn[Type_Forfait],"Pas d'information")</f>
        <v>Pas d'information</v>
      </c>
      <c r="K453" s="5" t="str">
        <f>IF(Logs_Reseau6[[#This Row],[Type_Forfait]]="Pro Monde","B2B","B2C")</f>
        <v>B2C</v>
      </c>
      <c r="L453" s="5" t="str">
        <f>_xlfn.XLOOKUP(Logs_Reseau6[[#This Row],[Id_Client]],Clients_Churn[ID_Client],Clients_Churn[Duree_Cumulee_Panne_Min],"Non Trouvée")</f>
        <v>Non Trouvée</v>
      </c>
      <c r="M453" s="5" t="str">
        <f>_xlfn.XLOOKUP(Logs_Reseau6[[#This Row],[Id_Client]],Clients_Churn[ID_Client],Clients_Churn[Anciennete_Mois],"Rien à signaler")</f>
        <v>Rien à signaler</v>
      </c>
      <c r="N453" s="5" t="e">
        <f>Logs_Reseau6[[#This Row],[Anciennette]]/24</f>
        <v>#VALUE!</v>
      </c>
      <c r="O453" s="5" t="e">
        <f>Logs_Reseau6[[#This Row],[Duree_Cumulée_Panne]]/1440</f>
        <v>#VALUE!</v>
      </c>
      <c r="P45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54" spans="1:16" hidden="1" x14ac:dyDescent="0.25">
      <c r="A454" s="2">
        <v>45221</v>
      </c>
      <c r="B454" s="1">
        <v>0.50277777777777777</v>
      </c>
      <c r="C454" t="s">
        <v>1436</v>
      </c>
      <c r="D454">
        <v>69</v>
      </c>
      <c r="E454" t="s">
        <v>1300</v>
      </c>
      <c r="F454" t="str">
        <f>_xlfn.XLOOKUP(Logs_Reseau6[[#This Row],[Cell_ID]],Registre[ID_Antenne],Registre[Province_RDC],"Non Trouvée")</f>
        <v>Non Trouvée</v>
      </c>
      <c r="G454" t="str">
        <f>_xlfn.XLOOKUP(Logs_Reseau6[[#This Row],[Province]],Clients_Churn[Province_Client],Clients_Churn[ID_Client],"Aucun")</f>
        <v>Aucun</v>
      </c>
      <c r="H454" t="str">
        <f>_xlfn.XLOOKUP(Logs_Reseau6[[#This Row],[Cell_ID]],Registre[ID_Antenne],Registre[Technologie],"Rien à signaler")</f>
        <v>Rien à signaler</v>
      </c>
      <c r="I454" t="str">
        <f>_xlfn.XLOOKUP(Logs_Reseau6[[#This Row],[Cell_ID]],Registre[ID_Antenne],Registre[Equipementier],"Non Trouvée")</f>
        <v>Non Trouvée</v>
      </c>
      <c r="J454" t="str">
        <f>_xlfn.XLOOKUP(Logs_Reseau6[[#This Row],[Id_Client]],Clients_Churn[ID_Client],Clients_Churn[Type_Forfait],"Pas d'information")</f>
        <v>Pas d'information</v>
      </c>
      <c r="K454" s="5" t="str">
        <f>IF(Logs_Reseau6[[#This Row],[Type_Forfait]]="Pro Monde","B2B","B2C")</f>
        <v>B2C</v>
      </c>
      <c r="L454" s="5" t="str">
        <f>_xlfn.XLOOKUP(Logs_Reseau6[[#This Row],[Id_Client]],Clients_Churn[ID_Client],Clients_Churn[Duree_Cumulee_Panne_Min],"Non Trouvée")</f>
        <v>Non Trouvée</v>
      </c>
      <c r="M454" s="5" t="str">
        <f>_xlfn.XLOOKUP(Logs_Reseau6[[#This Row],[Id_Client]],Clients_Churn[ID_Client],Clients_Churn[Anciennete_Mois],"Rien à signaler")</f>
        <v>Rien à signaler</v>
      </c>
      <c r="N454" s="5" t="e">
        <f>Logs_Reseau6[[#This Row],[Anciennette]]/24</f>
        <v>#VALUE!</v>
      </c>
      <c r="O454" s="5" t="e">
        <f>Logs_Reseau6[[#This Row],[Duree_Cumulée_Panne]]/1440</f>
        <v>#VALUE!</v>
      </c>
      <c r="P45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55" spans="1:16" hidden="1" x14ac:dyDescent="0.25">
      <c r="A455" s="2">
        <v>45201</v>
      </c>
      <c r="B455" s="1">
        <v>0.24305555555555555</v>
      </c>
      <c r="C455" t="s">
        <v>1389</v>
      </c>
      <c r="D455">
        <v>57</v>
      </c>
      <c r="E455" t="s">
        <v>1305</v>
      </c>
      <c r="F455" t="str">
        <f>_xlfn.XLOOKUP(Logs_Reseau6[[#This Row],[Cell_ID]],Registre[ID_Antenne],Registre[Province_RDC],"Non Trouvée")</f>
        <v>Non Trouvée</v>
      </c>
      <c r="G455" t="str">
        <f>_xlfn.XLOOKUP(Logs_Reseau6[[#This Row],[Province]],Clients_Churn[Province_Client],Clients_Churn[ID_Client],"Aucun")</f>
        <v>Aucun</v>
      </c>
      <c r="H455" t="str">
        <f>_xlfn.XLOOKUP(Logs_Reseau6[[#This Row],[Cell_ID]],Registre[ID_Antenne],Registre[Technologie],"Rien à signaler")</f>
        <v>Rien à signaler</v>
      </c>
      <c r="I455" t="str">
        <f>_xlfn.XLOOKUP(Logs_Reseau6[[#This Row],[Cell_ID]],Registre[ID_Antenne],Registre[Equipementier],"Non Trouvée")</f>
        <v>Non Trouvée</v>
      </c>
      <c r="J455" t="str">
        <f>_xlfn.XLOOKUP(Logs_Reseau6[[#This Row],[Id_Client]],Clients_Churn[ID_Client],Clients_Churn[Type_Forfait],"Pas d'information")</f>
        <v>Pas d'information</v>
      </c>
      <c r="K455" s="5" t="str">
        <f>IF(Logs_Reseau6[[#This Row],[Type_Forfait]]="Pro Monde","B2B","B2C")</f>
        <v>B2C</v>
      </c>
      <c r="L455" s="5" t="str">
        <f>_xlfn.XLOOKUP(Logs_Reseau6[[#This Row],[Id_Client]],Clients_Churn[ID_Client],Clients_Churn[Duree_Cumulee_Panne_Min],"Non Trouvée")</f>
        <v>Non Trouvée</v>
      </c>
      <c r="M455" s="5" t="str">
        <f>_xlfn.XLOOKUP(Logs_Reseau6[[#This Row],[Id_Client]],Clients_Churn[ID_Client],Clients_Churn[Anciennete_Mois],"Rien à signaler")</f>
        <v>Rien à signaler</v>
      </c>
      <c r="N455" s="5" t="e">
        <f>Logs_Reseau6[[#This Row],[Anciennette]]/24</f>
        <v>#VALUE!</v>
      </c>
      <c r="O455" s="5" t="e">
        <f>Logs_Reseau6[[#This Row],[Duree_Cumulée_Panne]]/1440</f>
        <v>#VALUE!</v>
      </c>
      <c r="P45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56" spans="1:16" hidden="1" x14ac:dyDescent="0.25">
      <c r="A456" s="2">
        <v>45209</v>
      </c>
      <c r="B456" s="1">
        <v>0.68402777777777779</v>
      </c>
      <c r="C456" t="s">
        <v>1389</v>
      </c>
      <c r="D456">
        <v>44</v>
      </c>
      <c r="E456" t="s">
        <v>1305</v>
      </c>
      <c r="F456" t="str">
        <f>_xlfn.XLOOKUP(Logs_Reseau6[[#This Row],[Cell_ID]],Registre[ID_Antenne],Registre[Province_RDC],"Non Trouvée")</f>
        <v>Non Trouvée</v>
      </c>
      <c r="G456" t="str">
        <f>_xlfn.XLOOKUP(Logs_Reseau6[[#This Row],[Province]],Clients_Churn[Province_Client],Clients_Churn[ID_Client],"Aucun")</f>
        <v>Aucun</v>
      </c>
      <c r="H456" t="str">
        <f>_xlfn.XLOOKUP(Logs_Reseau6[[#This Row],[Cell_ID]],Registre[ID_Antenne],Registre[Technologie],"Rien à signaler")</f>
        <v>Rien à signaler</v>
      </c>
      <c r="I456" t="str">
        <f>_xlfn.XLOOKUP(Logs_Reseau6[[#This Row],[Cell_ID]],Registre[ID_Antenne],Registre[Equipementier],"Non Trouvée")</f>
        <v>Non Trouvée</v>
      </c>
      <c r="J456" t="str">
        <f>_xlfn.XLOOKUP(Logs_Reseau6[[#This Row],[Id_Client]],Clients_Churn[ID_Client],Clients_Churn[Type_Forfait],"Pas d'information")</f>
        <v>Pas d'information</v>
      </c>
      <c r="K456" s="5" t="str">
        <f>IF(Logs_Reseau6[[#This Row],[Type_Forfait]]="Pro Monde","B2B","B2C")</f>
        <v>B2C</v>
      </c>
      <c r="L456" s="5" t="str">
        <f>_xlfn.XLOOKUP(Logs_Reseau6[[#This Row],[Id_Client]],Clients_Churn[ID_Client],Clients_Churn[Duree_Cumulee_Panne_Min],"Non Trouvée")</f>
        <v>Non Trouvée</v>
      </c>
      <c r="M456" s="5" t="str">
        <f>_xlfn.XLOOKUP(Logs_Reseau6[[#This Row],[Id_Client]],Clients_Churn[ID_Client],Clients_Churn[Anciennete_Mois],"Rien à signaler")</f>
        <v>Rien à signaler</v>
      </c>
      <c r="N456" s="5" t="e">
        <f>Logs_Reseau6[[#This Row],[Anciennette]]/24</f>
        <v>#VALUE!</v>
      </c>
      <c r="O456" s="5" t="e">
        <f>Logs_Reseau6[[#This Row],[Duree_Cumulée_Panne]]/1440</f>
        <v>#VALUE!</v>
      </c>
      <c r="P45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57" spans="1:16" hidden="1" x14ac:dyDescent="0.25">
      <c r="A457" s="2">
        <v>45217</v>
      </c>
      <c r="B457" s="1">
        <v>0.68472222222222223</v>
      </c>
      <c r="C457" t="s">
        <v>1389</v>
      </c>
      <c r="D457">
        <v>43</v>
      </c>
      <c r="E457" t="s">
        <v>1300</v>
      </c>
      <c r="F457" t="str">
        <f>_xlfn.XLOOKUP(Logs_Reseau6[[#This Row],[Cell_ID]],Registre[ID_Antenne],Registre[Province_RDC],"Non Trouvée")</f>
        <v>Non Trouvée</v>
      </c>
      <c r="G457" t="str">
        <f>_xlfn.XLOOKUP(Logs_Reseau6[[#This Row],[Province]],Clients_Churn[Province_Client],Clients_Churn[ID_Client],"Aucun")</f>
        <v>Aucun</v>
      </c>
      <c r="H457" t="str">
        <f>_xlfn.XLOOKUP(Logs_Reseau6[[#This Row],[Cell_ID]],Registre[ID_Antenne],Registre[Technologie],"Rien à signaler")</f>
        <v>Rien à signaler</v>
      </c>
      <c r="I457" t="str">
        <f>_xlfn.XLOOKUP(Logs_Reseau6[[#This Row],[Cell_ID]],Registre[ID_Antenne],Registre[Equipementier],"Non Trouvée")</f>
        <v>Non Trouvée</v>
      </c>
      <c r="J457" t="str">
        <f>_xlfn.XLOOKUP(Logs_Reseau6[[#This Row],[Id_Client]],Clients_Churn[ID_Client],Clients_Churn[Type_Forfait],"Pas d'information")</f>
        <v>Pas d'information</v>
      </c>
      <c r="K457" s="5" t="str">
        <f>IF(Logs_Reseau6[[#This Row],[Type_Forfait]]="Pro Monde","B2B","B2C")</f>
        <v>B2C</v>
      </c>
      <c r="L457" s="5" t="str">
        <f>_xlfn.XLOOKUP(Logs_Reseau6[[#This Row],[Id_Client]],Clients_Churn[ID_Client],Clients_Churn[Duree_Cumulee_Panne_Min],"Non Trouvée")</f>
        <v>Non Trouvée</v>
      </c>
      <c r="M457" s="5" t="str">
        <f>_xlfn.XLOOKUP(Logs_Reseau6[[#This Row],[Id_Client]],Clients_Churn[ID_Client],Clients_Churn[Anciennete_Mois],"Rien à signaler")</f>
        <v>Rien à signaler</v>
      </c>
      <c r="N457" s="5" t="e">
        <f>Logs_Reseau6[[#This Row],[Anciennette]]/24</f>
        <v>#VALUE!</v>
      </c>
      <c r="O457" s="5" t="e">
        <f>Logs_Reseau6[[#This Row],[Duree_Cumulée_Panne]]/1440</f>
        <v>#VALUE!</v>
      </c>
      <c r="P45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58" spans="1:16" x14ac:dyDescent="0.25">
      <c r="A458" s="2">
        <v>45204</v>
      </c>
      <c r="B458" s="1">
        <v>0.76666666666666672</v>
      </c>
      <c r="C458" t="s">
        <v>1164</v>
      </c>
      <c r="D458">
        <v>9</v>
      </c>
      <c r="E458" t="s">
        <v>1305</v>
      </c>
      <c r="F458" t="str">
        <f>_xlfn.XLOOKUP(Logs_Reseau6[[#This Row],[Cell_ID]],Registre[ID_Antenne],Registre[Province_RDC],"Non Trouvée")</f>
        <v>Kasai-Central</v>
      </c>
      <c r="G458" t="str">
        <f>_xlfn.XLOOKUP(Logs_Reseau6[[#This Row],[Province]],Clients_Churn[Province_Client],Clients_Churn[ID_Client],"Aucun")</f>
        <v>CLI-00060</v>
      </c>
      <c r="H458" t="str">
        <f>_xlfn.XLOOKUP(Logs_Reseau6[[#This Row],[Cell_ID]],Registre[ID_Antenne],Registre[Technologie],"Rien à signaler")</f>
        <v>4G</v>
      </c>
      <c r="I458" t="str">
        <f>_xlfn.XLOOKUP(Logs_Reseau6[[#This Row],[Cell_ID]],Registre[ID_Antenne],Registre[Equipementier],"Non Trouvée")</f>
        <v>Ericsson</v>
      </c>
      <c r="J458" t="str">
        <f>_xlfn.XLOOKUP(Logs_Reseau6[[#This Row],[Id_Client]],Clients_Churn[ID_Client],Clients_Churn[Type_Forfait],"Pas d'information")</f>
        <v>Pro Monde</v>
      </c>
      <c r="K458" s="5" t="str">
        <f>IF(Logs_Reseau6[[#This Row],[Type_Forfait]]="Pro Monde","B2B","B2C")</f>
        <v>B2B</v>
      </c>
      <c r="L458" s="5">
        <f>_xlfn.XLOOKUP(Logs_Reseau6[[#This Row],[Id_Client]],Clients_Churn[ID_Client],Clients_Churn[Duree_Cumulee_Panne_Min],"Non Trouvée")</f>
        <v>160</v>
      </c>
      <c r="M458" s="5">
        <f>_xlfn.XLOOKUP(Logs_Reseau6[[#This Row],[Id_Client]],Clients_Churn[ID_Client],Clients_Churn[Anciennete_Mois],"Rien à signaler")</f>
        <v>72</v>
      </c>
      <c r="N458" s="11">
        <f>Logs_Reseau6[[#This Row],[Anciennette]]/24</f>
        <v>3</v>
      </c>
      <c r="O458" s="1">
        <f>Logs_Reseau6[[#This Row],[Duree_Cumulée_Panne]]/1440</f>
        <v>0.1111111111111111</v>
      </c>
      <c r="P45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59" spans="1:16" x14ac:dyDescent="0.25">
      <c r="A459" s="2">
        <v>45209</v>
      </c>
      <c r="B459" s="1">
        <v>0.32708333333333334</v>
      </c>
      <c r="C459" t="s">
        <v>938</v>
      </c>
      <c r="D459">
        <v>107</v>
      </c>
      <c r="E459" t="s">
        <v>1303</v>
      </c>
      <c r="F459" t="str">
        <f>_xlfn.XLOOKUP(Logs_Reseau6[[#This Row],[Cell_ID]],Registre[ID_Antenne],Registre[Province_RDC],"Non Trouvée")</f>
        <v>Equateur</v>
      </c>
      <c r="G459" t="str">
        <f>_xlfn.XLOOKUP(Logs_Reseau6[[#This Row],[Province]],Clients_Churn[Province_Client],Clients_Churn[ID_Client],"Aucun")</f>
        <v>CLI-00091</v>
      </c>
      <c r="H459" t="str">
        <f>_xlfn.XLOOKUP(Logs_Reseau6[[#This Row],[Cell_ID]],Registre[ID_Antenne],Registre[Technologie],"Rien à signaler")</f>
        <v>3G</v>
      </c>
      <c r="I459" t="str">
        <f>_xlfn.XLOOKUP(Logs_Reseau6[[#This Row],[Cell_ID]],Registre[ID_Antenne],Registre[Equipementier],"Non Trouvée")</f>
        <v>ZTE</v>
      </c>
      <c r="J459" t="str">
        <f>_xlfn.XLOOKUP(Logs_Reseau6[[#This Row],[Id_Client]],Clients_Churn[ID_Client],Clients_Churn[Type_Forfait],"Pas d'information")</f>
        <v>Bloqué 5Go</v>
      </c>
      <c r="K459" s="5" t="str">
        <f>IF(Logs_Reseau6[[#This Row],[Type_Forfait]]="Pro Monde","B2B","B2C")</f>
        <v>B2C</v>
      </c>
      <c r="L459" s="5">
        <f>_xlfn.XLOOKUP(Logs_Reseau6[[#This Row],[Id_Client]],Clients_Churn[ID_Client],Clients_Churn[Duree_Cumulee_Panne_Min],"Non Trouvée")</f>
        <v>435</v>
      </c>
      <c r="M459" s="5">
        <f>_xlfn.XLOOKUP(Logs_Reseau6[[#This Row],[Id_Client]],Clients_Churn[ID_Client],Clients_Churn[Anciennete_Mois],"Rien à signaler")</f>
        <v>50</v>
      </c>
      <c r="N459" s="11">
        <f>Logs_Reseau6[[#This Row],[Anciennette]]/24</f>
        <v>2.0833333333333335</v>
      </c>
      <c r="O459" s="1">
        <f>Logs_Reseau6[[#This Row],[Duree_Cumulée_Panne]]/1440</f>
        <v>0.30208333333333331</v>
      </c>
      <c r="P45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60" spans="1:16" hidden="1" x14ac:dyDescent="0.25">
      <c r="A460" s="2">
        <v>45202</v>
      </c>
      <c r="B460" s="1">
        <v>0.65972222222222221</v>
      </c>
      <c r="C460" t="s">
        <v>1404</v>
      </c>
      <c r="D460">
        <v>42</v>
      </c>
      <c r="E460" t="s">
        <v>1300</v>
      </c>
      <c r="F460" t="str">
        <f>_xlfn.XLOOKUP(Logs_Reseau6[[#This Row],[Cell_ID]],Registre[ID_Antenne],Registre[Province_RDC],"Non Trouvée")</f>
        <v>Non Trouvée</v>
      </c>
      <c r="G460" t="str">
        <f>_xlfn.XLOOKUP(Logs_Reseau6[[#This Row],[Province]],Clients_Churn[Province_Client],Clients_Churn[ID_Client],"Aucun")</f>
        <v>Aucun</v>
      </c>
      <c r="H460" t="str">
        <f>_xlfn.XLOOKUP(Logs_Reseau6[[#This Row],[Cell_ID]],Registre[ID_Antenne],Registre[Technologie],"Rien à signaler")</f>
        <v>Rien à signaler</v>
      </c>
      <c r="I460" t="str">
        <f>_xlfn.XLOOKUP(Logs_Reseau6[[#This Row],[Cell_ID]],Registre[ID_Antenne],Registre[Equipementier],"Non Trouvée")</f>
        <v>Non Trouvée</v>
      </c>
      <c r="J460" t="str">
        <f>_xlfn.XLOOKUP(Logs_Reseau6[[#This Row],[Id_Client]],Clients_Churn[ID_Client],Clients_Churn[Type_Forfait],"Pas d'information")</f>
        <v>Pas d'information</v>
      </c>
      <c r="K460" s="5" t="str">
        <f>IF(Logs_Reseau6[[#This Row],[Type_Forfait]]="Pro Monde","B2B","B2C")</f>
        <v>B2C</v>
      </c>
      <c r="L460" s="5" t="str">
        <f>_xlfn.XLOOKUP(Logs_Reseau6[[#This Row],[Id_Client]],Clients_Churn[ID_Client],Clients_Churn[Duree_Cumulee_Panne_Min],"Non Trouvée")</f>
        <v>Non Trouvée</v>
      </c>
      <c r="M460" s="5" t="str">
        <f>_xlfn.XLOOKUP(Logs_Reseau6[[#This Row],[Id_Client]],Clients_Churn[ID_Client],Clients_Churn[Anciennete_Mois],"Rien à signaler")</f>
        <v>Rien à signaler</v>
      </c>
      <c r="N460" s="5" t="e">
        <f>Logs_Reseau6[[#This Row],[Anciennette]]/24</f>
        <v>#VALUE!</v>
      </c>
      <c r="O460" s="5" t="e">
        <f>Logs_Reseau6[[#This Row],[Duree_Cumulée_Panne]]/1440</f>
        <v>#VALUE!</v>
      </c>
      <c r="P46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61" spans="1:16" hidden="1" x14ac:dyDescent="0.25">
      <c r="A461" s="2">
        <v>45203</v>
      </c>
      <c r="B461" s="1">
        <v>0.44791666666666669</v>
      </c>
      <c r="C461" t="s">
        <v>1404</v>
      </c>
      <c r="D461">
        <v>84</v>
      </c>
      <c r="E461" t="s">
        <v>1305</v>
      </c>
      <c r="F461" t="str">
        <f>_xlfn.XLOOKUP(Logs_Reseau6[[#This Row],[Cell_ID]],Registre[ID_Antenne],Registre[Province_RDC],"Non Trouvée")</f>
        <v>Non Trouvée</v>
      </c>
      <c r="G461" t="str">
        <f>_xlfn.XLOOKUP(Logs_Reseau6[[#This Row],[Province]],Clients_Churn[Province_Client],Clients_Churn[ID_Client],"Aucun")</f>
        <v>Aucun</v>
      </c>
      <c r="H461" t="str">
        <f>_xlfn.XLOOKUP(Logs_Reseau6[[#This Row],[Cell_ID]],Registre[ID_Antenne],Registre[Technologie],"Rien à signaler")</f>
        <v>Rien à signaler</v>
      </c>
      <c r="I461" t="str">
        <f>_xlfn.XLOOKUP(Logs_Reseau6[[#This Row],[Cell_ID]],Registre[ID_Antenne],Registre[Equipementier],"Non Trouvée")</f>
        <v>Non Trouvée</v>
      </c>
      <c r="J461" t="str">
        <f>_xlfn.XLOOKUP(Logs_Reseau6[[#This Row],[Id_Client]],Clients_Churn[ID_Client],Clients_Churn[Type_Forfait],"Pas d'information")</f>
        <v>Pas d'information</v>
      </c>
      <c r="K461" s="5" t="str">
        <f>IF(Logs_Reseau6[[#This Row],[Type_Forfait]]="Pro Monde","B2B","B2C")</f>
        <v>B2C</v>
      </c>
      <c r="L461" s="5" t="str">
        <f>_xlfn.XLOOKUP(Logs_Reseau6[[#This Row],[Id_Client]],Clients_Churn[ID_Client],Clients_Churn[Duree_Cumulee_Panne_Min],"Non Trouvée")</f>
        <v>Non Trouvée</v>
      </c>
      <c r="M461" s="5" t="str">
        <f>_xlfn.XLOOKUP(Logs_Reseau6[[#This Row],[Id_Client]],Clients_Churn[ID_Client],Clients_Churn[Anciennete_Mois],"Rien à signaler")</f>
        <v>Rien à signaler</v>
      </c>
      <c r="N461" s="5" t="e">
        <f>Logs_Reseau6[[#This Row],[Anciennette]]/24</f>
        <v>#VALUE!</v>
      </c>
      <c r="O461" s="5" t="e">
        <f>Logs_Reseau6[[#This Row],[Duree_Cumulée_Panne]]/1440</f>
        <v>#VALUE!</v>
      </c>
      <c r="P46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62" spans="1:16" hidden="1" x14ac:dyDescent="0.25">
      <c r="A462" s="2">
        <v>45206</v>
      </c>
      <c r="B462" s="1">
        <v>0.36666666666666664</v>
      </c>
      <c r="C462" t="s">
        <v>1404</v>
      </c>
      <c r="D462">
        <v>69</v>
      </c>
      <c r="E462" t="s">
        <v>1303</v>
      </c>
      <c r="F462" t="str">
        <f>_xlfn.XLOOKUP(Logs_Reseau6[[#This Row],[Cell_ID]],Registre[ID_Antenne],Registre[Province_RDC],"Non Trouvée")</f>
        <v>Non Trouvée</v>
      </c>
      <c r="G462" t="str">
        <f>_xlfn.XLOOKUP(Logs_Reseau6[[#This Row],[Province]],Clients_Churn[Province_Client],Clients_Churn[ID_Client],"Aucun")</f>
        <v>Aucun</v>
      </c>
      <c r="H462" t="str">
        <f>_xlfn.XLOOKUP(Logs_Reseau6[[#This Row],[Cell_ID]],Registre[ID_Antenne],Registre[Technologie],"Rien à signaler")</f>
        <v>Rien à signaler</v>
      </c>
      <c r="I462" t="str">
        <f>_xlfn.XLOOKUP(Logs_Reseau6[[#This Row],[Cell_ID]],Registre[ID_Antenne],Registre[Equipementier],"Non Trouvée")</f>
        <v>Non Trouvée</v>
      </c>
      <c r="J462" t="str">
        <f>_xlfn.XLOOKUP(Logs_Reseau6[[#This Row],[Id_Client]],Clients_Churn[ID_Client],Clients_Churn[Type_Forfait],"Pas d'information")</f>
        <v>Pas d'information</v>
      </c>
      <c r="K462" s="5" t="str">
        <f>IF(Logs_Reseau6[[#This Row],[Type_Forfait]]="Pro Monde","B2B","B2C")</f>
        <v>B2C</v>
      </c>
      <c r="L462" s="5" t="str">
        <f>_xlfn.XLOOKUP(Logs_Reseau6[[#This Row],[Id_Client]],Clients_Churn[ID_Client],Clients_Churn[Duree_Cumulee_Panne_Min],"Non Trouvée")</f>
        <v>Non Trouvée</v>
      </c>
      <c r="M462" s="5" t="str">
        <f>_xlfn.XLOOKUP(Logs_Reseau6[[#This Row],[Id_Client]],Clients_Churn[ID_Client],Clients_Churn[Anciennete_Mois],"Rien à signaler")</f>
        <v>Rien à signaler</v>
      </c>
      <c r="N462" s="5" t="e">
        <f>Logs_Reseau6[[#This Row],[Anciennette]]/24</f>
        <v>#VALUE!</v>
      </c>
      <c r="O462" s="5" t="e">
        <f>Logs_Reseau6[[#This Row],[Duree_Cumulée_Panne]]/1440</f>
        <v>#VALUE!</v>
      </c>
      <c r="P46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63" spans="1:16" hidden="1" x14ac:dyDescent="0.25">
      <c r="A463" s="2">
        <v>45207</v>
      </c>
      <c r="B463" s="1">
        <v>0.40625</v>
      </c>
      <c r="C463" t="s">
        <v>1336</v>
      </c>
      <c r="D463">
        <v>49</v>
      </c>
      <c r="E463" t="s">
        <v>1303</v>
      </c>
      <c r="F463" t="str">
        <f>_xlfn.XLOOKUP(Logs_Reseau6[[#This Row],[Cell_ID]],Registre[ID_Antenne],Registre[Province_RDC],"Non Trouvée")</f>
        <v>Non Trouvée</v>
      </c>
      <c r="G463" t="str">
        <f>_xlfn.XLOOKUP(Logs_Reseau6[[#This Row],[Province]],Clients_Churn[Province_Client],Clients_Churn[ID_Client],"Aucun")</f>
        <v>Aucun</v>
      </c>
      <c r="H463" t="str">
        <f>_xlfn.XLOOKUP(Logs_Reseau6[[#This Row],[Cell_ID]],Registre[ID_Antenne],Registre[Technologie],"Rien à signaler")</f>
        <v>Rien à signaler</v>
      </c>
      <c r="I463" t="str">
        <f>_xlfn.XLOOKUP(Logs_Reseau6[[#This Row],[Cell_ID]],Registre[ID_Antenne],Registre[Equipementier],"Non Trouvée")</f>
        <v>Non Trouvée</v>
      </c>
      <c r="J463" t="str">
        <f>_xlfn.XLOOKUP(Logs_Reseau6[[#This Row],[Id_Client]],Clients_Churn[ID_Client],Clients_Churn[Type_Forfait],"Pas d'information")</f>
        <v>Pas d'information</v>
      </c>
      <c r="K463" s="5" t="str">
        <f>IF(Logs_Reseau6[[#This Row],[Type_Forfait]]="Pro Monde","B2B","B2C")</f>
        <v>B2C</v>
      </c>
      <c r="L463" s="5" t="str">
        <f>_xlfn.XLOOKUP(Logs_Reseau6[[#This Row],[Id_Client]],Clients_Churn[ID_Client],Clients_Churn[Duree_Cumulee_Panne_Min],"Non Trouvée")</f>
        <v>Non Trouvée</v>
      </c>
      <c r="M463" s="5" t="str">
        <f>_xlfn.XLOOKUP(Logs_Reseau6[[#This Row],[Id_Client]],Clients_Churn[ID_Client],Clients_Churn[Anciennete_Mois],"Rien à signaler")</f>
        <v>Rien à signaler</v>
      </c>
      <c r="N463" s="5" t="e">
        <f>Logs_Reseau6[[#This Row],[Anciennette]]/24</f>
        <v>#VALUE!</v>
      </c>
      <c r="O463" s="5" t="e">
        <f>Logs_Reseau6[[#This Row],[Duree_Cumulée_Panne]]/1440</f>
        <v>#VALUE!</v>
      </c>
      <c r="P46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64" spans="1:16" hidden="1" x14ac:dyDescent="0.25">
      <c r="A464" s="2">
        <v>45225</v>
      </c>
      <c r="B464" s="1">
        <v>0.73750000000000004</v>
      </c>
      <c r="C464" t="s">
        <v>1336</v>
      </c>
      <c r="D464">
        <v>6</v>
      </c>
      <c r="E464" t="s">
        <v>1303</v>
      </c>
      <c r="F464" t="str">
        <f>_xlfn.XLOOKUP(Logs_Reseau6[[#This Row],[Cell_ID]],Registre[ID_Antenne],Registre[Province_RDC],"Non Trouvée")</f>
        <v>Non Trouvée</v>
      </c>
      <c r="G464" t="str">
        <f>_xlfn.XLOOKUP(Logs_Reseau6[[#This Row],[Province]],Clients_Churn[Province_Client],Clients_Churn[ID_Client],"Aucun")</f>
        <v>Aucun</v>
      </c>
      <c r="H464" t="str">
        <f>_xlfn.XLOOKUP(Logs_Reseau6[[#This Row],[Cell_ID]],Registre[ID_Antenne],Registre[Technologie],"Rien à signaler")</f>
        <v>Rien à signaler</v>
      </c>
      <c r="I464" t="str">
        <f>_xlfn.XLOOKUP(Logs_Reseau6[[#This Row],[Cell_ID]],Registre[ID_Antenne],Registre[Equipementier],"Non Trouvée")</f>
        <v>Non Trouvée</v>
      </c>
      <c r="J464" t="str">
        <f>_xlfn.XLOOKUP(Logs_Reseau6[[#This Row],[Id_Client]],Clients_Churn[ID_Client],Clients_Churn[Type_Forfait],"Pas d'information")</f>
        <v>Pas d'information</v>
      </c>
      <c r="K464" s="5" t="str">
        <f>IF(Logs_Reseau6[[#This Row],[Type_Forfait]]="Pro Monde","B2B","B2C")</f>
        <v>B2C</v>
      </c>
      <c r="L464" s="5" t="str">
        <f>_xlfn.XLOOKUP(Logs_Reseau6[[#This Row],[Id_Client]],Clients_Churn[ID_Client],Clients_Churn[Duree_Cumulee_Panne_Min],"Non Trouvée")</f>
        <v>Non Trouvée</v>
      </c>
      <c r="M464" s="5" t="str">
        <f>_xlfn.XLOOKUP(Logs_Reseau6[[#This Row],[Id_Client]],Clients_Churn[ID_Client],Clients_Churn[Anciennete_Mois],"Rien à signaler")</f>
        <v>Rien à signaler</v>
      </c>
      <c r="N464" s="5" t="e">
        <f>Logs_Reseau6[[#This Row],[Anciennette]]/24</f>
        <v>#VALUE!</v>
      </c>
      <c r="O464" s="5" t="e">
        <f>Logs_Reseau6[[#This Row],[Duree_Cumulée_Panne]]/1440</f>
        <v>#VALUE!</v>
      </c>
      <c r="P46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65" spans="1:16" x14ac:dyDescent="0.25">
      <c r="A465" s="2">
        <v>45216</v>
      </c>
      <c r="B465" s="1">
        <v>0.14166666666666666</v>
      </c>
      <c r="C465" t="s">
        <v>1221</v>
      </c>
      <c r="D465">
        <v>94</v>
      </c>
      <c r="E465" t="s">
        <v>1300</v>
      </c>
      <c r="F465" t="str">
        <f>_xlfn.XLOOKUP(Logs_Reseau6[[#This Row],[Cell_ID]],Registre[ID_Antenne],Registre[Province_RDC],"Non Trouvée")</f>
        <v>Nord-Kivu</v>
      </c>
      <c r="G465" t="str">
        <f>_xlfn.XLOOKUP(Logs_Reseau6[[#This Row],[Province]],Clients_Churn[Province_Client],Clients_Churn[ID_Client],"Aucun")</f>
        <v>CLI-00043</v>
      </c>
      <c r="H465" t="str">
        <f>_xlfn.XLOOKUP(Logs_Reseau6[[#This Row],[Cell_ID]],Registre[ID_Antenne],Registre[Technologie],"Rien à signaler")</f>
        <v>3G</v>
      </c>
      <c r="I465" t="str">
        <f>_xlfn.XLOOKUP(Logs_Reseau6[[#This Row],[Cell_ID]],Registre[ID_Antenne],Registre[Equipementier],"Non Trouvée")</f>
        <v>Huawei</v>
      </c>
      <c r="J465" t="str">
        <f>_xlfn.XLOOKUP(Logs_Reseau6[[#This Row],[Id_Client]],Clients_Churn[ID_Client],Clients_Churn[Type_Forfait],"Pas d'information")</f>
        <v>Pro Monde</v>
      </c>
      <c r="K465" s="5" t="str">
        <f>IF(Logs_Reseau6[[#This Row],[Type_Forfait]]="Pro Monde","B2B","B2C")</f>
        <v>B2B</v>
      </c>
      <c r="L465" s="5">
        <f>_xlfn.XLOOKUP(Logs_Reseau6[[#This Row],[Id_Client]],Clients_Churn[ID_Client],Clients_Churn[Duree_Cumulee_Panne_Min],"Non Trouvée")</f>
        <v>132</v>
      </c>
      <c r="M465" s="5">
        <f>_xlfn.XLOOKUP(Logs_Reseau6[[#This Row],[Id_Client]],Clients_Churn[ID_Client],Clients_Churn[Anciennete_Mois],"Rien à signaler")</f>
        <v>118</v>
      </c>
      <c r="N465" s="11">
        <f>Logs_Reseau6[[#This Row],[Anciennette]]/24</f>
        <v>4.916666666666667</v>
      </c>
      <c r="O465" s="1">
        <f>Logs_Reseau6[[#This Row],[Duree_Cumulée_Panne]]/1440</f>
        <v>9.166666666666666E-2</v>
      </c>
      <c r="P46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66" spans="1:16" hidden="1" x14ac:dyDescent="0.25">
      <c r="A466" s="2">
        <v>45207</v>
      </c>
      <c r="B466" s="1">
        <v>0.37986111111111109</v>
      </c>
      <c r="C466" t="s">
        <v>1419</v>
      </c>
      <c r="D466">
        <v>118</v>
      </c>
      <c r="E466" t="s">
        <v>1305</v>
      </c>
      <c r="F466" t="str">
        <f>_xlfn.XLOOKUP(Logs_Reseau6[[#This Row],[Cell_ID]],Registre[ID_Antenne],Registre[Province_RDC],"Non Trouvée")</f>
        <v>Non Trouvée</v>
      </c>
      <c r="G466" t="str">
        <f>_xlfn.XLOOKUP(Logs_Reseau6[[#This Row],[Province]],Clients_Churn[Province_Client],Clients_Churn[ID_Client],"Aucun")</f>
        <v>Aucun</v>
      </c>
      <c r="H466" t="str">
        <f>_xlfn.XLOOKUP(Logs_Reseau6[[#This Row],[Cell_ID]],Registre[ID_Antenne],Registre[Technologie],"Rien à signaler")</f>
        <v>Rien à signaler</v>
      </c>
      <c r="I466" t="str">
        <f>_xlfn.XLOOKUP(Logs_Reseau6[[#This Row],[Cell_ID]],Registre[ID_Antenne],Registre[Equipementier],"Non Trouvée")</f>
        <v>Non Trouvée</v>
      </c>
      <c r="J466" t="str">
        <f>_xlfn.XLOOKUP(Logs_Reseau6[[#This Row],[Id_Client]],Clients_Churn[ID_Client],Clients_Churn[Type_Forfait],"Pas d'information")</f>
        <v>Pas d'information</v>
      </c>
      <c r="K466" s="5" t="str">
        <f>IF(Logs_Reseau6[[#This Row],[Type_Forfait]]="Pro Monde","B2B","B2C")</f>
        <v>B2C</v>
      </c>
      <c r="L466" s="5" t="str">
        <f>_xlfn.XLOOKUP(Logs_Reseau6[[#This Row],[Id_Client]],Clients_Churn[ID_Client],Clients_Churn[Duree_Cumulee_Panne_Min],"Non Trouvée")</f>
        <v>Non Trouvée</v>
      </c>
      <c r="M466" s="5" t="str">
        <f>_xlfn.XLOOKUP(Logs_Reseau6[[#This Row],[Id_Client]],Clients_Churn[ID_Client],Clients_Churn[Anciennete_Mois],"Rien à signaler")</f>
        <v>Rien à signaler</v>
      </c>
      <c r="N466" s="5" t="e">
        <f>Logs_Reseau6[[#This Row],[Anciennette]]/24</f>
        <v>#VALUE!</v>
      </c>
      <c r="O466" s="5" t="e">
        <f>Logs_Reseau6[[#This Row],[Duree_Cumulée_Panne]]/1440</f>
        <v>#VALUE!</v>
      </c>
      <c r="P46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67" spans="1:16" hidden="1" x14ac:dyDescent="0.25">
      <c r="A467" s="2">
        <v>45214</v>
      </c>
      <c r="B467" s="1">
        <v>0.14583333333333334</v>
      </c>
      <c r="C467" t="s">
        <v>1419</v>
      </c>
      <c r="D467">
        <v>29</v>
      </c>
      <c r="E467" t="s">
        <v>1305</v>
      </c>
      <c r="F467" t="str">
        <f>_xlfn.XLOOKUP(Logs_Reseau6[[#This Row],[Cell_ID]],Registre[ID_Antenne],Registre[Province_RDC],"Non Trouvée")</f>
        <v>Non Trouvée</v>
      </c>
      <c r="G467" t="str">
        <f>_xlfn.XLOOKUP(Logs_Reseau6[[#This Row],[Province]],Clients_Churn[Province_Client],Clients_Churn[ID_Client],"Aucun")</f>
        <v>Aucun</v>
      </c>
      <c r="H467" t="str">
        <f>_xlfn.XLOOKUP(Logs_Reseau6[[#This Row],[Cell_ID]],Registre[ID_Antenne],Registre[Technologie],"Rien à signaler")</f>
        <v>Rien à signaler</v>
      </c>
      <c r="I467" t="str">
        <f>_xlfn.XLOOKUP(Logs_Reseau6[[#This Row],[Cell_ID]],Registre[ID_Antenne],Registre[Equipementier],"Non Trouvée")</f>
        <v>Non Trouvée</v>
      </c>
      <c r="J467" t="str">
        <f>_xlfn.XLOOKUP(Logs_Reseau6[[#This Row],[Id_Client]],Clients_Churn[ID_Client],Clients_Churn[Type_Forfait],"Pas d'information")</f>
        <v>Pas d'information</v>
      </c>
      <c r="K467" s="5" t="str">
        <f>IF(Logs_Reseau6[[#This Row],[Type_Forfait]]="Pro Monde","B2B","B2C")</f>
        <v>B2C</v>
      </c>
      <c r="L467" s="5" t="str">
        <f>_xlfn.XLOOKUP(Logs_Reseau6[[#This Row],[Id_Client]],Clients_Churn[ID_Client],Clients_Churn[Duree_Cumulee_Panne_Min],"Non Trouvée")</f>
        <v>Non Trouvée</v>
      </c>
      <c r="M467" s="5" t="str">
        <f>_xlfn.XLOOKUP(Logs_Reseau6[[#This Row],[Id_Client]],Clients_Churn[ID_Client],Clients_Churn[Anciennete_Mois],"Rien à signaler")</f>
        <v>Rien à signaler</v>
      </c>
      <c r="N467" s="5" t="e">
        <f>Logs_Reseau6[[#This Row],[Anciennette]]/24</f>
        <v>#VALUE!</v>
      </c>
      <c r="O467" s="5" t="e">
        <f>Logs_Reseau6[[#This Row],[Duree_Cumulée_Panne]]/1440</f>
        <v>#VALUE!</v>
      </c>
      <c r="P46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68" spans="1:16" hidden="1" x14ac:dyDescent="0.25">
      <c r="A468" s="2">
        <v>45218</v>
      </c>
      <c r="B468" s="1">
        <v>0.99027777777777781</v>
      </c>
      <c r="C468" t="s">
        <v>1419</v>
      </c>
      <c r="D468">
        <v>100</v>
      </c>
      <c r="E468" t="s">
        <v>1300</v>
      </c>
      <c r="F468" t="str">
        <f>_xlfn.XLOOKUP(Logs_Reseau6[[#This Row],[Cell_ID]],Registre[ID_Antenne],Registre[Province_RDC],"Non Trouvée")</f>
        <v>Non Trouvée</v>
      </c>
      <c r="G468" t="str">
        <f>_xlfn.XLOOKUP(Logs_Reseau6[[#This Row],[Province]],Clients_Churn[Province_Client],Clients_Churn[ID_Client],"Aucun")</f>
        <v>Aucun</v>
      </c>
      <c r="H468" t="str">
        <f>_xlfn.XLOOKUP(Logs_Reseau6[[#This Row],[Cell_ID]],Registre[ID_Antenne],Registre[Technologie],"Rien à signaler")</f>
        <v>Rien à signaler</v>
      </c>
      <c r="I468" t="str">
        <f>_xlfn.XLOOKUP(Logs_Reseau6[[#This Row],[Cell_ID]],Registre[ID_Antenne],Registre[Equipementier],"Non Trouvée")</f>
        <v>Non Trouvée</v>
      </c>
      <c r="J468" t="str">
        <f>_xlfn.XLOOKUP(Logs_Reseau6[[#This Row],[Id_Client]],Clients_Churn[ID_Client],Clients_Churn[Type_Forfait],"Pas d'information")</f>
        <v>Pas d'information</v>
      </c>
      <c r="K468" s="5" t="str">
        <f>IF(Logs_Reseau6[[#This Row],[Type_Forfait]]="Pro Monde","B2B","B2C")</f>
        <v>B2C</v>
      </c>
      <c r="L468" s="5" t="str">
        <f>_xlfn.XLOOKUP(Logs_Reseau6[[#This Row],[Id_Client]],Clients_Churn[ID_Client],Clients_Churn[Duree_Cumulee_Panne_Min],"Non Trouvée")</f>
        <v>Non Trouvée</v>
      </c>
      <c r="M468" s="5" t="str">
        <f>_xlfn.XLOOKUP(Logs_Reseau6[[#This Row],[Id_Client]],Clients_Churn[ID_Client],Clients_Churn[Anciennete_Mois],"Rien à signaler")</f>
        <v>Rien à signaler</v>
      </c>
      <c r="N468" s="5" t="e">
        <f>Logs_Reseau6[[#This Row],[Anciennette]]/24</f>
        <v>#VALUE!</v>
      </c>
      <c r="O468" s="5" t="e">
        <f>Logs_Reseau6[[#This Row],[Duree_Cumulée_Panne]]/1440</f>
        <v>#VALUE!</v>
      </c>
      <c r="P46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69" spans="1:16" x14ac:dyDescent="0.25">
      <c r="A469" s="2">
        <v>45203</v>
      </c>
      <c r="B469" s="1">
        <v>0.99791666666666667</v>
      </c>
      <c r="C469" t="s">
        <v>867</v>
      </c>
      <c r="D469">
        <v>101</v>
      </c>
      <c r="E469" t="s">
        <v>1305</v>
      </c>
      <c r="F469" t="str">
        <f>_xlfn.XLOOKUP(Logs_Reseau6[[#This Row],[Cell_ID]],Registre[ID_Antenne],Registre[Province_RDC],"Non Trouvée")</f>
        <v>Nord-Kivu</v>
      </c>
      <c r="G469" t="str">
        <f>_xlfn.XLOOKUP(Logs_Reseau6[[#This Row],[Province]],Clients_Churn[Province_Client],Clients_Churn[ID_Client],"Aucun")</f>
        <v>CLI-00043</v>
      </c>
      <c r="H469" t="str">
        <f>_xlfn.XLOOKUP(Logs_Reseau6[[#This Row],[Cell_ID]],Registre[ID_Antenne],Registre[Technologie],"Rien à signaler")</f>
        <v>3G</v>
      </c>
      <c r="I469" t="str">
        <f>_xlfn.XLOOKUP(Logs_Reseau6[[#This Row],[Cell_ID]],Registre[ID_Antenne],Registre[Equipementier],"Non Trouvée")</f>
        <v>ZTE</v>
      </c>
      <c r="J469" t="str">
        <f>_xlfn.XLOOKUP(Logs_Reseau6[[#This Row],[Id_Client]],Clients_Churn[ID_Client],Clients_Churn[Type_Forfait],"Pas d'information")</f>
        <v>Pro Monde</v>
      </c>
      <c r="K469" s="5" t="str">
        <f>IF(Logs_Reseau6[[#This Row],[Type_Forfait]]="Pro Monde","B2B","B2C")</f>
        <v>B2B</v>
      </c>
      <c r="L469" s="5">
        <f>_xlfn.XLOOKUP(Logs_Reseau6[[#This Row],[Id_Client]],Clients_Churn[ID_Client],Clients_Churn[Duree_Cumulee_Panne_Min],"Non Trouvée")</f>
        <v>132</v>
      </c>
      <c r="M469" s="5">
        <f>_xlfn.XLOOKUP(Logs_Reseau6[[#This Row],[Id_Client]],Clients_Churn[ID_Client],Clients_Churn[Anciennete_Mois],"Rien à signaler")</f>
        <v>118</v>
      </c>
      <c r="N469" s="11">
        <f>Logs_Reseau6[[#This Row],[Anciennette]]/24</f>
        <v>4.916666666666667</v>
      </c>
      <c r="O469" s="1">
        <f>Logs_Reseau6[[#This Row],[Duree_Cumulée_Panne]]/1440</f>
        <v>9.166666666666666E-2</v>
      </c>
      <c r="P46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70" spans="1:16" x14ac:dyDescent="0.25">
      <c r="A470" s="2">
        <v>45220</v>
      </c>
      <c r="B470" s="1">
        <v>0.81180555555555556</v>
      </c>
      <c r="C470" t="s">
        <v>1128</v>
      </c>
      <c r="D470">
        <v>100</v>
      </c>
      <c r="E470" t="s">
        <v>1305</v>
      </c>
      <c r="F470" t="str">
        <f>_xlfn.XLOOKUP(Logs_Reseau6[[#This Row],[Cell_ID]],Registre[ID_Antenne],Registre[Province_RDC],"Non Trouvée")</f>
        <v>Kwilu</v>
      </c>
      <c r="G470" t="str">
        <f>_xlfn.XLOOKUP(Logs_Reseau6[[#This Row],[Province]],Clients_Churn[Province_Client],Clients_Churn[ID_Client],"Aucun")</f>
        <v>CLI-00009</v>
      </c>
      <c r="H470" t="str">
        <f>_xlfn.XLOOKUP(Logs_Reseau6[[#This Row],[Cell_ID]],Registre[ID_Antenne],Registre[Technologie],"Rien à signaler")</f>
        <v>3G</v>
      </c>
      <c r="I470" t="str">
        <f>_xlfn.XLOOKUP(Logs_Reseau6[[#This Row],[Cell_ID]],Registre[ID_Antenne],Registre[Equipementier],"Non Trouvée")</f>
        <v>Huawei</v>
      </c>
      <c r="J470" t="str">
        <f>_xlfn.XLOOKUP(Logs_Reseau6[[#This Row],[Id_Client]],Clients_Churn[ID_Client],Clients_Churn[Type_Forfait],"Pas d'information")</f>
        <v>Pro Monde</v>
      </c>
      <c r="K470" s="5" t="str">
        <f>IF(Logs_Reseau6[[#This Row],[Type_Forfait]]="Pro Monde","B2B","B2C")</f>
        <v>B2B</v>
      </c>
      <c r="L470" s="5">
        <f>_xlfn.XLOOKUP(Logs_Reseau6[[#This Row],[Id_Client]],Clients_Churn[ID_Client],Clients_Churn[Duree_Cumulee_Panne_Min],"Non Trouvée")</f>
        <v>297</v>
      </c>
      <c r="M470" s="5">
        <f>_xlfn.XLOOKUP(Logs_Reseau6[[#This Row],[Id_Client]],Clients_Churn[ID_Client],Clients_Churn[Anciennete_Mois],"Rien à signaler")</f>
        <v>105</v>
      </c>
      <c r="N470" s="11">
        <f>Logs_Reseau6[[#This Row],[Anciennette]]/24</f>
        <v>4.375</v>
      </c>
      <c r="O470" s="1">
        <f>Logs_Reseau6[[#This Row],[Duree_Cumulée_Panne]]/1440</f>
        <v>0.20624999999999999</v>
      </c>
      <c r="P47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71" spans="1:16" hidden="1" x14ac:dyDescent="0.25">
      <c r="A471" s="2">
        <v>45222</v>
      </c>
      <c r="B471" s="1">
        <v>0.36736111111111114</v>
      </c>
      <c r="C471" t="s">
        <v>1368</v>
      </c>
      <c r="D471">
        <v>117</v>
      </c>
      <c r="E471" t="s">
        <v>1303</v>
      </c>
      <c r="F471" t="str">
        <f>_xlfn.XLOOKUP(Logs_Reseau6[[#This Row],[Cell_ID]],Registre[ID_Antenne],Registre[Province_RDC],"Non Trouvée")</f>
        <v>Non Trouvée</v>
      </c>
      <c r="G471" t="str">
        <f>_xlfn.XLOOKUP(Logs_Reseau6[[#This Row],[Province]],Clients_Churn[Province_Client],Clients_Churn[ID_Client],"Aucun")</f>
        <v>Aucun</v>
      </c>
      <c r="H471" t="str">
        <f>_xlfn.XLOOKUP(Logs_Reseau6[[#This Row],[Cell_ID]],Registre[ID_Antenne],Registre[Technologie],"Rien à signaler")</f>
        <v>Rien à signaler</v>
      </c>
      <c r="I471" t="str">
        <f>_xlfn.XLOOKUP(Logs_Reseau6[[#This Row],[Cell_ID]],Registre[ID_Antenne],Registre[Equipementier],"Non Trouvée")</f>
        <v>Non Trouvée</v>
      </c>
      <c r="J471" t="str">
        <f>_xlfn.XLOOKUP(Logs_Reseau6[[#This Row],[Id_Client]],Clients_Churn[ID_Client],Clients_Churn[Type_Forfait],"Pas d'information")</f>
        <v>Pas d'information</v>
      </c>
      <c r="K471" s="5" t="str">
        <f>IF(Logs_Reseau6[[#This Row],[Type_Forfait]]="Pro Monde","B2B","B2C")</f>
        <v>B2C</v>
      </c>
      <c r="L471" s="5" t="str">
        <f>_xlfn.XLOOKUP(Logs_Reseau6[[#This Row],[Id_Client]],Clients_Churn[ID_Client],Clients_Churn[Duree_Cumulee_Panne_Min],"Non Trouvée")</f>
        <v>Non Trouvée</v>
      </c>
      <c r="M471" s="5" t="str">
        <f>_xlfn.XLOOKUP(Logs_Reseau6[[#This Row],[Id_Client]],Clients_Churn[ID_Client],Clients_Churn[Anciennete_Mois],"Rien à signaler")</f>
        <v>Rien à signaler</v>
      </c>
      <c r="N471" s="5" t="e">
        <f>Logs_Reseau6[[#This Row],[Anciennette]]/24</f>
        <v>#VALUE!</v>
      </c>
      <c r="O471" s="5" t="e">
        <f>Logs_Reseau6[[#This Row],[Duree_Cumulée_Panne]]/1440</f>
        <v>#VALUE!</v>
      </c>
      <c r="P47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72" spans="1:16" hidden="1" x14ac:dyDescent="0.25">
      <c r="A472" s="2">
        <v>45219</v>
      </c>
      <c r="B472" s="1">
        <v>0.75347222222222221</v>
      </c>
      <c r="C472" t="s">
        <v>1357</v>
      </c>
      <c r="D472">
        <v>77</v>
      </c>
      <c r="E472" t="s">
        <v>1300</v>
      </c>
      <c r="F472" t="str">
        <f>_xlfn.XLOOKUP(Logs_Reseau6[[#This Row],[Cell_ID]],Registre[ID_Antenne],Registre[Province_RDC],"Non Trouvée")</f>
        <v>Non Trouvée</v>
      </c>
      <c r="G472" t="str">
        <f>_xlfn.XLOOKUP(Logs_Reseau6[[#This Row],[Province]],Clients_Churn[Province_Client],Clients_Churn[ID_Client],"Aucun")</f>
        <v>Aucun</v>
      </c>
      <c r="H472" t="str">
        <f>_xlfn.XLOOKUP(Logs_Reseau6[[#This Row],[Cell_ID]],Registre[ID_Antenne],Registre[Technologie],"Rien à signaler")</f>
        <v>Rien à signaler</v>
      </c>
      <c r="I472" t="str">
        <f>_xlfn.XLOOKUP(Logs_Reseau6[[#This Row],[Cell_ID]],Registre[ID_Antenne],Registre[Equipementier],"Non Trouvée")</f>
        <v>Non Trouvée</v>
      </c>
      <c r="J472" t="str">
        <f>_xlfn.XLOOKUP(Logs_Reseau6[[#This Row],[Id_Client]],Clients_Churn[ID_Client],Clients_Churn[Type_Forfait],"Pas d'information")</f>
        <v>Pas d'information</v>
      </c>
      <c r="K472" s="5" t="str">
        <f>IF(Logs_Reseau6[[#This Row],[Type_Forfait]]="Pro Monde","B2B","B2C")</f>
        <v>B2C</v>
      </c>
      <c r="L472" s="5" t="str">
        <f>_xlfn.XLOOKUP(Logs_Reseau6[[#This Row],[Id_Client]],Clients_Churn[ID_Client],Clients_Churn[Duree_Cumulee_Panne_Min],"Non Trouvée")</f>
        <v>Non Trouvée</v>
      </c>
      <c r="M472" s="5" t="str">
        <f>_xlfn.XLOOKUP(Logs_Reseau6[[#This Row],[Id_Client]],Clients_Churn[ID_Client],Clients_Churn[Anciennete_Mois],"Rien à signaler")</f>
        <v>Rien à signaler</v>
      </c>
      <c r="N472" s="5" t="e">
        <f>Logs_Reseau6[[#This Row],[Anciennette]]/24</f>
        <v>#VALUE!</v>
      </c>
      <c r="O472" s="5" t="e">
        <f>Logs_Reseau6[[#This Row],[Duree_Cumulée_Panne]]/1440</f>
        <v>#VALUE!</v>
      </c>
      <c r="P47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73" spans="1:16" hidden="1" x14ac:dyDescent="0.25">
      <c r="A473" s="2">
        <v>45221</v>
      </c>
      <c r="B473" s="1">
        <v>0.99791666666666667</v>
      </c>
      <c r="C473" t="s">
        <v>1357</v>
      </c>
      <c r="D473">
        <v>59</v>
      </c>
      <c r="E473" t="s">
        <v>1300</v>
      </c>
      <c r="F473" t="str">
        <f>_xlfn.XLOOKUP(Logs_Reseau6[[#This Row],[Cell_ID]],Registre[ID_Antenne],Registre[Province_RDC],"Non Trouvée")</f>
        <v>Non Trouvée</v>
      </c>
      <c r="G473" t="str">
        <f>_xlfn.XLOOKUP(Logs_Reseau6[[#This Row],[Province]],Clients_Churn[Province_Client],Clients_Churn[ID_Client],"Aucun")</f>
        <v>Aucun</v>
      </c>
      <c r="H473" t="str">
        <f>_xlfn.XLOOKUP(Logs_Reseau6[[#This Row],[Cell_ID]],Registre[ID_Antenne],Registre[Technologie],"Rien à signaler")</f>
        <v>Rien à signaler</v>
      </c>
      <c r="I473" t="str">
        <f>_xlfn.XLOOKUP(Logs_Reseau6[[#This Row],[Cell_ID]],Registre[ID_Antenne],Registre[Equipementier],"Non Trouvée")</f>
        <v>Non Trouvée</v>
      </c>
      <c r="J473" t="str">
        <f>_xlfn.XLOOKUP(Logs_Reseau6[[#This Row],[Id_Client]],Clients_Churn[ID_Client],Clients_Churn[Type_Forfait],"Pas d'information")</f>
        <v>Pas d'information</v>
      </c>
      <c r="K473" s="5" t="str">
        <f>IF(Logs_Reseau6[[#This Row],[Type_Forfait]]="Pro Monde","B2B","B2C")</f>
        <v>B2C</v>
      </c>
      <c r="L473" s="5" t="str">
        <f>_xlfn.XLOOKUP(Logs_Reseau6[[#This Row],[Id_Client]],Clients_Churn[ID_Client],Clients_Churn[Duree_Cumulee_Panne_Min],"Non Trouvée")</f>
        <v>Non Trouvée</v>
      </c>
      <c r="M473" s="5" t="str">
        <f>_xlfn.XLOOKUP(Logs_Reseau6[[#This Row],[Id_Client]],Clients_Churn[ID_Client],Clients_Churn[Anciennete_Mois],"Rien à signaler")</f>
        <v>Rien à signaler</v>
      </c>
      <c r="N473" s="5" t="e">
        <f>Logs_Reseau6[[#This Row],[Anciennette]]/24</f>
        <v>#VALUE!</v>
      </c>
      <c r="O473" s="5" t="e">
        <f>Logs_Reseau6[[#This Row],[Duree_Cumulée_Panne]]/1440</f>
        <v>#VALUE!</v>
      </c>
      <c r="P47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74" spans="1:16" hidden="1" x14ac:dyDescent="0.25">
      <c r="A474" s="2">
        <v>45222</v>
      </c>
      <c r="B474" s="1">
        <v>0.1076388888888889</v>
      </c>
      <c r="C474" t="s">
        <v>1357</v>
      </c>
      <c r="D474">
        <v>85</v>
      </c>
      <c r="E474" t="s">
        <v>1300</v>
      </c>
      <c r="F474" t="str">
        <f>_xlfn.XLOOKUP(Logs_Reseau6[[#This Row],[Cell_ID]],Registre[ID_Antenne],Registre[Province_RDC],"Non Trouvée")</f>
        <v>Non Trouvée</v>
      </c>
      <c r="G474" t="str">
        <f>_xlfn.XLOOKUP(Logs_Reseau6[[#This Row],[Province]],Clients_Churn[Province_Client],Clients_Churn[ID_Client],"Aucun")</f>
        <v>Aucun</v>
      </c>
      <c r="H474" t="str">
        <f>_xlfn.XLOOKUP(Logs_Reseau6[[#This Row],[Cell_ID]],Registre[ID_Antenne],Registre[Technologie],"Rien à signaler")</f>
        <v>Rien à signaler</v>
      </c>
      <c r="I474" t="str">
        <f>_xlfn.XLOOKUP(Logs_Reseau6[[#This Row],[Cell_ID]],Registre[ID_Antenne],Registre[Equipementier],"Non Trouvée")</f>
        <v>Non Trouvée</v>
      </c>
      <c r="J474" t="str">
        <f>_xlfn.XLOOKUP(Logs_Reseau6[[#This Row],[Id_Client]],Clients_Churn[ID_Client],Clients_Churn[Type_Forfait],"Pas d'information")</f>
        <v>Pas d'information</v>
      </c>
      <c r="K474" s="5" t="str">
        <f>IF(Logs_Reseau6[[#This Row],[Type_Forfait]]="Pro Monde","B2B","B2C")</f>
        <v>B2C</v>
      </c>
      <c r="L474" s="5" t="str">
        <f>_xlfn.XLOOKUP(Logs_Reseau6[[#This Row],[Id_Client]],Clients_Churn[ID_Client],Clients_Churn[Duree_Cumulee_Panne_Min],"Non Trouvée")</f>
        <v>Non Trouvée</v>
      </c>
      <c r="M474" s="5" t="str">
        <f>_xlfn.XLOOKUP(Logs_Reseau6[[#This Row],[Id_Client]],Clients_Churn[ID_Client],Clients_Churn[Anciennete_Mois],"Rien à signaler")</f>
        <v>Rien à signaler</v>
      </c>
      <c r="N474" s="5" t="e">
        <f>Logs_Reseau6[[#This Row],[Anciennette]]/24</f>
        <v>#VALUE!</v>
      </c>
      <c r="O474" s="5" t="e">
        <f>Logs_Reseau6[[#This Row],[Duree_Cumulée_Panne]]/1440</f>
        <v>#VALUE!</v>
      </c>
      <c r="P47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75" spans="1:16" x14ac:dyDescent="0.25">
      <c r="A475" s="2">
        <v>45203</v>
      </c>
      <c r="B475" s="1">
        <v>3.2638888888888891E-2</v>
      </c>
      <c r="C475" t="s">
        <v>1019</v>
      </c>
      <c r="D475">
        <v>73</v>
      </c>
      <c r="E475" t="s">
        <v>1300</v>
      </c>
      <c r="F475" t="str">
        <f>_xlfn.XLOOKUP(Logs_Reseau6[[#This Row],[Cell_ID]],Registre[ID_Antenne],Registre[Province_RDC],"Non Trouvée")</f>
        <v>Tanganyika</v>
      </c>
      <c r="G475" t="str">
        <f>_xlfn.XLOOKUP(Logs_Reseau6[[#This Row],[Province]],Clients_Churn[Province_Client],Clients_Churn[ID_Client],"Aucun")</f>
        <v>CLI-00007</v>
      </c>
      <c r="H475" t="str">
        <f>_xlfn.XLOOKUP(Logs_Reseau6[[#This Row],[Cell_ID]],Registre[ID_Antenne],Registre[Technologie],"Rien à signaler")</f>
        <v>4G</v>
      </c>
      <c r="I475" t="str">
        <f>_xlfn.XLOOKUP(Logs_Reseau6[[#This Row],[Cell_ID]],Registre[ID_Antenne],Registre[Equipementier],"Non Trouvée")</f>
        <v>Nokia</v>
      </c>
      <c r="J475" t="str">
        <f>_xlfn.XLOOKUP(Logs_Reseau6[[#This Row],[Id_Client]],Clients_Churn[ID_Client],Clients_Churn[Type_Forfait],"Pas d'information")</f>
        <v>Bloqué 5Go</v>
      </c>
      <c r="K475" s="5" t="str">
        <f>IF(Logs_Reseau6[[#This Row],[Type_Forfait]]="Pro Monde","B2B","B2C")</f>
        <v>B2C</v>
      </c>
      <c r="L475" s="5">
        <f>_xlfn.XLOOKUP(Logs_Reseau6[[#This Row],[Id_Client]],Clients_Churn[ID_Client],Clients_Churn[Duree_Cumulee_Panne_Min],"Non Trouvée")</f>
        <v>112</v>
      </c>
      <c r="M475" s="5">
        <f>_xlfn.XLOOKUP(Logs_Reseau6[[#This Row],[Id_Client]],Clients_Churn[ID_Client],Clients_Churn[Anciennete_Mois],"Rien à signaler")</f>
        <v>110</v>
      </c>
      <c r="N475" s="11">
        <f>Logs_Reseau6[[#This Row],[Anciennette]]/24</f>
        <v>4.583333333333333</v>
      </c>
      <c r="O475" s="1">
        <f>Logs_Reseau6[[#This Row],[Duree_Cumulée_Panne]]/1440</f>
        <v>7.7777777777777779E-2</v>
      </c>
      <c r="P47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76" spans="1:16" x14ac:dyDescent="0.25">
      <c r="A476" s="2">
        <v>45228</v>
      </c>
      <c r="B476" s="1">
        <v>0.79166666666666663</v>
      </c>
      <c r="C476" t="s">
        <v>1019</v>
      </c>
      <c r="D476">
        <v>63</v>
      </c>
      <c r="E476" t="s">
        <v>1300</v>
      </c>
      <c r="F476" t="str">
        <f>_xlfn.XLOOKUP(Logs_Reseau6[[#This Row],[Cell_ID]],Registre[ID_Antenne],Registre[Province_RDC],"Non Trouvée")</f>
        <v>Tanganyika</v>
      </c>
      <c r="G476" t="str">
        <f>_xlfn.XLOOKUP(Logs_Reseau6[[#This Row],[Province]],Clients_Churn[Province_Client],Clients_Churn[ID_Client],"Aucun")</f>
        <v>CLI-00007</v>
      </c>
      <c r="H476" t="str">
        <f>_xlfn.XLOOKUP(Logs_Reseau6[[#This Row],[Cell_ID]],Registre[ID_Antenne],Registre[Technologie],"Rien à signaler")</f>
        <v>4G</v>
      </c>
      <c r="I476" t="str">
        <f>_xlfn.XLOOKUP(Logs_Reseau6[[#This Row],[Cell_ID]],Registre[ID_Antenne],Registre[Equipementier],"Non Trouvée")</f>
        <v>Nokia</v>
      </c>
      <c r="J476" t="str">
        <f>_xlfn.XLOOKUP(Logs_Reseau6[[#This Row],[Id_Client]],Clients_Churn[ID_Client],Clients_Churn[Type_Forfait],"Pas d'information")</f>
        <v>Bloqué 5Go</v>
      </c>
      <c r="K476" s="5" t="str">
        <f>IF(Logs_Reseau6[[#This Row],[Type_Forfait]]="Pro Monde","B2B","B2C")</f>
        <v>B2C</v>
      </c>
      <c r="L476" s="5">
        <f>_xlfn.XLOOKUP(Logs_Reseau6[[#This Row],[Id_Client]],Clients_Churn[ID_Client],Clients_Churn[Duree_Cumulee_Panne_Min],"Non Trouvée")</f>
        <v>112</v>
      </c>
      <c r="M476" s="5">
        <f>_xlfn.XLOOKUP(Logs_Reseau6[[#This Row],[Id_Client]],Clients_Churn[ID_Client],Clients_Churn[Anciennete_Mois],"Rien à signaler")</f>
        <v>110</v>
      </c>
      <c r="N476" s="11">
        <f>Logs_Reseau6[[#This Row],[Anciennette]]/24</f>
        <v>4.583333333333333</v>
      </c>
      <c r="O476" s="1">
        <f>Logs_Reseau6[[#This Row],[Duree_Cumulée_Panne]]/1440</f>
        <v>7.7777777777777779E-2</v>
      </c>
      <c r="P47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77" spans="1:16" x14ac:dyDescent="0.25">
      <c r="A477" s="2">
        <v>45222</v>
      </c>
      <c r="B477" s="1">
        <v>0.94374999999999998</v>
      </c>
      <c r="C477" t="s">
        <v>896</v>
      </c>
      <c r="D477">
        <v>114</v>
      </c>
      <c r="E477" t="s">
        <v>1300</v>
      </c>
      <c r="F477" t="str">
        <f>_xlfn.XLOOKUP(Logs_Reseau6[[#This Row],[Cell_ID]],Registre[ID_Antenne],Registre[Province_RDC],"Non Trouvée")</f>
        <v>Haut-Lomami</v>
      </c>
      <c r="G477" t="str">
        <f>_xlfn.XLOOKUP(Logs_Reseau6[[#This Row],[Province]],Clients_Churn[Province_Client],Clients_Churn[ID_Client],"Aucun")</f>
        <v>CLI-00022</v>
      </c>
      <c r="H477" t="str">
        <f>_xlfn.XLOOKUP(Logs_Reseau6[[#This Row],[Cell_ID]],Registre[ID_Antenne],Registre[Technologie],"Rien à signaler")</f>
        <v>4G</v>
      </c>
      <c r="I477" t="str">
        <f>_xlfn.XLOOKUP(Logs_Reseau6[[#This Row],[Cell_ID]],Registre[ID_Antenne],Registre[Equipementier],"Non Trouvée")</f>
        <v>ZTE</v>
      </c>
      <c r="J477" t="str">
        <f>_xlfn.XLOOKUP(Logs_Reseau6[[#This Row],[Id_Client]],Clients_Churn[ID_Client],Clients_Churn[Type_Forfait],"Pas d'information")</f>
        <v>Premium 5G 150Go</v>
      </c>
      <c r="K477" s="5" t="str">
        <f>IF(Logs_Reseau6[[#This Row],[Type_Forfait]]="Pro Monde","B2B","B2C")</f>
        <v>B2C</v>
      </c>
      <c r="L477" s="5">
        <f>_xlfn.XLOOKUP(Logs_Reseau6[[#This Row],[Id_Client]],Clients_Churn[ID_Client],Clients_Churn[Duree_Cumulee_Panne_Min],"Non Trouvée")</f>
        <v>488</v>
      </c>
      <c r="M477" s="5">
        <f>_xlfn.XLOOKUP(Logs_Reseau6[[#This Row],[Id_Client]],Clients_Churn[ID_Client],Clients_Churn[Anciennete_Mois],"Rien à signaler")</f>
        <v>77</v>
      </c>
      <c r="N477" s="11">
        <f>Logs_Reseau6[[#This Row],[Anciennette]]/24</f>
        <v>3.2083333333333335</v>
      </c>
      <c r="O477" s="1">
        <f>Logs_Reseau6[[#This Row],[Duree_Cumulée_Panne]]/1440</f>
        <v>0.33888888888888891</v>
      </c>
      <c r="P47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78" spans="1:16" hidden="1" x14ac:dyDescent="0.25">
      <c r="A478" s="2">
        <v>45215</v>
      </c>
      <c r="B478" s="1">
        <v>0.16388888888888889</v>
      </c>
      <c r="C478" t="s">
        <v>1615</v>
      </c>
      <c r="D478">
        <v>109</v>
      </c>
      <c r="E478" t="s">
        <v>1303</v>
      </c>
      <c r="F478" t="str">
        <f>_xlfn.XLOOKUP(Logs_Reseau6[[#This Row],[Cell_ID]],Registre[ID_Antenne],Registre[Province_RDC],"Non Trouvée")</f>
        <v>Non Trouvée</v>
      </c>
      <c r="G478" t="str">
        <f>_xlfn.XLOOKUP(Logs_Reseau6[[#This Row],[Province]],Clients_Churn[Province_Client],Clients_Churn[ID_Client],"Aucun")</f>
        <v>Aucun</v>
      </c>
      <c r="H478" t="str">
        <f>_xlfn.XLOOKUP(Logs_Reseau6[[#This Row],[Cell_ID]],Registre[ID_Antenne],Registre[Technologie],"Rien à signaler")</f>
        <v>Rien à signaler</v>
      </c>
      <c r="I478" t="str">
        <f>_xlfn.XLOOKUP(Logs_Reseau6[[#This Row],[Cell_ID]],Registre[ID_Antenne],Registre[Equipementier],"Non Trouvée")</f>
        <v>Non Trouvée</v>
      </c>
      <c r="J478" t="str">
        <f>_xlfn.XLOOKUP(Logs_Reseau6[[#This Row],[Id_Client]],Clients_Churn[ID_Client],Clients_Churn[Type_Forfait],"Pas d'information")</f>
        <v>Pas d'information</v>
      </c>
      <c r="K478" s="5" t="str">
        <f>IF(Logs_Reseau6[[#This Row],[Type_Forfait]]="Pro Monde","B2B","B2C")</f>
        <v>B2C</v>
      </c>
      <c r="L478" s="5" t="str">
        <f>_xlfn.XLOOKUP(Logs_Reseau6[[#This Row],[Id_Client]],Clients_Churn[ID_Client],Clients_Churn[Duree_Cumulee_Panne_Min],"Non Trouvée")</f>
        <v>Non Trouvée</v>
      </c>
      <c r="M478" s="5" t="str">
        <f>_xlfn.XLOOKUP(Logs_Reseau6[[#This Row],[Id_Client]],Clients_Churn[ID_Client],Clients_Churn[Anciennete_Mois],"Rien à signaler")</f>
        <v>Rien à signaler</v>
      </c>
      <c r="N478" s="5" t="e">
        <f>Logs_Reseau6[[#This Row],[Anciennette]]/24</f>
        <v>#VALUE!</v>
      </c>
      <c r="O478" s="5" t="e">
        <f>Logs_Reseau6[[#This Row],[Duree_Cumulée_Panne]]/1440</f>
        <v>#VALUE!</v>
      </c>
      <c r="P47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79" spans="1:16" hidden="1" x14ac:dyDescent="0.25">
      <c r="A479" s="2">
        <v>45226</v>
      </c>
      <c r="B479" s="1">
        <v>3.472222222222222E-3</v>
      </c>
      <c r="C479" t="s">
        <v>1480</v>
      </c>
      <c r="D479">
        <v>76</v>
      </c>
      <c r="E479" t="s">
        <v>1300</v>
      </c>
      <c r="F479" t="str">
        <f>_xlfn.XLOOKUP(Logs_Reseau6[[#This Row],[Cell_ID]],Registre[ID_Antenne],Registre[Province_RDC],"Non Trouvée")</f>
        <v>Non Trouvée</v>
      </c>
      <c r="G479" t="str">
        <f>_xlfn.XLOOKUP(Logs_Reseau6[[#This Row],[Province]],Clients_Churn[Province_Client],Clients_Churn[ID_Client],"Aucun")</f>
        <v>Aucun</v>
      </c>
      <c r="H479" t="str">
        <f>_xlfn.XLOOKUP(Logs_Reseau6[[#This Row],[Cell_ID]],Registre[ID_Antenne],Registre[Technologie],"Rien à signaler")</f>
        <v>Rien à signaler</v>
      </c>
      <c r="I479" t="str">
        <f>_xlfn.XLOOKUP(Logs_Reseau6[[#This Row],[Cell_ID]],Registre[ID_Antenne],Registre[Equipementier],"Non Trouvée")</f>
        <v>Non Trouvée</v>
      </c>
      <c r="J479" t="str">
        <f>_xlfn.XLOOKUP(Logs_Reseau6[[#This Row],[Id_Client]],Clients_Churn[ID_Client],Clients_Churn[Type_Forfait],"Pas d'information")</f>
        <v>Pas d'information</v>
      </c>
      <c r="K479" s="5" t="str">
        <f>IF(Logs_Reseau6[[#This Row],[Type_Forfait]]="Pro Monde","B2B","B2C")</f>
        <v>B2C</v>
      </c>
      <c r="L479" s="5" t="str">
        <f>_xlfn.XLOOKUP(Logs_Reseau6[[#This Row],[Id_Client]],Clients_Churn[ID_Client],Clients_Churn[Duree_Cumulee_Panne_Min],"Non Trouvée")</f>
        <v>Non Trouvée</v>
      </c>
      <c r="M479" s="5" t="str">
        <f>_xlfn.XLOOKUP(Logs_Reseau6[[#This Row],[Id_Client]],Clients_Churn[ID_Client],Clients_Churn[Anciennete_Mois],"Rien à signaler")</f>
        <v>Rien à signaler</v>
      </c>
      <c r="N479" s="5" t="e">
        <f>Logs_Reseau6[[#This Row],[Anciennette]]/24</f>
        <v>#VALUE!</v>
      </c>
      <c r="O479" s="5" t="e">
        <f>Logs_Reseau6[[#This Row],[Duree_Cumulée_Panne]]/1440</f>
        <v>#VALUE!</v>
      </c>
      <c r="P47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80" spans="1:16" hidden="1" x14ac:dyDescent="0.25">
      <c r="A480" s="2">
        <v>45230</v>
      </c>
      <c r="B480" s="1">
        <v>8.819444444444445E-2</v>
      </c>
      <c r="C480" t="s">
        <v>1480</v>
      </c>
      <c r="D480">
        <v>87</v>
      </c>
      <c r="E480" t="s">
        <v>1305</v>
      </c>
      <c r="F480" t="str">
        <f>_xlfn.XLOOKUP(Logs_Reseau6[[#This Row],[Cell_ID]],Registre[ID_Antenne],Registre[Province_RDC],"Non Trouvée")</f>
        <v>Non Trouvée</v>
      </c>
      <c r="G480" t="str">
        <f>_xlfn.XLOOKUP(Logs_Reseau6[[#This Row],[Province]],Clients_Churn[Province_Client],Clients_Churn[ID_Client],"Aucun")</f>
        <v>Aucun</v>
      </c>
      <c r="H480" t="str">
        <f>_xlfn.XLOOKUP(Logs_Reseau6[[#This Row],[Cell_ID]],Registre[ID_Antenne],Registre[Technologie],"Rien à signaler")</f>
        <v>Rien à signaler</v>
      </c>
      <c r="I480" t="str">
        <f>_xlfn.XLOOKUP(Logs_Reseau6[[#This Row],[Cell_ID]],Registre[ID_Antenne],Registre[Equipementier],"Non Trouvée")</f>
        <v>Non Trouvée</v>
      </c>
      <c r="J480" t="str">
        <f>_xlfn.XLOOKUP(Logs_Reseau6[[#This Row],[Id_Client]],Clients_Churn[ID_Client],Clients_Churn[Type_Forfait],"Pas d'information")</f>
        <v>Pas d'information</v>
      </c>
      <c r="K480" s="5" t="str">
        <f>IF(Logs_Reseau6[[#This Row],[Type_Forfait]]="Pro Monde","B2B","B2C")</f>
        <v>B2C</v>
      </c>
      <c r="L480" s="5" t="str">
        <f>_xlfn.XLOOKUP(Logs_Reseau6[[#This Row],[Id_Client]],Clients_Churn[ID_Client],Clients_Churn[Duree_Cumulee_Panne_Min],"Non Trouvée")</f>
        <v>Non Trouvée</v>
      </c>
      <c r="M480" s="5" t="str">
        <f>_xlfn.XLOOKUP(Logs_Reseau6[[#This Row],[Id_Client]],Clients_Churn[ID_Client],Clients_Churn[Anciennete_Mois],"Rien à signaler")</f>
        <v>Rien à signaler</v>
      </c>
      <c r="N480" s="5" t="e">
        <f>Logs_Reseau6[[#This Row],[Anciennette]]/24</f>
        <v>#VALUE!</v>
      </c>
      <c r="O480" s="5" t="e">
        <f>Logs_Reseau6[[#This Row],[Duree_Cumulée_Panne]]/1440</f>
        <v>#VALUE!</v>
      </c>
      <c r="P48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81" spans="1:16" x14ac:dyDescent="0.25">
      <c r="A481" s="2">
        <v>45211</v>
      </c>
      <c r="B481" s="1">
        <v>0.21944444444444444</v>
      </c>
      <c r="C481" t="s">
        <v>1226</v>
      </c>
      <c r="D481">
        <v>5</v>
      </c>
      <c r="E481" t="s">
        <v>1300</v>
      </c>
      <c r="F481" t="str">
        <f>_xlfn.XLOOKUP(Logs_Reseau6[[#This Row],[Cell_ID]],Registre[ID_Antenne],Registre[Province_RDC],"Non Trouvée")</f>
        <v>Nord-Kivu</v>
      </c>
      <c r="G481" t="str">
        <f>_xlfn.XLOOKUP(Logs_Reseau6[[#This Row],[Province]],Clients_Churn[Province_Client],Clients_Churn[ID_Client],"Aucun")</f>
        <v>CLI-00043</v>
      </c>
      <c r="H481" t="str">
        <f>_xlfn.XLOOKUP(Logs_Reseau6[[#This Row],[Cell_ID]],Registre[ID_Antenne],Registre[Technologie],"Rien à signaler")</f>
        <v>3G</v>
      </c>
      <c r="I481" t="str">
        <f>_xlfn.XLOOKUP(Logs_Reseau6[[#This Row],[Cell_ID]],Registre[ID_Antenne],Registre[Equipementier],"Non Trouvée")</f>
        <v>Nokia</v>
      </c>
      <c r="J481" t="str">
        <f>_xlfn.XLOOKUP(Logs_Reseau6[[#This Row],[Id_Client]],Clients_Churn[ID_Client],Clients_Churn[Type_Forfait],"Pas d'information")</f>
        <v>Pro Monde</v>
      </c>
      <c r="K481" s="5" t="str">
        <f>IF(Logs_Reseau6[[#This Row],[Type_Forfait]]="Pro Monde","B2B","B2C")</f>
        <v>B2B</v>
      </c>
      <c r="L481" s="5">
        <f>_xlfn.XLOOKUP(Logs_Reseau6[[#This Row],[Id_Client]],Clients_Churn[ID_Client],Clients_Churn[Duree_Cumulee_Panne_Min],"Non Trouvée")</f>
        <v>132</v>
      </c>
      <c r="M481" s="5">
        <f>_xlfn.XLOOKUP(Logs_Reseau6[[#This Row],[Id_Client]],Clients_Churn[ID_Client],Clients_Churn[Anciennete_Mois],"Rien à signaler")</f>
        <v>118</v>
      </c>
      <c r="N481" s="11">
        <f>Logs_Reseau6[[#This Row],[Anciennette]]/24</f>
        <v>4.916666666666667</v>
      </c>
      <c r="O481" s="1">
        <f>Logs_Reseau6[[#This Row],[Duree_Cumulée_Panne]]/1440</f>
        <v>9.166666666666666E-2</v>
      </c>
      <c r="P48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482" spans="1:16" hidden="1" x14ac:dyDescent="0.25">
      <c r="A482" s="2">
        <v>45227</v>
      </c>
      <c r="B482" s="1">
        <v>0.32430555555555557</v>
      </c>
      <c r="C482" t="s">
        <v>1513</v>
      </c>
      <c r="D482">
        <v>52</v>
      </c>
      <c r="E482" t="s">
        <v>1300</v>
      </c>
      <c r="F482" t="str">
        <f>_xlfn.XLOOKUP(Logs_Reseau6[[#This Row],[Cell_ID]],Registre[ID_Antenne],Registre[Province_RDC],"Non Trouvée")</f>
        <v>Non Trouvée</v>
      </c>
      <c r="G482" t="str">
        <f>_xlfn.XLOOKUP(Logs_Reseau6[[#This Row],[Province]],Clients_Churn[Province_Client],Clients_Churn[ID_Client],"Aucun")</f>
        <v>Aucun</v>
      </c>
      <c r="H482" t="str">
        <f>_xlfn.XLOOKUP(Logs_Reseau6[[#This Row],[Cell_ID]],Registre[ID_Antenne],Registre[Technologie],"Rien à signaler")</f>
        <v>Rien à signaler</v>
      </c>
      <c r="I482" t="str">
        <f>_xlfn.XLOOKUP(Logs_Reseau6[[#This Row],[Cell_ID]],Registre[ID_Antenne],Registre[Equipementier],"Non Trouvée")</f>
        <v>Non Trouvée</v>
      </c>
      <c r="J482" t="str">
        <f>_xlfn.XLOOKUP(Logs_Reseau6[[#This Row],[Id_Client]],Clients_Churn[ID_Client],Clients_Churn[Type_Forfait],"Pas d'information")</f>
        <v>Pas d'information</v>
      </c>
      <c r="K482" s="5" t="str">
        <f>IF(Logs_Reseau6[[#This Row],[Type_Forfait]]="Pro Monde","B2B","B2C")</f>
        <v>B2C</v>
      </c>
      <c r="L482" s="5" t="str">
        <f>_xlfn.XLOOKUP(Logs_Reseau6[[#This Row],[Id_Client]],Clients_Churn[ID_Client],Clients_Churn[Duree_Cumulee_Panne_Min],"Non Trouvée")</f>
        <v>Non Trouvée</v>
      </c>
      <c r="M482" s="5" t="str">
        <f>_xlfn.XLOOKUP(Logs_Reseau6[[#This Row],[Id_Client]],Clients_Churn[ID_Client],Clients_Churn[Anciennete_Mois],"Rien à signaler")</f>
        <v>Rien à signaler</v>
      </c>
      <c r="N482" s="5" t="e">
        <f>Logs_Reseau6[[#This Row],[Anciennette]]/24</f>
        <v>#VALUE!</v>
      </c>
      <c r="O482" s="5" t="e">
        <f>Logs_Reseau6[[#This Row],[Duree_Cumulée_Panne]]/1440</f>
        <v>#VALUE!</v>
      </c>
      <c r="P48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83" spans="1:16" x14ac:dyDescent="0.25">
      <c r="A483" s="2">
        <v>45200</v>
      </c>
      <c r="B483" s="1">
        <v>0.83263888888888893</v>
      </c>
      <c r="C483" t="s">
        <v>1227</v>
      </c>
      <c r="D483">
        <v>27</v>
      </c>
      <c r="E483" t="s">
        <v>1300</v>
      </c>
      <c r="F483" t="str">
        <f>_xlfn.XLOOKUP(Logs_Reseau6[[#This Row],[Cell_ID]],Registre[ID_Antenne],Registre[Province_RDC],"Non Trouvée")</f>
        <v>Sud-Kivu</v>
      </c>
      <c r="G483" t="str">
        <f>_xlfn.XLOOKUP(Logs_Reseau6[[#This Row],[Province]],Clients_Churn[Province_Client],Clients_Churn[ID_Client],"Aucun")</f>
        <v>CLI-00054</v>
      </c>
      <c r="H483" t="str">
        <f>_xlfn.XLOOKUP(Logs_Reseau6[[#This Row],[Cell_ID]],Registre[ID_Antenne],Registre[Technologie],"Rien à signaler")</f>
        <v>4G</v>
      </c>
      <c r="I483" t="str">
        <f>_xlfn.XLOOKUP(Logs_Reseau6[[#This Row],[Cell_ID]],Registre[ID_Antenne],Registre[Equipementier],"Non Trouvée")</f>
        <v>Huawei</v>
      </c>
      <c r="J483" t="str">
        <f>_xlfn.XLOOKUP(Logs_Reseau6[[#This Row],[Id_Client]],Clients_Churn[ID_Client],Clients_Churn[Type_Forfait],"Pas d'information")</f>
        <v>Bloqué 5Go</v>
      </c>
      <c r="K483" s="5" t="str">
        <f>IF(Logs_Reseau6[[#This Row],[Type_Forfait]]="Pro Monde","B2B","B2C")</f>
        <v>B2C</v>
      </c>
      <c r="L483" s="5">
        <f>_xlfn.XLOOKUP(Logs_Reseau6[[#This Row],[Id_Client]],Clients_Churn[ID_Client],Clients_Churn[Duree_Cumulee_Panne_Min],"Non Trouvée")</f>
        <v>40</v>
      </c>
      <c r="M483" s="5">
        <f>_xlfn.XLOOKUP(Logs_Reseau6[[#This Row],[Id_Client]],Clients_Churn[ID_Client],Clients_Churn[Anciennete_Mois],"Rien à signaler")</f>
        <v>34</v>
      </c>
      <c r="N483" s="11">
        <f>Logs_Reseau6[[#This Row],[Anciennette]]/24</f>
        <v>1.4166666666666667</v>
      </c>
      <c r="O483" s="1">
        <f>Logs_Reseau6[[#This Row],[Duree_Cumulée_Panne]]/1440</f>
        <v>2.7777777777777776E-2</v>
      </c>
      <c r="P48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84" spans="1:16" x14ac:dyDescent="0.25">
      <c r="A484" s="2">
        <v>45218</v>
      </c>
      <c r="B484" s="1">
        <v>0.12708333333333333</v>
      </c>
      <c r="C484" t="s">
        <v>1227</v>
      </c>
      <c r="D484">
        <v>58</v>
      </c>
      <c r="E484" t="s">
        <v>1303</v>
      </c>
      <c r="F484" t="str">
        <f>_xlfn.XLOOKUP(Logs_Reseau6[[#This Row],[Cell_ID]],Registre[ID_Antenne],Registre[Province_RDC],"Non Trouvée")</f>
        <v>Sud-Kivu</v>
      </c>
      <c r="G484" t="str">
        <f>_xlfn.XLOOKUP(Logs_Reseau6[[#This Row],[Province]],Clients_Churn[Province_Client],Clients_Churn[ID_Client],"Aucun")</f>
        <v>CLI-00054</v>
      </c>
      <c r="H484" t="str">
        <f>_xlfn.XLOOKUP(Logs_Reseau6[[#This Row],[Cell_ID]],Registre[ID_Antenne],Registre[Technologie],"Rien à signaler")</f>
        <v>4G</v>
      </c>
      <c r="I484" t="str">
        <f>_xlfn.XLOOKUP(Logs_Reseau6[[#This Row],[Cell_ID]],Registre[ID_Antenne],Registre[Equipementier],"Non Trouvée")</f>
        <v>Huawei</v>
      </c>
      <c r="J484" t="str">
        <f>_xlfn.XLOOKUP(Logs_Reseau6[[#This Row],[Id_Client]],Clients_Churn[ID_Client],Clients_Churn[Type_Forfait],"Pas d'information")</f>
        <v>Bloqué 5Go</v>
      </c>
      <c r="K484" s="5" t="str">
        <f>IF(Logs_Reseau6[[#This Row],[Type_Forfait]]="Pro Monde","B2B","B2C")</f>
        <v>B2C</v>
      </c>
      <c r="L484" s="5">
        <f>_xlfn.XLOOKUP(Logs_Reseau6[[#This Row],[Id_Client]],Clients_Churn[ID_Client],Clients_Churn[Duree_Cumulee_Panne_Min],"Non Trouvée")</f>
        <v>40</v>
      </c>
      <c r="M484" s="5">
        <f>_xlfn.XLOOKUP(Logs_Reseau6[[#This Row],[Id_Client]],Clients_Churn[ID_Client],Clients_Churn[Anciennete_Mois],"Rien à signaler")</f>
        <v>34</v>
      </c>
      <c r="N484" s="11">
        <f>Logs_Reseau6[[#This Row],[Anciennette]]/24</f>
        <v>1.4166666666666667</v>
      </c>
      <c r="O484" s="1">
        <f>Logs_Reseau6[[#This Row],[Duree_Cumulée_Panne]]/1440</f>
        <v>2.7777777777777776E-2</v>
      </c>
      <c r="P48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85" spans="1:16" hidden="1" x14ac:dyDescent="0.25">
      <c r="A485" s="2">
        <v>45200</v>
      </c>
      <c r="B485" s="1">
        <v>0.39444444444444443</v>
      </c>
      <c r="C485" t="s">
        <v>1445</v>
      </c>
      <c r="D485">
        <v>115</v>
      </c>
      <c r="E485" t="s">
        <v>1303</v>
      </c>
      <c r="F485" t="str">
        <f>_xlfn.XLOOKUP(Logs_Reseau6[[#This Row],[Cell_ID]],Registre[ID_Antenne],Registre[Province_RDC],"Non Trouvée")</f>
        <v>Non Trouvée</v>
      </c>
      <c r="G485" t="str">
        <f>_xlfn.XLOOKUP(Logs_Reseau6[[#This Row],[Province]],Clients_Churn[Province_Client],Clients_Churn[ID_Client],"Aucun")</f>
        <v>Aucun</v>
      </c>
      <c r="H485" t="str">
        <f>_xlfn.XLOOKUP(Logs_Reseau6[[#This Row],[Cell_ID]],Registre[ID_Antenne],Registre[Technologie],"Rien à signaler")</f>
        <v>Rien à signaler</v>
      </c>
      <c r="I485" t="str">
        <f>_xlfn.XLOOKUP(Logs_Reseau6[[#This Row],[Cell_ID]],Registre[ID_Antenne],Registre[Equipementier],"Non Trouvée")</f>
        <v>Non Trouvée</v>
      </c>
      <c r="J485" t="str">
        <f>_xlfn.XLOOKUP(Logs_Reseau6[[#This Row],[Id_Client]],Clients_Churn[ID_Client],Clients_Churn[Type_Forfait],"Pas d'information")</f>
        <v>Pas d'information</v>
      </c>
      <c r="K485" s="5" t="str">
        <f>IF(Logs_Reseau6[[#This Row],[Type_Forfait]]="Pro Monde","B2B","B2C")</f>
        <v>B2C</v>
      </c>
      <c r="L485" s="5" t="str">
        <f>_xlfn.XLOOKUP(Logs_Reseau6[[#This Row],[Id_Client]],Clients_Churn[ID_Client],Clients_Churn[Duree_Cumulee_Panne_Min],"Non Trouvée")</f>
        <v>Non Trouvée</v>
      </c>
      <c r="M485" s="5" t="str">
        <f>_xlfn.XLOOKUP(Logs_Reseau6[[#This Row],[Id_Client]],Clients_Churn[ID_Client],Clients_Churn[Anciennete_Mois],"Rien à signaler")</f>
        <v>Rien à signaler</v>
      </c>
      <c r="N485" s="5" t="e">
        <f>Logs_Reseau6[[#This Row],[Anciennette]]/24</f>
        <v>#VALUE!</v>
      </c>
      <c r="O485" s="5" t="e">
        <f>Logs_Reseau6[[#This Row],[Duree_Cumulée_Panne]]/1440</f>
        <v>#VALUE!</v>
      </c>
      <c r="P48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86" spans="1:16" hidden="1" x14ac:dyDescent="0.25">
      <c r="A486" s="2">
        <v>45201</v>
      </c>
      <c r="B486" s="1">
        <v>0.24305555555555555</v>
      </c>
      <c r="C486" t="s">
        <v>1445</v>
      </c>
      <c r="D486">
        <v>73</v>
      </c>
      <c r="E486" t="s">
        <v>1303</v>
      </c>
      <c r="F486" t="str">
        <f>_xlfn.XLOOKUP(Logs_Reseau6[[#This Row],[Cell_ID]],Registre[ID_Antenne],Registre[Province_RDC],"Non Trouvée")</f>
        <v>Non Trouvée</v>
      </c>
      <c r="G486" t="str">
        <f>_xlfn.XLOOKUP(Logs_Reseau6[[#This Row],[Province]],Clients_Churn[Province_Client],Clients_Churn[ID_Client],"Aucun")</f>
        <v>Aucun</v>
      </c>
      <c r="H486" t="str">
        <f>_xlfn.XLOOKUP(Logs_Reseau6[[#This Row],[Cell_ID]],Registre[ID_Antenne],Registre[Technologie],"Rien à signaler")</f>
        <v>Rien à signaler</v>
      </c>
      <c r="I486" t="str">
        <f>_xlfn.XLOOKUP(Logs_Reseau6[[#This Row],[Cell_ID]],Registre[ID_Antenne],Registre[Equipementier],"Non Trouvée")</f>
        <v>Non Trouvée</v>
      </c>
      <c r="J486" t="str">
        <f>_xlfn.XLOOKUP(Logs_Reseau6[[#This Row],[Id_Client]],Clients_Churn[ID_Client],Clients_Churn[Type_Forfait],"Pas d'information")</f>
        <v>Pas d'information</v>
      </c>
      <c r="K486" s="5" t="str">
        <f>IF(Logs_Reseau6[[#This Row],[Type_Forfait]]="Pro Monde","B2B","B2C")</f>
        <v>B2C</v>
      </c>
      <c r="L486" s="5" t="str">
        <f>_xlfn.XLOOKUP(Logs_Reseau6[[#This Row],[Id_Client]],Clients_Churn[ID_Client],Clients_Churn[Duree_Cumulee_Panne_Min],"Non Trouvée")</f>
        <v>Non Trouvée</v>
      </c>
      <c r="M486" s="5" t="str">
        <f>_xlfn.XLOOKUP(Logs_Reseau6[[#This Row],[Id_Client]],Clients_Churn[ID_Client],Clients_Churn[Anciennete_Mois],"Rien à signaler")</f>
        <v>Rien à signaler</v>
      </c>
      <c r="N486" s="5" t="e">
        <f>Logs_Reseau6[[#This Row],[Anciennette]]/24</f>
        <v>#VALUE!</v>
      </c>
      <c r="O486" s="5" t="e">
        <f>Logs_Reseau6[[#This Row],[Duree_Cumulée_Panne]]/1440</f>
        <v>#VALUE!</v>
      </c>
      <c r="P48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87" spans="1:16" hidden="1" x14ac:dyDescent="0.25">
      <c r="A487" s="2">
        <v>45202</v>
      </c>
      <c r="B487" s="1">
        <v>0.69513888888888886</v>
      </c>
      <c r="C487" t="s">
        <v>1445</v>
      </c>
      <c r="D487">
        <v>21</v>
      </c>
      <c r="E487" t="s">
        <v>1300</v>
      </c>
      <c r="F487" t="str">
        <f>_xlfn.XLOOKUP(Logs_Reseau6[[#This Row],[Cell_ID]],Registre[ID_Antenne],Registre[Province_RDC],"Non Trouvée")</f>
        <v>Non Trouvée</v>
      </c>
      <c r="G487" t="str">
        <f>_xlfn.XLOOKUP(Logs_Reseau6[[#This Row],[Province]],Clients_Churn[Province_Client],Clients_Churn[ID_Client],"Aucun")</f>
        <v>Aucun</v>
      </c>
      <c r="H487" t="str">
        <f>_xlfn.XLOOKUP(Logs_Reseau6[[#This Row],[Cell_ID]],Registre[ID_Antenne],Registre[Technologie],"Rien à signaler")</f>
        <v>Rien à signaler</v>
      </c>
      <c r="I487" t="str">
        <f>_xlfn.XLOOKUP(Logs_Reseau6[[#This Row],[Cell_ID]],Registre[ID_Antenne],Registre[Equipementier],"Non Trouvée")</f>
        <v>Non Trouvée</v>
      </c>
      <c r="J487" t="str">
        <f>_xlfn.XLOOKUP(Logs_Reseau6[[#This Row],[Id_Client]],Clients_Churn[ID_Client],Clients_Churn[Type_Forfait],"Pas d'information")</f>
        <v>Pas d'information</v>
      </c>
      <c r="K487" s="5" t="str">
        <f>IF(Logs_Reseau6[[#This Row],[Type_Forfait]]="Pro Monde","B2B","B2C")</f>
        <v>B2C</v>
      </c>
      <c r="L487" s="5" t="str">
        <f>_xlfn.XLOOKUP(Logs_Reseau6[[#This Row],[Id_Client]],Clients_Churn[ID_Client],Clients_Churn[Duree_Cumulee_Panne_Min],"Non Trouvée")</f>
        <v>Non Trouvée</v>
      </c>
      <c r="M487" s="5" t="str">
        <f>_xlfn.XLOOKUP(Logs_Reseau6[[#This Row],[Id_Client]],Clients_Churn[ID_Client],Clients_Churn[Anciennete_Mois],"Rien à signaler")</f>
        <v>Rien à signaler</v>
      </c>
      <c r="N487" s="5" t="e">
        <f>Logs_Reseau6[[#This Row],[Anciennette]]/24</f>
        <v>#VALUE!</v>
      </c>
      <c r="O487" s="5" t="e">
        <f>Logs_Reseau6[[#This Row],[Duree_Cumulée_Panne]]/1440</f>
        <v>#VALUE!</v>
      </c>
      <c r="P48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88" spans="1:16" hidden="1" x14ac:dyDescent="0.25">
      <c r="A488" s="2">
        <v>45227</v>
      </c>
      <c r="B488" s="1">
        <v>0.76875000000000004</v>
      </c>
      <c r="C488" t="s">
        <v>1383</v>
      </c>
      <c r="D488">
        <v>61</v>
      </c>
      <c r="E488" t="s">
        <v>1303</v>
      </c>
      <c r="F488" t="str">
        <f>_xlfn.XLOOKUP(Logs_Reseau6[[#This Row],[Cell_ID]],Registre[ID_Antenne],Registre[Province_RDC],"Non Trouvée")</f>
        <v>Non Trouvée</v>
      </c>
      <c r="G488" t="str">
        <f>_xlfn.XLOOKUP(Logs_Reseau6[[#This Row],[Province]],Clients_Churn[Province_Client],Clients_Churn[ID_Client],"Aucun")</f>
        <v>Aucun</v>
      </c>
      <c r="H488" t="str">
        <f>_xlfn.XLOOKUP(Logs_Reseau6[[#This Row],[Cell_ID]],Registre[ID_Antenne],Registre[Technologie],"Rien à signaler")</f>
        <v>Rien à signaler</v>
      </c>
      <c r="I488" t="str">
        <f>_xlfn.XLOOKUP(Logs_Reseau6[[#This Row],[Cell_ID]],Registre[ID_Antenne],Registre[Equipementier],"Non Trouvée")</f>
        <v>Non Trouvée</v>
      </c>
      <c r="J488" t="str">
        <f>_xlfn.XLOOKUP(Logs_Reseau6[[#This Row],[Id_Client]],Clients_Churn[ID_Client],Clients_Churn[Type_Forfait],"Pas d'information")</f>
        <v>Pas d'information</v>
      </c>
      <c r="K488" s="5" t="str">
        <f>IF(Logs_Reseau6[[#This Row],[Type_Forfait]]="Pro Monde","B2B","B2C")</f>
        <v>B2C</v>
      </c>
      <c r="L488" s="5" t="str">
        <f>_xlfn.XLOOKUP(Logs_Reseau6[[#This Row],[Id_Client]],Clients_Churn[ID_Client],Clients_Churn[Duree_Cumulee_Panne_Min],"Non Trouvée")</f>
        <v>Non Trouvée</v>
      </c>
      <c r="M488" s="5" t="str">
        <f>_xlfn.XLOOKUP(Logs_Reseau6[[#This Row],[Id_Client]],Clients_Churn[ID_Client],Clients_Churn[Anciennete_Mois],"Rien à signaler")</f>
        <v>Rien à signaler</v>
      </c>
      <c r="N488" s="5" t="e">
        <f>Logs_Reseau6[[#This Row],[Anciennette]]/24</f>
        <v>#VALUE!</v>
      </c>
      <c r="O488" s="5" t="e">
        <f>Logs_Reseau6[[#This Row],[Duree_Cumulée_Panne]]/1440</f>
        <v>#VALUE!</v>
      </c>
      <c r="P48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89" spans="1:16" hidden="1" x14ac:dyDescent="0.25">
      <c r="A489" s="2">
        <v>45230</v>
      </c>
      <c r="B489" s="1">
        <v>0.1875</v>
      </c>
      <c r="C489" t="s">
        <v>1495</v>
      </c>
      <c r="D489">
        <v>9</v>
      </c>
      <c r="E489" t="s">
        <v>1305</v>
      </c>
      <c r="F489" t="str">
        <f>_xlfn.XLOOKUP(Logs_Reseau6[[#This Row],[Cell_ID]],Registre[ID_Antenne],Registre[Province_RDC],"Non Trouvée")</f>
        <v>Non Trouvée</v>
      </c>
      <c r="G489" t="str">
        <f>_xlfn.XLOOKUP(Logs_Reseau6[[#This Row],[Province]],Clients_Churn[Province_Client],Clients_Churn[ID_Client],"Aucun")</f>
        <v>Aucun</v>
      </c>
      <c r="H489" t="str">
        <f>_xlfn.XLOOKUP(Logs_Reseau6[[#This Row],[Cell_ID]],Registre[ID_Antenne],Registre[Technologie],"Rien à signaler")</f>
        <v>Rien à signaler</v>
      </c>
      <c r="I489" t="str">
        <f>_xlfn.XLOOKUP(Logs_Reseau6[[#This Row],[Cell_ID]],Registre[ID_Antenne],Registre[Equipementier],"Non Trouvée")</f>
        <v>Non Trouvée</v>
      </c>
      <c r="J489" t="str">
        <f>_xlfn.XLOOKUP(Logs_Reseau6[[#This Row],[Id_Client]],Clients_Churn[ID_Client],Clients_Churn[Type_Forfait],"Pas d'information")</f>
        <v>Pas d'information</v>
      </c>
      <c r="K489" s="5" t="str">
        <f>IF(Logs_Reseau6[[#This Row],[Type_Forfait]]="Pro Monde","B2B","B2C")</f>
        <v>B2C</v>
      </c>
      <c r="L489" s="5" t="str">
        <f>_xlfn.XLOOKUP(Logs_Reseau6[[#This Row],[Id_Client]],Clients_Churn[ID_Client],Clients_Churn[Duree_Cumulee_Panne_Min],"Non Trouvée")</f>
        <v>Non Trouvée</v>
      </c>
      <c r="M489" s="5" t="str">
        <f>_xlfn.XLOOKUP(Logs_Reseau6[[#This Row],[Id_Client]],Clients_Churn[ID_Client],Clients_Churn[Anciennete_Mois],"Rien à signaler")</f>
        <v>Rien à signaler</v>
      </c>
      <c r="N489" s="5" t="e">
        <f>Logs_Reseau6[[#This Row],[Anciennette]]/24</f>
        <v>#VALUE!</v>
      </c>
      <c r="O489" s="5" t="e">
        <f>Logs_Reseau6[[#This Row],[Duree_Cumulée_Panne]]/1440</f>
        <v>#VALUE!</v>
      </c>
      <c r="P48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90" spans="1:16" hidden="1" x14ac:dyDescent="0.25">
      <c r="A490" s="2">
        <v>45213</v>
      </c>
      <c r="B490" s="1">
        <v>0.82222222222222219</v>
      </c>
      <c r="C490" t="s">
        <v>1623</v>
      </c>
      <c r="D490">
        <v>100</v>
      </c>
      <c r="E490" t="s">
        <v>1303</v>
      </c>
      <c r="F490" t="str">
        <f>_xlfn.XLOOKUP(Logs_Reseau6[[#This Row],[Cell_ID]],Registre[ID_Antenne],Registre[Province_RDC],"Non Trouvée")</f>
        <v>Non Trouvée</v>
      </c>
      <c r="G490" t="str">
        <f>_xlfn.XLOOKUP(Logs_Reseau6[[#This Row],[Province]],Clients_Churn[Province_Client],Clients_Churn[ID_Client],"Aucun")</f>
        <v>Aucun</v>
      </c>
      <c r="H490" t="str">
        <f>_xlfn.XLOOKUP(Logs_Reseau6[[#This Row],[Cell_ID]],Registre[ID_Antenne],Registre[Technologie],"Rien à signaler")</f>
        <v>Rien à signaler</v>
      </c>
      <c r="I490" t="str">
        <f>_xlfn.XLOOKUP(Logs_Reseau6[[#This Row],[Cell_ID]],Registre[ID_Antenne],Registre[Equipementier],"Non Trouvée")</f>
        <v>Non Trouvée</v>
      </c>
      <c r="J490" t="str">
        <f>_xlfn.XLOOKUP(Logs_Reseau6[[#This Row],[Id_Client]],Clients_Churn[ID_Client],Clients_Churn[Type_Forfait],"Pas d'information")</f>
        <v>Pas d'information</v>
      </c>
      <c r="K490" s="5" t="str">
        <f>IF(Logs_Reseau6[[#This Row],[Type_Forfait]]="Pro Monde","B2B","B2C")</f>
        <v>B2C</v>
      </c>
      <c r="L490" s="5" t="str">
        <f>_xlfn.XLOOKUP(Logs_Reseau6[[#This Row],[Id_Client]],Clients_Churn[ID_Client],Clients_Churn[Duree_Cumulee_Panne_Min],"Non Trouvée")</f>
        <v>Non Trouvée</v>
      </c>
      <c r="M490" s="5" t="str">
        <f>_xlfn.XLOOKUP(Logs_Reseau6[[#This Row],[Id_Client]],Clients_Churn[ID_Client],Clients_Churn[Anciennete_Mois],"Rien à signaler")</f>
        <v>Rien à signaler</v>
      </c>
      <c r="N490" s="5" t="e">
        <f>Logs_Reseau6[[#This Row],[Anciennette]]/24</f>
        <v>#VALUE!</v>
      </c>
      <c r="O490" s="5" t="e">
        <f>Logs_Reseau6[[#This Row],[Duree_Cumulée_Panne]]/1440</f>
        <v>#VALUE!</v>
      </c>
      <c r="P49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91" spans="1:16" hidden="1" x14ac:dyDescent="0.25">
      <c r="A491" s="2">
        <v>45209</v>
      </c>
      <c r="B491" s="1">
        <v>9.4444444444444442E-2</v>
      </c>
      <c r="C491" t="s">
        <v>1475</v>
      </c>
      <c r="D491">
        <v>96</v>
      </c>
      <c r="E491" t="s">
        <v>1300</v>
      </c>
      <c r="F491" t="str">
        <f>_xlfn.XLOOKUP(Logs_Reseau6[[#This Row],[Cell_ID]],Registre[ID_Antenne],Registre[Province_RDC],"Non Trouvée")</f>
        <v>Non Trouvée</v>
      </c>
      <c r="G491" t="str">
        <f>_xlfn.XLOOKUP(Logs_Reseau6[[#This Row],[Province]],Clients_Churn[Province_Client],Clients_Churn[ID_Client],"Aucun")</f>
        <v>Aucun</v>
      </c>
      <c r="H491" t="str">
        <f>_xlfn.XLOOKUP(Logs_Reseau6[[#This Row],[Cell_ID]],Registre[ID_Antenne],Registre[Technologie],"Rien à signaler")</f>
        <v>Rien à signaler</v>
      </c>
      <c r="I491" t="str">
        <f>_xlfn.XLOOKUP(Logs_Reseau6[[#This Row],[Cell_ID]],Registre[ID_Antenne],Registre[Equipementier],"Non Trouvée")</f>
        <v>Non Trouvée</v>
      </c>
      <c r="J491" t="str">
        <f>_xlfn.XLOOKUP(Logs_Reseau6[[#This Row],[Id_Client]],Clients_Churn[ID_Client],Clients_Churn[Type_Forfait],"Pas d'information")</f>
        <v>Pas d'information</v>
      </c>
      <c r="K491" s="5" t="str">
        <f>IF(Logs_Reseau6[[#This Row],[Type_Forfait]]="Pro Monde","B2B","B2C")</f>
        <v>B2C</v>
      </c>
      <c r="L491" s="5" t="str">
        <f>_xlfn.XLOOKUP(Logs_Reseau6[[#This Row],[Id_Client]],Clients_Churn[ID_Client],Clients_Churn[Duree_Cumulee_Panne_Min],"Non Trouvée")</f>
        <v>Non Trouvée</v>
      </c>
      <c r="M491" s="5" t="str">
        <f>_xlfn.XLOOKUP(Logs_Reseau6[[#This Row],[Id_Client]],Clients_Churn[ID_Client],Clients_Churn[Anciennete_Mois],"Rien à signaler")</f>
        <v>Rien à signaler</v>
      </c>
      <c r="N491" s="5" t="e">
        <f>Logs_Reseau6[[#This Row],[Anciennette]]/24</f>
        <v>#VALUE!</v>
      </c>
      <c r="O491" s="5" t="e">
        <f>Logs_Reseau6[[#This Row],[Duree_Cumulée_Panne]]/1440</f>
        <v>#VALUE!</v>
      </c>
      <c r="P49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92" spans="1:16" x14ac:dyDescent="0.25">
      <c r="A492" s="2">
        <v>45219</v>
      </c>
      <c r="B492" s="1">
        <v>0.68333333333333335</v>
      </c>
      <c r="C492" t="s">
        <v>895</v>
      </c>
      <c r="D492">
        <v>99</v>
      </c>
      <c r="E492" t="s">
        <v>1303</v>
      </c>
      <c r="F492" t="str">
        <f>_xlfn.XLOOKUP(Logs_Reseau6[[#This Row],[Cell_ID]],Registre[ID_Antenne],Registre[Province_RDC],"Non Trouvée")</f>
        <v>Kongo-Central</v>
      </c>
      <c r="G492" t="str">
        <f>_xlfn.XLOOKUP(Logs_Reseau6[[#This Row],[Province]],Clients_Churn[Province_Client],Clients_Churn[ID_Client],"Aucun")</f>
        <v>CLI-00012</v>
      </c>
      <c r="H492" t="str">
        <f>_xlfn.XLOOKUP(Logs_Reseau6[[#This Row],[Cell_ID]],Registre[ID_Antenne],Registre[Technologie],"Rien à signaler")</f>
        <v>5G</v>
      </c>
      <c r="I492" t="str">
        <f>_xlfn.XLOOKUP(Logs_Reseau6[[#This Row],[Cell_ID]],Registre[ID_Antenne],Registre[Equipementier],"Non Trouvée")</f>
        <v>Nokia</v>
      </c>
      <c r="J492" t="str">
        <f>_xlfn.XLOOKUP(Logs_Reseau6[[#This Row],[Id_Client]],Clients_Churn[ID_Client],Clients_Churn[Type_Forfait],"Pas d'information")</f>
        <v>Illimité 50Go</v>
      </c>
      <c r="K492" s="5" t="str">
        <f>IF(Logs_Reseau6[[#This Row],[Type_Forfait]]="Pro Monde","B2B","B2C")</f>
        <v>B2C</v>
      </c>
      <c r="L492" s="5">
        <f>_xlfn.XLOOKUP(Logs_Reseau6[[#This Row],[Id_Client]],Clients_Churn[ID_Client],Clients_Churn[Duree_Cumulee_Panne_Min],"Non Trouvée")</f>
        <v>172</v>
      </c>
      <c r="M492" s="5">
        <f>_xlfn.XLOOKUP(Logs_Reseau6[[#This Row],[Id_Client]],Clients_Churn[ID_Client],Clients_Churn[Anciennete_Mois],"Rien à signaler")</f>
        <v>105</v>
      </c>
      <c r="N492" s="11">
        <f>Logs_Reseau6[[#This Row],[Anciennette]]/24</f>
        <v>4.375</v>
      </c>
      <c r="O492" s="1">
        <f>Logs_Reseau6[[#This Row],[Duree_Cumulée_Panne]]/1440</f>
        <v>0.11944444444444445</v>
      </c>
      <c r="P49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493" spans="1:16" x14ac:dyDescent="0.25">
      <c r="A493" s="2">
        <v>45210</v>
      </c>
      <c r="B493" s="1">
        <v>0.87986111111111109</v>
      </c>
      <c r="C493" t="s">
        <v>835</v>
      </c>
      <c r="D493">
        <v>53</v>
      </c>
      <c r="E493" t="s">
        <v>1300</v>
      </c>
      <c r="F493" t="str">
        <f>_xlfn.XLOOKUP(Logs_Reseau6[[#This Row],[Cell_ID]],Registre[ID_Antenne],Registre[Province_RDC],"Non Trouvée")</f>
        <v>Lomami</v>
      </c>
      <c r="G493" t="str">
        <f>_xlfn.XLOOKUP(Logs_Reseau6[[#This Row],[Province]],Clients_Churn[Province_Client],Clients_Churn[ID_Client],"Aucun")</f>
        <v>CLI-00044</v>
      </c>
      <c r="H493" t="str">
        <f>_xlfn.XLOOKUP(Logs_Reseau6[[#This Row],[Cell_ID]],Registre[ID_Antenne],Registre[Technologie],"Rien à signaler")</f>
        <v>4G</v>
      </c>
      <c r="I493" t="str">
        <f>_xlfn.XLOOKUP(Logs_Reseau6[[#This Row],[Cell_ID]],Registre[ID_Antenne],Registre[Equipementier],"Non Trouvée")</f>
        <v>Ericsson</v>
      </c>
      <c r="J493" t="str">
        <f>_xlfn.XLOOKUP(Logs_Reseau6[[#This Row],[Id_Client]],Clients_Churn[ID_Client],Clients_Churn[Type_Forfait],"Pas d'information")</f>
        <v>Illimité 50Go</v>
      </c>
      <c r="K493" s="5" t="str">
        <f>IF(Logs_Reseau6[[#This Row],[Type_Forfait]]="Pro Monde","B2B","B2C")</f>
        <v>B2C</v>
      </c>
      <c r="L493" s="5">
        <f>_xlfn.XLOOKUP(Logs_Reseau6[[#This Row],[Id_Client]],Clients_Churn[ID_Client],Clients_Churn[Duree_Cumulee_Panne_Min],"Non Trouvée")</f>
        <v>345</v>
      </c>
      <c r="M493" s="5">
        <f>_xlfn.XLOOKUP(Logs_Reseau6[[#This Row],[Id_Client]],Clients_Churn[ID_Client],Clients_Churn[Anciennete_Mois],"Rien à signaler")</f>
        <v>53</v>
      </c>
      <c r="N493" s="11">
        <f>Logs_Reseau6[[#This Row],[Anciennette]]/24</f>
        <v>2.2083333333333335</v>
      </c>
      <c r="O493" s="1">
        <f>Logs_Reseau6[[#This Row],[Duree_Cumulée_Panne]]/1440</f>
        <v>0.23958333333333334</v>
      </c>
      <c r="P49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494" spans="1:16" hidden="1" x14ac:dyDescent="0.25">
      <c r="A494" s="2">
        <v>45218</v>
      </c>
      <c r="B494" s="1">
        <v>5.6944444444444443E-2</v>
      </c>
      <c r="C494" t="s">
        <v>1374</v>
      </c>
      <c r="D494">
        <v>46</v>
      </c>
      <c r="E494" t="s">
        <v>1305</v>
      </c>
      <c r="F494" t="str">
        <f>_xlfn.XLOOKUP(Logs_Reseau6[[#This Row],[Cell_ID]],Registre[ID_Antenne],Registre[Province_RDC],"Non Trouvée")</f>
        <v>Non Trouvée</v>
      </c>
      <c r="G494" t="str">
        <f>_xlfn.XLOOKUP(Logs_Reseau6[[#This Row],[Province]],Clients_Churn[Province_Client],Clients_Churn[ID_Client],"Aucun")</f>
        <v>Aucun</v>
      </c>
      <c r="H494" t="str">
        <f>_xlfn.XLOOKUP(Logs_Reseau6[[#This Row],[Cell_ID]],Registre[ID_Antenne],Registre[Technologie],"Rien à signaler")</f>
        <v>Rien à signaler</v>
      </c>
      <c r="I494" t="str">
        <f>_xlfn.XLOOKUP(Logs_Reseau6[[#This Row],[Cell_ID]],Registre[ID_Antenne],Registre[Equipementier],"Non Trouvée")</f>
        <v>Non Trouvée</v>
      </c>
      <c r="J494" t="str">
        <f>_xlfn.XLOOKUP(Logs_Reseau6[[#This Row],[Id_Client]],Clients_Churn[ID_Client],Clients_Churn[Type_Forfait],"Pas d'information")</f>
        <v>Pas d'information</v>
      </c>
      <c r="K494" s="5" t="str">
        <f>IF(Logs_Reseau6[[#This Row],[Type_Forfait]]="Pro Monde","B2B","B2C")</f>
        <v>B2C</v>
      </c>
      <c r="L494" s="5" t="str">
        <f>_xlfn.XLOOKUP(Logs_Reseau6[[#This Row],[Id_Client]],Clients_Churn[ID_Client],Clients_Churn[Duree_Cumulee_Panne_Min],"Non Trouvée")</f>
        <v>Non Trouvée</v>
      </c>
      <c r="M494" s="5" t="str">
        <f>_xlfn.XLOOKUP(Logs_Reseau6[[#This Row],[Id_Client]],Clients_Churn[ID_Client],Clients_Churn[Anciennete_Mois],"Rien à signaler")</f>
        <v>Rien à signaler</v>
      </c>
      <c r="N494" s="5" t="e">
        <f>Logs_Reseau6[[#This Row],[Anciennette]]/24</f>
        <v>#VALUE!</v>
      </c>
      <c r="O494" s="5" t="e">
        <f>Logs_Reseau6[[#This Row],[Duree_Cumulée_Panne]]/1440</f>
        <v>#VALUE!</v>
      </c>
      <c r="P49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95" spans="1:16" hidden="1" x14ac:dyDescent="0.25">
      <c r="A495" s="2">
        <v>45219</v>
      </c>
      <c r="B495" s="1">
        <v>4.1666666666666664E-2</v>
      </c>
      <c r="C495" t="s">
        <v>1374</v>
      </c>
      <c r="D495">
        <v>100</v>
      </c>
      <c r="E495" t="s">
        <v>1305</v>
      </c>
      <c r="F495" t="str">
        <f>_xlfn.XLOOKUP(Logs_Reseau6[[#This Row],[Cell_ID]],Registre[ID_Antenne],Registre[Province_RDC],"Non Trouvée")</f>
        <v>Non Trouvée</v>
      </c>
      <c r="G495" t="str">
        <f>_xlfn.XLOOKUP(Logs_Reseau6[[#This Row],[Province]],Clients_Churn[Province_Client],Clients_Churn[ID_Client],"Aucun")</f>
        <v>Aucun</v>
      </c>
      <c r="H495" t="str">
        <f>_xlfn.XLOOKUP(Logs_Reseau6[[#This Row],[Cell_ID]],Registre[ID_Antenne],Registre[Technologie],"Rien à signaler")</f>
        <v>Rien à signaler</v>
      </c>
      <c r="I495" t="str">
        <f>_xlfn.XLOOKUP(Logs_Reseau6[[#This Row],[Cell_ID]],Registre[ID_Antenne],Registre[Equipementier],"Non Trouvée")</f>
        <v>Non Trouvée</v>
      </c>
      <c r="J495" t="str">
        <f>_xlfn.XLOOKUP(Logs_Reseau6[[#This Row],[Id_Client]],Clients_Churn[ID_Client],Clients_Churn[Type_Forfait],"Pas d'information")</f>
        <v>Pas d'information</v>
      </c>
      <c r="K495" s="5" t="str">
        <f>IF(Logs_Reseau6[[#This Row],[Type_Forfait]]="Pro Monde","B2B","B2C")</f>
        <v>B2C</v>
      </c>
      <c r="L495" s="5" t="str">
        <f>_xlfn.XLOOKUP(Logs_Reseau6[[#This Row],[Id_Client]],Clients_Churn[ID_Client],Clients_Churn[Duree_Cumulee_Panne_Min],"Non Trouvée")</f>
        <v>Non Trouvée</v>
      </c>
      <c r="M495" s="5" t="str">
        <f>_xlfn.XLOOKUP(Logs_Reseau6[[#This Row],[Id_Client]],Clients_Churn[ID_Client],Clients_Churn[Anciennete_Mois],"Rien à signaler")</f>
        <v>Rien à signaler</v>
      </c>
      <c r="N495" s="5" t="e">
        <f>Logs_Reseau6[[#This Row],[Anciennette]]/24</f>
        <v>#VALUE!</v>
      </c>
      <c r="O495" s="5" t="e">
        <f>Logs_Reseau6[[#This Row],[Duree_Cumulée_Panne]]/1440</f>
        <v>#VALUE!</v>
      </c>
      <c r="P49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96" spans="1:16" hidden="1" x14ac:dyDescent="0.25">
      <c r="A496" s="2">
        <v>45216</v>
      </c>
      <c r="B496" s="1">
        <v>0.39305555555555555</v>
      </c>
      <c r="C496" t="s">
        <v>1605</v>
      </c>
      <c r="D496">
        <v>34</v>
      </c>
      <c r="E496" t="s">
        <v>1305</v>
      </c>
      <c r="F496" t="str">
        <f>_xlfn.XLOOKUP(Logs_Reseau6[[#This Row],[Cell_ID]],Registre[ID_Antenne],Registre[Province_RDC],"Non Trouvée")</f>
        <v>Non Trouvée</v>
      </c>
      <c r="G496" t="str">
        <f>_xlfn.XLOOKUP(Logs_Reseau6[[#This Row],[Province]],Clients_Churn[Province_Client],Clients_Churn[ID_Client],"Aucun")</f>
        <v>Aucun</v>
      </c>
      <c r="H496" t="str">
        <f>_xlfn.XLOOKUP(Logs_Reseau6[[#This Row],[Cell_ID]],Registre[ID_Antenne],Registre[Technologie],"Rien à signaler")</f>
        <v>Rien à signaler</v>
      </c>
      <c r="I496" t="str">
        <f>_xlfn.XLOOKUP(Logs_Reseau6[[#This Row],[Cell_ID]],Registre[ID_Antenne],Registre[Equipementier],"Non Trouvée")</f>
        <v>Non Trouvée</v>
      </c>
      <c r="J496" t="str">
        <f>_xlfn.XLOOKUP(Logs_Reseau6[[#This Row],[Id_Client]],Clients_Churn[ID_Client],Clients_Churn[Type_Forfait],"Pas d'information")</f>
        <v>Pas d'information</v>
      </c>
      <c r="K496" s="5" t="str">
        <f>IF(Logs_Reseau6[[#This Row],[Type_Forfait]]="Pro Monde","B2B","B2C")</f>
        <v>B2C</v>
      </c>
      <c r="L496" s="5" t="str">
        <f>_xlfn.XLOOKUP(Logs_Reseau6[[#This Row],[Id_Client]],Clients_Churn[ID_Client],Clients_Churn[Duree_Cumulee_Panne_Min],"Non Trouvée")</f>
        <v>Non Trouvée</v>
      </c>
      <c r="M496" s="5" t="str">
        <f>_xlfn.XLOOKUP(Logs_Reseau6[[#This Row],[Id_Client]],Clients_Churn[ID_Client],Clients_Churn[Anciennete_Mois],"Rien à signaler")</f>
        <v>Rien à signaler</v>
      </c>
      <c r="N496" s="5" t="e">
        <f>Logs_Reseau6[[#This Row],[Anciennette]]/24</f>
        <v>#VALUE!</v>
      </c>
      <c r="O496" s="5" t="e">
        <f>Logs_Reseau6[[#This Row],[Duree_Cumulée_Panne]]/1440</f>
        <v>#VALUE!</v>
      </c>
      <c r="P49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97" spans="1:16" hidden="1" x14ac:dyDescent="0.25">
      <c r="A497" s="2">
        <v>45200</v>
      </c>
      <c r="B497" s="1">
        <v>0.42777777777777776</v>
      </c>
      <c r="C497" t="s">
        <v>1356</v>
      </c>
      <c r="D497">
        <v>16</v>
      </c>
      <c r="E497" t="s">
        <v>1303</v>
      </c>
      <c r="F497" t="str">
        <f>_xlfn.XLOOKUP(Logs_Reseau6[[#This Row],[Cell_ID]],Registre[ID_Antenne],Registre[Province_RDC],"Non Trouvée")</f>
        <v>Non Trouvée</v>
      </c>
      <c r="G497" t="str">
        <f>_xlfn.XLOOKUP(Logs_Reseau6[[#This Row],[Province]],Clients_Churn[Province_Client],Clients_Churn[ID_Client],"Aucun")</f>
        <v>Aucun</v>
      </c>
      <c r="H497" t="str">
        <f>_xlfn.XLOOKUP(Logs_Reseau6[[#This Row],[Cell_ID]],Registre[ID_Antenne],Registre[Technologie],"Rien à signaler")</f>
        <v>Rien à signaler</v>
      </c>
      <c r="I497" t="str">
        <f>_xlfn.XLOOKUP(Logs_Reseau6[[#This Row],[Cell_ID]],Registre[ID_Antenne],Registre[Equipementier],"Non Trouvée")</f>
        <v>Non Trouvée</v>
      </c>
      <c r="J497" t="str">
        <f>_xlfn.XLOOKUP(Logs_Reseau6[[#This Row],[Id_Client]],Clients_Churn[ID_Client],Clients_Churn[Type_Forfait],"Pas d'information")</f>
        <v>Pas d'information</v>
      </c>
      <c r="K497" s="5" t="str">
        <f>IF(Logs_Reseau6[[#This Row],[Type_Forfait]]="Pro Monde","B2B","B2C")</f>
        <v>B2C</v>
      </c>
      <c r="L497" s="5" t="str">
        <f>_xlfn.XLOOKUP(Logs_Reseau6[[#This Row],[Id_Client]],Clients_Churn[ID_Client],Clients_Churn[Duree_Cumulee_Panne_Min],"Non Trouvée")</f>
        <v>Non Trouvée</v>
      </c>
      <c r="M497" s="5" t="str">
        <f>_xlfn.XLOOKUP(Logs_Reseau6[[#This Row],[Id_Client]],Clients_Churn[ID_Client],Clients_Churn[Anciennete_Mois],"Rien à signaler")</f>
        <v>Rien à signaler</v>
      </c>
      <c r="N497" s="5" t="e">
        <f>Logs_Reseau6[[#This Row],[Anciennette]]/24</f>
        <v>#VALUE!</v>
      </c>
      <c r="O497" s="5" t="e">
        <f>Logs_Reseau6[[#This Row],[Duree_Cumulée_Panne]]/1440</f>
        <v>#VALUE!</v>
      </c>
      <c r="P49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98" spans="1:16" hidden="1" x14ac:dyDescent="0.25">
      <c r="A498" s="2">
        <v>45213</v>
      </c>
      <c r="B498" s="1">
        <v>0.89166666666666672</v>
      </c>
      <c r="C498" t="s">
        <v>1356</v>
      </c>
      <c r="D498">
        <v>104</v>
      </c>
      <c r="E498" t="s">
        <v>1300</v>
      </c>
      <c r="F498" t="str">
        <f>_xlfn.XLOOKUP(Logs_Reseau6[[#This Row],[Cell_ID]],Registre[ID_Antenne],Registre[Province_RDC],"Non Trouvée")</f>
        <v>Non Trouvée</v>
      </c>
      <c r="G498" t="str">
        <f>_xlfn.XLOOKUP(Logs_Reseau6[[#This Row],[Province]],Clients_Churn[Province_Client],Clients_Churn[ID_Client],"Aucun")</f>
        <v>Aucun</v>
      </c>
      <c r="H498" t="str">
        <f>_xlfn.XLOOKUP(Logs_Reseau6[[#This Row],[Cell_ID]],Registre[ID_Antenne],Registre[Technologie],"Rien à signaler")</f>
        <v>Rien à signaler</v>
      </c>
      <c r="I498" t="str">
        <f>_xlfn.XLOOKUP(Logs_Reseau6[[#This Row],[Cell_ID]],Registre[ID_Antenne],Registre[Equipementier],"Non Trouvée")</f>
        <v>Non Trouvée</v>
      </c>
      <c r="J498" t="str">
        <f>_xlfn.XLOOKUP(Logs_Reseau6[[#This Row],[Id_Client]],Clients_Churn[ID_Client],Clients_Churn[Type_Forfait],"Pas d'information")</f>
        <v>Pas d'information</v>
      </c>
      <c r="K498" s="5" t="str">
        <f>IF(Logs_Reseau6[[#This Row],[Type_Forfait]]="Pro Monde","B2B","B2C")</f>
        <v>B2C</v>
      </c>
      <c r="L498" s="5" t="str">
        <f>_xlfn.XLOOKUP(Logs_Reseau6[[#This Row],[Id_Client]],Clients_Churn[ID_Client],Clients_Churn[Duree_Cumulee_Panne_Min],"Non Trouvée")</f>
        <v>Non Trouvée</v>
      </c>
      <c r="M498" s="5" t="str">
        <f>_xlfn.XLOOKUP(Logs_Reseau6[[#This Row],[Id_Client]],Clients_Churn[ID_Client],Clients_Churn[Anciennete_Mois],"Rien à signaler")</f>
        <v>Rien à signaler</v>
      </c>
      <c r="N498" s="5" t="e">
        <f>Logs_Reseau6[[#This Row],[Anciennette]]/24</f>
        <v>#VALUE!</v>
      </c>
      <c r="O498" s="5" t="e">
        <f>Logs_Reseau6[[#This Row],[Duree_Cumulée_Panne]]/1440</f>
        <v>#VALUE!</v>
      </c>
      <c r="P49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499" spans="1:16" x14ac:dyDescent="0.25">
      <c r="A499" s="2">
        <v>45202</v>
      </c>
      <c r="B499" s="1">
        <v>0.74791666666666667</v>
      </c>
      <c r="C499" t="s">
        <v>1038</v>
      </c>
      <c r="D499">
        <v>28</v>
      </c>
      <c r="E499" t="s">
        <v>1303</v>
      </c>
      <c r="F499" t="str">
        <f>_xlfn.XLOOKUP(Logs_Reseau6[[#This Row],[Cell_ID]],Registre[ID_Antenne],Registre[Province_RDC],"Non Trouvée")</f>
        <v>Kasai-Central</v>
      </c>
      <c r="G499" t="str">
        <f>_xlfn.XLOOKUP(Logs_Reseau6[[#This Row],[Province]],Clients_Churn[Province_Client],Clients_Churn[ID_Client],"Aucun")</f>
        <v>CLI-00060</v>
      </c>
      <c r="H499" t="str">
        <f>_xlfn.XLOOKUP(Logs_Reseau6[[#This Row],[Cell_ID]],Registre[ID_Antenne],Registre[Technologie],"Rien à signaler")</f>
        <v>4G</v>
      </c>
      <c r="I499" t="str">
        <f>_xlfn.XLOOKUP(Logs_Reseau6[[#This Row],[Cell_ID]],Registre[ID_Antenne],Registre[Equipementier],"Non Trouvée")</f>
        <v>ZTE</v>
      </c>
      <c r="J499" t="str">
        <f>_xlfn.XLOOKUP(Logs_Reseau6[[#This Row],[Id_Client]],Clients_Churn[ID_Client],Clients_Churn[Type_Forfait],"Pas d'information")</f>
        <v>Pro Monde</v>
      </c>
      <c r="K499" s="5" t="str">
        <f>IF(Logs_Reseau6[[#This Row],[Type_Forfait]]="Pro Monde","B2B","B2C")</f>
        <v>B2B</v>
      </c>
      <c r="L499" s="5">
        <f>_xlfn.XLOOKUP(Logs_Reseau6[[#This Row],[Id_Client]],Clients_Churn[ID_Client],Clients_Churn[Duree_Cumulee_Panne_Min],"Non Trouvée")</f>
        <v>160</v>
      </c>
      <c r="M499" s="5">
        <f>_xlfn.XLOOKUP(Logs_Reseau6[[#This Row],[Id_Client]],Clients_Churn[ID_Client],Clients_Churn[Anciennete_Mois],"Rien à signaler")</f>
        <v>72</v>
      </c>
      <c r="N499" s="11">
        <f>Logs_Reseau6[[#This Row],[Anciennette]]/24</f>
        <v>3</v>
      </c>
      <c r="O499" s="1">
        <f>Logs_Reseau6[[#This Row],[Duree_Cumulée_Panne]]/1440</f>
        <v>0.1111111111111111</v>
      </c>
      <c r="P49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00" spans="1:16" x14ac:dyDescent="0.25">
      <c r="A500" s="2">
        <v>45204</v>
      </c>
      <c r="B500" s="1">
        <v>0.57222222222222219</v>
      </c>
      <c r="C500" t="s">
        <v>1038</v>
      </c>
      <c r="D500">
        <v>88</v>
      </c>
      <c r="E500" t="s">
        <v>1305</v>
      </c>
      <c r="F500" t="str">
        <f>_xlfn.XLOOKUP(Logs_Reseau6[[#This Row],[Cell_ID]],Registre[ID_Antenne],Registre[Province_RDC],"Non Trouvée")</f>
        <v>Kasai-Central</v>
      </c>
      <c r="G500" t="str">
        <f>_xlfn.XLOOKUP(Logs_Reseau6[[#This Row],[Province]],Clients_Churn[Province_Client],Clients_Churn[ID_Client],"Aucun")</f>
        <v>CLI-00060</v>
      </c>
      <c r="H500" t="str">
        <f>_xlfn.XLOOKUP(Logs_Reseau6[[#This Row],[Cell_ID]],Registre[ID_Antenne],Registre[Technologie],"Rien à signaler")</f>
        <v>4G</v>
      </c>
      <c r="I500" t="str">
        <f>_xlfn.XLOOKUP(Logs_Reseau6[[#This Row],[Cell_ID]],Registre[ID_Antenne],Registre[Equipementier],"Non Trouvée")</f>
        <v>ZTE</v>
      </c>
      <c r="J500" t="str">
        <f>_xlfn.XLOOKUP(Logs_Reseau6[[#This Row],[Id_Client]],Clients_Churn[ID_Client],Clients_Churn[Type_Forfait],"Pas d'information")</f>
        <v>Pro Monde</v>
      </c>
      <c r="K500" s="5" t="str">
        <f>IF(Logs_Reseau6[[#This Row],[Type_Forfait]]="Pro Monde","B2B","B2C")</f>
        <v>B2B</v>
      </c>
      <c r="L500" s="5">
        <f>_xlfn.XLOOKUP(Logs_Reseau6[[#This Row],[Id_Client]],Clients_Churn[ID_Client],Clients_Churn[Duree_Cumulee_Panne_Min],"Non Trouvée")</f>
        <v>160</v>
      </c>
      <c r="M500" s="5">
        <f>_xlfn.XLOOKUP(Logs_Reseau6[[#This Row],[Id_Client]],Clients_Churn[ID_Client],Clients_Churn[Anciennete_Mois],"Rien à signaler")</f>
        <v>72</v>
      </c>
      <c r="N500" s="11">
        <f>Logs_Reseau6[[#This Row],[Anciennette]]/24</f>
        <v>3</v>
      </c>
      <c r="O500" s="1">
        <f>Logs_Reseau6[[#This Row],[Duree_Cumulée_Panne]]/1440</f>
        <v>0.1111111111111111</v>
      </c>
      <c r="P50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01" spans="1:16" x14ac:dyDescent="0.25">
      <c r="A501" s="2">
        <v>45206</v>
      </c>
      <c r="B501" s="1">
        <v>2.7083333333333334E-2</v>
      </c>
      <c r="C501" t="s">
        <v>1038</v>
      </c>
      <c r="D501">
        <v>36</v>
      </c>
      <c r="E501" t="s">
        <v>1305</v>
      </c>
      <c r="F501" t="str">
        <f>_xlfn.XLOOKUP(Logs_Reseau6[[#This Row],[Cell_ID]],Registre[ID_Antenne],Registre[Province_RDC],"Non Trouvée")</f>
        <v>Kasai-Central</v>
      </c>
      <c r="G501" t="str">
        <f>_xlfn.XLOOKUP(Logs_Reseau6[[#This Row],[Province]],Clients_Churn[Province_Client],Clients_Churn[ID_Client],"Aucun")</f>
        <v>CLI-00060</v>
      </c>
      <c r="H501" t="str">
        <f>_xlfn.XLOOKUP(Logs_Reseau6[[#This Row],[Cell_ID]],Registre[ID_Antenne],Registre[Technologie],"Rien à signaler")</f>
        <v>4G</v>
      </c>
      <c r="I501" t="str">
        <f>_xlfn.XLOOKUP(Logs_Reseau6[[#This Row],[Cell_ID]],Registre[ID_Antenne],Registre[Equipementier],"Non Trouvée")</f>
        <v>ZTE</v>
      </c>
      <c r="J501" t="str">
        <f>_xlfn.XLOOKUP(Logs_Reseau6[[#This Row],[Id_Client]],Clients_Churn[ID_Client],Clients_Churn[Type_Forfait],"Pas d'information")</f>
        <v>Pro Monde</v>
      </c>
      <c r="K501" s="5" t="str">
        <f>IF(Logs_Reseau6[[#This Row],[Type_Forfait]]="Pro Monde","B2B","B2C")</f>
        <v>B2B</v>
      </c>
      <c r="L501" s="5">
        <f>_xlfn.XLOOKUP(Logs_Reseau6[[#This Row],[Id_Client]],Clients_Churn[ID_Client],Clients_Churn[Duree_Cumulee_Panne_Min],"Non Trouvée")</f>
        <v>160</v>
      </c>
      <c r="M501" s="5">
        <f>_xlfn.XLOOKUP(Logs_Reseau6[[#This Row],[Id_Client]],Clients_Churn[ID_Client],Clients_Churn[Anciennete_Mois],"Rien à signaler")</f>
        <v>72</v>
      </c>
      <c r="N501" s="11">
        <f>Logs_Reseau6[[#This Row],[Anciennette]]/24</f>
        <v>3</v>
      </c>
      <c r="O501" s="1">
        <f>Logs_Reseau6[[#This Row],[Duree_Cumulée_Panne]]/1440</f>
        <v>0.1111111111111111</v>
      </c>
      <c r="P50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02" spans="1:16" x14ac:dyDescent="0.25">
      <c r="A502" s="2">
        <v>45206</v>
      </c>
      <c r="B502" s="1">
        <v>0.56388888888888888</v>
      </c>
      <c r="C502" t="s">
        <v>1073</v>
      </c>
      <c r="D502">
        <v>37</v>
      </c>
      <c r="E502" t="s">
        <v>1300</v>
      </c>
      <c r="F502" t="str">
        <f>_xlfn.XLOOKUP(Logs_Reseau6[[#This Row],[Cell_ID]],Registre[ID_Antenne],Registre[Province_RDC],"Non Trouvée")</f>
        <v>Haut-Uele</v>
      </c>
      <c r="G502" t="str">
        <f>_xlfn.XLOOKUP(Logs_Reseau6[[#This Row],[Province]],Clients_Churn[Province_Client],Clients_Churn[ID_Client],"Aucun")</f>
        <v>CLI-00055</v>
      </c>
      <c r="H502" t="str">
        <f>_xlfn.XLOOKUP(Logs_Reseau6[[#This Row],[Cell_ID]],Registre[ID_Antenne],Registre[Technologie],"Rien à signaler")</f>
        <v>4G</v>
      </c>
      <c r="I502" t="str">
        <f>_xlfn.XLOOKUP(Logs_Reseau6[[#This Row],[Cell_ID]],Registre[ID_Antenne],Registre[Equipementier],"Non Trouvée")</f>
        <v>Nokia</v>
      </c>
      <c r="J502" t="str">
        <f>_xlfn.XLOOKUP(Logs_Reseau6[[#This Row],[Id_Client]],Clients_Churn[ID_Client],Clients_Churn[Type_Forfait],"Pas d'information")</f>
        <v>Pro Monde</v>
      </c>
      <c r="K502" s="5" t="str">
        <f>IF(Logs_Reseau6[[#This Row],[Type_Forfait]]="Pro Monde","B2B","B2C")</f>
        <v>B2B</v>
      </c>
      <c r="L502" s="5">
        <f>_xlfn.XLOOKUP(Logs_Reseau6[[#This Row],[Id_Client]],Clients_Churn[ID_Client],Clients_Churn[Duree_Cumulee_Panne_Min],"Non Trouvée")</f>
        <v>206</v>
      </c>
      <c r="M502" s="5">
        <f>_xlfn.XLOOKUP(Logs_Reseau6[[#This Row],[Id_Client]],Clients_Churn[ID_Client],Clients_Churn[Anciennete_Mois],"Rien à signaler")</f>
        <v>6</v>
      </c>
      <c r="N502" s="11">
        <f>Logs_Reseau6[[#This Row],[Anciennette]]/24</f>
        <v>0.25</v>
      </c>
      <c r="O502" s="1">
        <f>Logs_Reseau6[[#This Row],[Duree_Cumulée_Panne]]/1440</f>
        <v>0.14305555555555555</v>
      </c>
      <c r="P50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03" spans="1:16" hidden="1" x14ac:dyDescent="0.25">
      <c r="A503" s="2">
        <v>45210</v>
      </c>
      <c r="B503" s="1">
        <v>0.51180555555555551</v>
      </c>
      <c r="C503" t="s">
        <v>1577</v>
      </c>
      <c r="D503">
        <v>27</v>
      </c>
      <c r="E503" t="s">
        <v>1303</v>
      </c>
      <c r="F503" t="str">
        <f>_xlfn.XLOOKUP(Logs_Reseau6[[#This Row],[Cell_ID]],Registre[ID_Antenne],Registre[Province_RDC],"Non Trouvée")</f>
        <v>Non Trouvée</v>
      </c>
      <c r="G503" t="str">
        <f>_xlfn.XLOOKUP(Logs_Reseau6[[#This Row],[Province]],Clients_Churn[Province_Client],Clients_Churn[ID_Client],"Aucun")</f>
        <v>Aucun</v>
      </c>
      <c r="H503" t="str">
        <f>_xlfn.XLOOKUP(Logs_Reseau6[[#This Row],[Cell_ID]],Registre[ID_Antenne],Registre[Technologie],"Rien à signaler")</f>
        <v>Rien à signaler</v>
      </c>
      <c r="I503" t="str">
        <f>_xlfn.XLOOKUP(Logs_Reseau6[[#This Row],[Cell_ID]],Registre[ID_Antenne],Registre[Equipementier],"Non Trouvée")</f>
        <v>Non Trouvée</v>
      </c>
      <c r="J503" t="str">
        <f>_xlfn.XLOOKUP(Logs_Reseau6[[#This Row],[Id_Client]],Clients_Churn[ID_Client],Clients_Churn[Type_Forfait],"Pas d'information")</f>
        <v>Pas d'information</v>
      </c>
      <c r="K503" s="5" t="str">
        <f>IF(Logs_Reseau6[[#This Row],[Type_Forfait]]="Pro Monde","B2B","B2C")</f>
        <v>B2C</v>
      </c>
      <c r="L503" s="5" t="str">
        <f>_xlfn.XLOOKUP(Logs_Reseau6[[#This Row],[Id_Client]],Clients_Churn[ID_Client],Clients_Churn[Duree_Cumulee_Panne_Min],"Non Trouvée")</f>
        <v>Non Trouvée</v>
      </c>
      <c r="M503" s="5" t="str">
        <f>_xlfn.XLOOKUP(Logs_Reseau6[[#This Row],[Id_Client]],Clients_Churn[ID_Client],Clients_Churn[Anciennete_Mois],"Rien à signaler")</f>
        <v>Rien à signaler</v>
      </c>
      <c r="N503" s="5" t="e">
        <f>Logs_Reseau6[[#This Row],[Anciennette]]/24</f>
        <v>#VALUE!</v>
      </c>
      <c r="O503" s="5" t="e">
        <f>Logs_Reseau6[[#This Row],[Duree_Cumulée_Panne]]/1440</f>
        <v>#VALUE!</v>
      </c>
      <c r="P50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04" spans="1:16" hidden="1" x14ac:dyDescent="0.25">
      <c r="A504" s="2">
        <v>45209</v>
      </c>
      <c r="B504" s="1">
        <v>0.72499999999999998</v>
      </c>
      <c r="C504" t="s">
        <v>1450</v>
      </c>
      <c r="D504">
        <v>97</v>
      </c>
      <c r="E504" t="s">
        <v>1305</v>
      </c>
      <c r="F504" t="str">
        <f>_xlfn.XLOOKUP(Logs_Reseau6[[#This Row],[Cell_ID]],Registre[ID_Antenne],Registre[Province_RDC],"Non Trouvée")</f>
        <v>Non Trouvée</v>
      </c>
      <c r="G504" t="str">
        <f>_xlfn.XLOOKUP(Logs_Reseau6[[#This Row],[Province]],Clients_Churn[Province_Client],Clients_Churn[ID_Client],"Aucun")</f>
        <v>Aucun</v>
      </c>
      <c r="H504" t="str">
        <f>_xlfn.XLOOKUP(Logs_Reseau6[[#This Row],[Cell_ID]],Registre[ID_Antenne],Registre[Technologie],"Rien à signaler")</f>
        <v>Rien à signaler</v>
      </c>
      <c r="I504" t="str">
        <f>_xlfn.XLOOKUP(Logs_Reseau6[[#This Row],[Cell_ID]],Registre[ID_Antenne],Registre[Equipementier],"Non Trouvée")</f>
        <v>Non Trouvée</v>
      </c>
      <c r="J504" t="str">
        <f>_xlfn.XLOOKUP(Logs_Reseau6[[#This Row],[Id_Client]],Clients_Churn[ID_Client],Clients_Churn[Type_Forfait],"Pas d'information")</f>
        <v>Pas d'information</v>
      </c>
      <c r="K504" s="5" t="str">
        <f>IF(Logs_Reseau6[[#This Row],[Type_Forfait]]="Pro Monde","B2B","B2C")</f>
        <v>B2C</v>
      </c>
      <c r="L504" s="5" t="str">
        <f>_xlfn.XLOOKUP(Logs_Reseau6[[#This Row],[Id_Client]],Clients_Churn[ID_Client],Clients_Churn[Duree_Cumulee_Panne_Min],"Non Trouvée")</f>
        <v>Non Trouvée</v>
      </c>
      <c r="M504" s="5" t="str">
        <f>_xlfn.XLOOKUP(Logs_Reseau6[[#This Row],[Id_Client]],Clients_Churn[ID_Client],Clients_Churn[Anciennete_Mois],"Rien à signaler")</f>
        <v>Rien à signaler</v>
      </c>
      <c r="N504" s="5" t="e">
        <f>Logs_Reseau6[[#This Row],[Anciennette]]/24</f>
        <v>#VALUE!</v>
      </c>
      <c r="O504" s="5" t="e">
        <f>Logs_Reseau6[[#This Row],[Duree_Cumulée_Panne]]/1440</f>
        <v>#VALUE!</v>
      </c>
      <c r="P50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05" spans="1:16" x14ac:dyDescent="0.25">
      <c r="A505" s="2">
        <v>45215</v>
      </c>
      <c r="B505" s="1">
        <v>0.70486111111111116</v>
      </c>
      <c r="C505" t="s">
        <v>933</v>
      </c>
      <c r="D505">
        <v>107</v>
      </c>
      <c r="E505" t="s">
        <v>1300</v>
      </c>
      <c r="F505" t="str">
        <f>_xlfn.XLOOKUP(Logs_Reseau6[[#This Row],[Cell_ID]],Registre[ID_Antenne],Registre[Province_RDC],"Non Trouvée")</f>
        <v>Kongo-Central</v>
      </c>
      <c r="G505" t="str">
        <f>_xlfn.XLOOKUP(Logs_Reseau6[[#This Row],[Province]],Clients_Churn[Province_Client],Clients_Churn[ID_Client],"Aucun")</f>
        <v>CLI-00012</v>
      </c>
      <c r="H505" t="str">
        <f>_xlfn.XLOOKUP(Logs_Reseau6[[#This Row],[Cell_ID]],Registre[ID_Antenne],Registre[Technologie],"Rien à signaler")</f>
        <v>5G</v>
      </c>
      <c r="I505" t="str">
        <f>_xlfn.XLOOKUP(Logs_Reseau6[[#This Row],[Cell_ID]],Registre[ID_Antenne],Registre[Equipementier],"Non Trouvée")</f>
        <v>ZTE</v>
      </c>
      <c r="J505" t="str">
        <f>_xlfn.XLOOKUP(Logs_Reseau6[[#This Row],[Id_Client]],Clients_Churn[ID_Client],Clients_Churn[Type_Forfait],"Pas d'information")</f>
        <v>Illimité 50Go</v>
      </c>
      <c r="K505" s="5" t="str">
        <f>IF(Logs_Reseau6[[#This Row],[Type_Forfait]]="Pro Monde","B2B","B2C")</f>
        <v>B2C</v>
      </c>
      <c r="L505" s="5">
        <f>_xlfn.XLOOKUP(Logs_Reseau6[[#This Row],[Id_Client]],Clients_Churn[ID_Client],Clients_Churn[Duree_Cumulee_Panne_Min],"Non Trouvée")</f>
        <v>172</v>
      </c>
      <c r="M505" s="5">
        <f>_xlfn.XLOOKUP(Logs_Reseau6[[#This Row],[Id_Client]],Clients_Churn[ID_Client],Clients_Churn[Anciennete_Mois],"Rien à signaler")</f>
        <v>105</v>
      </c>
      <c r="N505" s="11">
        <f>Logs_Reseau6[[#This Row],[Anciennette]]/24</f>
        <v>4.375</v>
      </c>
      <c r="O505" s="1">
        <f>Logs_Reseau6[[#This Row],[Duree_Cumulée_Panne]]/1440</f>
        <v>0.11944444444444445</v>
      </c>
      <c r="P50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06" spans="1:16" x14ac:dyDescent="0.25">
      <c r="A506" s="2">
        <v>45230</v>
      </c>
      <c r="B506" s="1">
        <v>0.48402777777777778</v>
      </c>
      <c r="C506" t="s">
        <v>933</v>
      </c>
      <c r="D506">
        <v>37</v>
      </c>
      <c r="E506" t="s">
        <v>1303</v>
      </c>
      <c r="F506" t="str">
        <f>_xlfn.XLOOKUP(Logs_Reseau6[[#This Row],[Cell_ID]],Registre[ID_Antenne],Registre[Province_RDC],"Non Trouvée")</f>
        <v>Kongo-Central</v>
      </c>
      <c r="G506" t="str">
        <f>_xlfn.XLOOKUP(Logs_Reseau6[[#This Row],[Province]],Clients_Churn[Province_Client],Clients_Churn[ID_Client],"Aucun")</f>
        <v>CLI-00012</v>
      </c>
      <c r="H506" t="str">
        <f>_xlfn.XLOOKUP(Logs_Reseau6[[#This Row],[Cell_ID]],Registre[ID_Antenne],Registre[Technologie],"Rien à signaler")</f>
        <v>5G</v>
      </c>
      <c r="I506" t="str">
        <f>_xlfn.XLOOKUP(Logs_Reseau6[[#This Row],[Cell_ID]],Registre[ID_Antenne],Registre[Equipementier],"Non Trouvée")</f>
        <v>ZTE</v>
      </c>
      <c r="J506" t="str">
        <f>_xlfn.XLOOKUP(Logs_Reseau6[[#This Row],[Id_Client]],Clients_Churn[ID_Client],Clients_Churn[Type_Forfait],"Pas d'information")</f>
        <v>Illimité 50Go</v>
      </c>
      <c r="K506" s="5" t="str">
        <f>IF(Logs_Reseau6[[#This Row],[Type_Forfait]]="Pro Monde","B2B","B2C")</f>
        <v>B2C</v>
      </c>
      <c r="L506" s="5">
        <f>_xlfn.XLOOKUP(Logs_Reseau6[[#This Row],[Id_Client]],Clients_Churn[ID_Client],Clients_Churn[Duree_Cumulee_Panne_Min],"Non Trouvée")</f>
        <v>172</v>
      </c>
      <c r="M506" s="5">
        <f>_xlfn.XLOOKUP(Logs_Reseau6[[#This Row],[Id_Client]],Clients_Churn[ID_Client],Clients_Churn[Anciennete_Mois],"Rien à signaler")</f>
        <v>105</v>
      </c>
      <c r="N506" s="11">
        <f>Logs_Reseau6[[#This Row],[Anciennette]]/24</f>
        <v>4.375</v>
      </c>
      <c r="O506" s="1">
        <f>Logs_Reseau6[[#This Row],[Duree_Cumulée_Panne]]/1440</f>
        <v>0.11944444444444445</v>
      </c>
      <c r="P50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07" spans="1:16" hidden="1" x14ac:dyDescent="0.25">
      <c r="A507" s="2">
        <v>45209</v>
      </c>
      <c r="B507" s="1">
        <v>0.58819444444444446</v>
      </c>
      <c r="C507" t="s">
        <v>1362</v>
      </c>
      <c r="D507">
        <v>41</v>
      </c>
      <c r="E507" t="s">
        <v>1303</v>
      </c>
      <c r="F507" t="str">
        <f>_xlfn.XLOOKUP(Logs_Reseau6[[#This Row],[Cell_ID]],Registre[ID_Antenne],Registre[Province_RDC],"Non Trouvée")</f>
        <v>Non Trouvée</v>
      </c>
      <c r="G507" t="str">
        <f>_xlfn.XLOOKUP(Logs_Reseau6[[#This Row],[Province]],Clients_Churn[Province_Client],Clients_Churn[ID_Client],"Aucun")</f>
        <v>Aucun</v>
      </c>
      <c r="H507" t="str">
        <f>_xlfn.XLOOKUP(Logs_Reseau6[[#This Row],[Cell_ID]],Registre[ID_Antenne],Registre[Technologie],"Rien à signaler")</f>
        <v>Rien à signaler</v>
      </c>
      <c r="I507" t="str">
        <f>_xlfn.XLOOKUP(Logs_Reseau6[[#This Row],[Cell_ID]],Registre[ID_Antenne],Registre[Equipementier],"Non Trouvée")</f>
        <v>Non Trouvée</v>
      </c>
      <c r="J507" t="str">
        <f>_xlfn.XLOOKUP(Logs_Reseau6[[#This Row],[Id_Client]],Clients_Churn[ID_Client],Clients_Churn[Type_Forfait],"Pas d'information")</f>
        <v>Pas d'information</v>
      </c>
      <c r="K507" s="5" t="str">
        <f>IF(Logs_Reseau6[[#This Row],[Type_Forfait]]="Pro Monde","B2B","B2C")</f>
        <v>B2C</v>
      </c>
      <c r="L507" s="5" t="str">
        <f>_xlfn.XLOOKUP(Logs_Reseau6[[#This Row],[Id_Client]],Clients_Churn[ID_Client],Clients_Churn[Duree_Cumulee_Panne_Min],"Non Trouvée")</f>
        <v>Non Trouvée</v>
      </c>
      <c r="M507" s="5" t="str">
        <f>_xlfn.XLOOKUP(Logs_Reseau6[[#This Row],[Id_Client]],Clients_Churn[ID_Client],Clients_Churn[Anciennete_Mois],"Rien à signaler")</f>
        <v>Rien à signaler</v>
      </c>
      <c r="N507" s="5" t="e">
        <f>Logs_Reseau6[[#This Row],[Anciennette]]/24</f>
        <v>#VALUE!</v>
      </c>
      <c r="O507" s="5" t="e">
        <f>Logs_Reseau6[[#This Row],[Duree_Cumulée_Panne]]/1440</f>
        <v>#VALUE!</v>
      </c>
      <c r="P50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08" spans="1:16" hidden="1" x14ac:dyDescent="0.25">
      <c r="A508" s="2">
        <v>45221</v>
      </c>
      <c r="B508" s="1">
        <v>9.583333333333334E-2</v>
      </c>
      <c r="C508" t="s">
        <v>1362</v>
      </c>
      <c r="D508">
        <v>113</v>
      </c>
      <c r="E508" t="s">
        <v>1305</v>
      </c>
      <c r="F508" t="str">
        <f>_xlfn.XLOOKUP(Logs_Reseau6[[#This Row],[Cell_ID]],Registre[ID_Antenne],Registre[Province_RDC],"Non Trouvée")</f>
        <v>Non Trouvée</v>
      </c>
      <c r="G508" t="str">
        <f>_xlfn.XLOOKUP(Logs_Reseau6[[#This Row],[Province]],Clients_Churn[Province_Client],Clients_Churn[ID_Client],"Aucun")</f>
        <v>Aucun</v>
      </c>
      <c r="H508" t="str">
        <f>_xlfn.XLOOKUP(Logs_Reseau6[[#This Row],[Cell_ID]],Registre[ID_Antenne],Registre[Technologie],"Rien à signaler")</f>
        <v>Rien à signaler</v>
      </c>
      <c r="I508" t="str">
        <f>_xlfn.XLOOKUP(Logs_Reseau6[[#This Row],[Cell_ID]],Registre[ID_Antenne],Registre[Equipementier],"Non Trouvée")</f>
        <v>Non Trouvée</v>
      </c>
      <c r="J508" t="str">
        <f>_xlfn.XLOOKUP(Logs_Reseau6[[#This Row],[Id_Client]],Clients_Churn[ID_Client],Clients_Churn[Type_Forfait],"Pas d'information")</f>
        <v>Pas d'information</v>
      </c>
      <c r="K508" s="5" t="str">
        <f>IF(Logs_Reseau6[[#This Row],[Type_Forfait]]="Pro Monde","B2B","B2C")</f>
        <v>B2C</v>
      </c>
      <c r="L508" s="5" t="str">
        <f>_xlfn.XLOOKUP(Logs_Reseau6[[#This Row],[Id_Client]],Clients_Churn[ID_Client],Clients_Churn[Duree_Cumulee_Panne_Min],"Non Trouvée")</f>
        <v>Non Trouvée</v>
      </c>
      <c r="M508" s="5" t="str">
        <f>_xlfn.XLOOKUP(Logs_Reseau6[[#This Row],[Id_Client]],Clients_Churn[ID_Client],Clients_Churn[Anciennete_Mois],"Rien à signaler")</f>
        <v>Rien à signaler</v>
      </c>
      <c r="N508" s="5" t="e">
        <f>Logs_Reseau6[[#This Row],[Anciennette]]/24</f>
        <v>#VALUE!</v>
      </c>
      <c r="O508" s="5" t="e">
        <f>Logs_Reseau6[[#This Row],[Duree_Cumulée_Panne]]/1440</f>
        <v>#VALUE!</v>
      </c>
      <c r="P50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09" spans="1:16" x14ac:dyDescent="0.25">
      <c r="A509" s="2">
        <v>45216</v>
      </c>
      <c r="B509" s="1">
        <v>0.13750000000000001</v>
      </c>
      <c r="C509" t="s">
        <v>931</v>
      </c>
      <c r="D509">
        <v>120</v>
      </c>
      <c r="E509" t="s">
        <v>1303</v>
      </c>
      <c r="F509" t="str">
        <f>_xlfn.XLOOKUP(Logs_Reseau6[[#This Row],[Cell_ID]],Registre[ID_Antenne],Registre[Province_RDC],"Non Trouvée")</f>
        <v>Mongala</v>
      </c>
      <c r="G509" t="str">
        <f>_xlfn.XLOOKUP(Logs_Reseau6[[#This Row],[Province]],Clients_Churn[Province_Client],Clients_Churn[ID_Client],"Aucun")</f>
        <v>CLI-00011</v>
      </c>
      <c r="H509" t="str">
        <f>_xlfn.XLOOKUP(Logs_Reseau6[[#This Row],[Cell_ID]],Registre[ID_Antenne],Registre[Technologie],"Rien à signaler")</f>
        <v>5G</v>
      </c>
      <c r="I509" t="str">
        <f>_xlfn.XLOOKUP(Logs_Reseau6[[#This Row],[Cell_ID]],Registre[ID_Antenne],Registre[Equipementier],"Non Trouvée")</f>
        <v>Ericsson</v>
      </c>
      <c r="J509" t="str">
        <f>_xlfn.XLOOKUP(Logs_Reseau6[[#This Row],[Id_Client]],Clients_Churn[ID_Client],Clients_Churn[Type_Forfait],"Pas d'information")</f>
        <v>Illimité 50Go</v>
      </c>
      <c r="K509" s="5" t="str">
        <f>IF(Logs_Reseau6[[#This Row],[Type_Forfait]]="Pro Monde","B2B","B2C")</f>
        <v>B2C</v>
      </c>
      <c r="L509" s="5">
        <f>_xlfn.XLOOKUP(Logs_Reseau6[[#This Row],[Id_Client]],Clients_Churn[ID_Client],Clients_Churn[Duree_Cumulee_Panne_Min],"Non Trouvée")</f>
        <v>86</v>
      </c>
      <c r="M509" s="5">
        <f>_xlfn.XLOOKUP(Logs_Reseau6[[#This Row],[Id_Client]],Clients_Churn[ID_Client],Clients_Churn[Anciennete_Mois],"Rien à signaler")</f>
        <v>49</v>
      </c>
      <c r="N509" s="11">
        <f>Logs_Reseau6[[#This Row],[Anciennette]]/24</f>
        <v>2.0416666666666665</v>
      </c>
      <c r="O509" s="1">
        <f>Logs_Reseau6[[#This Row],[Duree_Cumulée_Panne]]/1440</f>
        <v>5.9722222222222225E-2</v>
      </c>
      <c r="P50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10" spans="1:16" hidden="1" x14ac:dyDescent="0.25">
      <c r="A510" s="2">
        <v>45200</v>
      </c>
      <c r="B510" s="1">
        <v>0.9819444444444444</v>
      </c>
      <c r="C510" t="s">
        <v>1319</v>
      </c>
      <c r="D510">
        <v>98</v>
      </c>
      <c r="E510" t="s">
        <v>1300</v>
      </c>
      <c r="F510" t="str">
        <f>_xlfn.XLOOKUP(Logs_Reseau6[[#This Row],[Cell_ID]],Registre[ID_Antenne],Registre[Province_RDC],"Non Trouvée")</f>
        <v>Non Trouvée</v>
      </c>
      <c r="G510" t="str">
        <f>_xlfn.XLOOKUP(Logs_Reseau6[[#This Row],[Province]],Clients_Churn[Province_Client],Clients_Churn[ID_Client],"Aucun")</f>
        <v>Aucun</v>
      </c>
      <c r="H510" t="str">
        <f>_xlfn.XLOOKUP(Logs_Reseau6[[#This Row],[Cell_ID]],Registre[ID_Antenne],Registre[Technologie],"Rien à signaler")</f>
        <v>Rien à signaler</v>
      </c>
      <c r="I510" t="str">
        <f>_xlfn.XLOOKUP(Logs_Reseau6[[#This Row],[Cell_ID]],Registre[ID_Antenne],Registre[Equipementier],"Non Trouvée")</f>
        <v>Non Trouvée</v>
      </c>
      <c r="J510" t="str">
        <f>_xlfn.XLOOKUP(Logs_Reseau6[[#This Row],[Id_Client]],Clients_Churn[ID_Client],Clients_Churn[Type_Forfait],"Pas d'information")</f>
        <v>Pas d'information</v>
      </c>
      <c r="K510" s="5" t="str">
        <f>IF(Logs_Reseau6[[#This Row],[Type_Forfait]]="Pro Monde","B2B","B2C")</f>
        <v>B2C</v>
      </c>
      <c r="L510" s="5" t="str">
        <f>_xlfn.XLOOKUP(Logs_Reseau6[[#This Row],[Id_Client]],Clients_Churn[ID_Client],Clients_Churn[Duree_Cumulee_Panne_Min],"Non Trouvée")</f>
        <v>Non Trouvée</v>
      </c>
      <c r="M510" s="5" t="str">
        <f>_xlfn.XLOOKUP(Logs_Reseau6[[#This Row],[Id_Client]],Clients_Churn[ID_Client],Clients_Churn[Anciennete_Mois],"Rien à signaler")</f>
        <v>Rien à signaler</v>
      </c>
      <c r="N510" s="5" t="e">
        <f>Logs_Reseau6[[#This Row],[Anciennette]]/24</f>
        <v>#VALUE!</v>
      </c>
      <c r="O510" s="5" t="e">
        <f>Logs_Reseau6[[#This Row],[Duree_Cumulée_Panne]]/1440</f>
        <v>#VALUE!</v>
      </c>
      <c r="P51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11" spans="1:16" hidden="1" x14ac:dyDescent="0.25">
      <c r="A511" s="2">
        <v>45211</v>
      </c>
      <c r="B511" s="1">
        <v>0.55972222222222223</v>
      </c>
      <c r="C511" t="s">
        <v>1319</v>
      </c>
      <c r="D511">
        <v>69</v>
      </c>
      <c r="E511" t="s">
        <v>1303</v>
      </c>
      <c r="F511" t="str">
        <f>_xlfn.XLOOKUP(Logs_Reseau6[[#This Row],[Cell_ID]],Registre[ID_Antenne],Registre[Province_RDC],"Non Trouvée")</f>
        <v>Non Trouvée</v>
      </c>
      <c r="G511" t="str">
        <f>_xlfn.XLOOKUP(Logs_Reseau6[[#This Row],[Province]],Clients_Churn[Province_Client],Clients_Churn[ID_Client],"Aucun")</f>
        <v>Aucun</v>
      </c>
      <c r="H511" t="str">
        <f>_xlfn.XLOOKUP(Logs_Reseau6[[#This Row],[Cell_ID]],Registre[ID_Antenne],Registre[Technologie],"Rien à signaler")</f>
        <v>Rien à signaler</v>
      </c>
      <c r="I511" t="str">
        <f>_xlfn.XLOOKUP(Logs_Reseau6[[#This Row],[Cell_ID]],Registre[ID_Antenne],Registre[Equipementier],"Non Trouvée")</f>
        <v>Non Trouvée</v>
      </c>
      <c r="J511" t="str">
        <f>_xlfn.XLOOKUP(Logs_Reseau6[[#This Row],[Id_Client]],Clients_Churn[ID_Client],Clients_Churn[Type_Forfait],"Pas d'information")</f>
        <v>Pas d'information</v>
      </c>
      <c r="K511" s="5" t="str">
        <f>IF(Logs_Reseau6[[#This Row],[Type_Forfait]]="Pro Monde","B2B","B2C")</f>
        <v>B2C</v>
      </c>
      <c r="L511" s="5" t="str">
        <f>_xlfn.XLOOKUP(Logs_Reseau6[[#This Row],[Id_Client]],Clients_Churn[ID_Client],Clients_Churn[Duree_Cumulee_Panne_Min],"Non Trouvée")</f>
        <v>Non Trouvée</v>
      </c>
      <c r="M511" s="5" t="str">
        <f>_xlfn.XLOOKUP(Logs_Reseau6[[#This Row],[Id_Client]],Clients_Churn[ID_Client],Clients_Churn[Anciennete_Mois],"Rien à signaler")</f>
        <v>Rien à signaler</v>
      </c>
      <c r="N511" s="5" t="e">
        <f>Logs_Reseau6[[#This Row],[Anciennette]]/24</f>
        <v>#VALUE!</v>
      </c>
      <c r="O511" s="5" t="e">
        <f>Logs_Reseau6[[#This Row],[Duree_Cumulée_Panne]]/1440</f>
        <v>#VALUE!</v>
      </c>
      <c r="P51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12" spans="1:16" hidden="1" x14ac:dyDescent="0.25">
      <c r="A512" s="2">
        <v>45219</v>
      </c>
      <c r="B512" s="1">
        <v>0.84027777777777779</v>
      </c>
      <c r="C512" t="s">
        <v>1319</v>
      </c>
      <c r="D512">
        <v>92</v>
      </c>
      <c r="E512" t="s">
        <v>1300</v>
      </c>
      <c r="F512" t="str">
        <f>_xlfn.XLOOKUP(Logs_Reseau6[[#This Row],[Cell_ID]],Registre[ID_Antenne],Registre[Province_RDC],"Non Trouvée")</f>
        <v>Non Trouvée</v>
      </c>
      <c r="G512" t="str">
        <f>_xlfn.XLOOKUP(Logs_Reseau6[[#This Row],[Province]],Clients_Churn[Province_Client],Clients_Churn[ID_Client],"Aucun")</f>
        <v>Aucun</v>
      </c>
      <c r="H512" t="str">
        <f>_xlfn.XLOOKUP(Logs_Reseau6[[#This Row],[Cell_ID]],Registre[ID_Antenne],Registre[Technologie],"Rien à signaler")</f>
        <v>Rien à signaler</v>
      </c>
      <c r="I512" t="str">
        <f>_xlfn.XLOOKUP(Logs_Reseau6[[#This Row],[Cell_ID]],Registre[ID_Antenne],Registre[Equipementier],"Non Trouvée")</f>
        <v>Non Trouvée</v>
      </c>
      <c r="J512" t="str">
        <f>_xlfn.XLOOKUP(Logs_Reseau6[[#This Row],[Id_Client]],Clients_Churn[ID_Client],Clients_Churn[Type_Forfait],"Pas d'information")</f>
        <v>Pas d'information</v>
      </c>
      <c r="K512" s="5" t="str">
        <f>IF(Logs_Reseau6[[#This Row],[Type_Forfait]]="Pro Monde","B2B","B2C")</f>
        <v>B2C</v>
      </c>
      <c r="L512" s="5" t="str">
        <f>_xlfn.XLOOKUP(Logs_Reseau6[[#This Row],[Id_Client]],Clients_Churn[ID_Client],Clients_Churn[Duree_Cumulee_Panne_Min],"Non Trouvée")</f>
        <v>Non Trouvée</v>
      </c>
      <c r="M512" s="5" t="str">
        <f>_xlfn.XLOOKUP(Logs_Reseau6[[#This Row],[Id_Client]],Clients_Churn[ID_Client],Clients_Churn[Anciennete_Mois],"Rien à signaler")</f>
        <v>Rien à signaler</v>
      </c>
      <c r="N512" s="5" t="e">
        <f>Logs_Reseau6[[#This Row],[Anciennette]]/24</f>
        <v>#VALUE!</v>
      </c>
      <c r="O512" s="5" t="e">
        <f>Logs_Reseau6[[#This Row],[Duree_Cumulée_Panne]]/1440</f>
        <v>#VALUE!</v>
      </c>
      <c r="P51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13" spans="1:16" x14ac:dyDescent="0.25">
      <c r="A513" s="2">
        <v>45212</v>
      </c>
      <c r="B513" s="1">
        <v>0.59930555555555554</v>
      </c>
      <c r="C513" t="s">
        <v>1278</v>
      </c>
      <c r="D513">
        <v>58</v>
      </c>
      <c r="E513" t="s">
        <v>1303</v>
      </c>
      <c r="F513" t="str">
        <f>_xlfn.XLOOKUP(Logs_Reseau6[[#This Row],[Cell_ID]],Registre[ID_Antenne],Registre[Province_RDC],"Non Trouvée")</f>
        <v>Haut-Uele</v>
      </c>
      <c r="G513" t="str">
        <f>_xlfn.XLOOKUP(Logs_Reseau6[[#This Row],[Province]],Clients_Churn[Province_Client],Clients_Churn[ID_Client],"Aucun")</f>
        <v>CLI-00055</v>
      </c>
      <c r="H513" t="str">
        <f>_xlfn.XLOOKUP(Logs_Reseau6[[#This Row],[Cell_ID]],Registre[ID_Antenne],Registre[Technologie],"Rien à signaler")</f>
        <v>3G</v>
      </c>
      <c r="I513" t="str">
        <f>_xlfn.XLOOKUP(Logs_Reseau6[[#This Row],[Cell_ID]],Registre[ID_Antenne],Registre[Equipementier],"Non Trouvée")</f>
        <v>Huawei</v>
      </c>
      <c r="J513" t="str">
        <f>_xlfn.XLOOKUP(Logs_Reseau6[[#This Row],[Id_Client]],Clients_Churn[ID_Client],Clients_Churn[Type_Forfait],"Pas d'information")</f>
        <v>Pro Monde</v>
      </c>
      <c r="K513" s="5" t="str">
        <f>IF(Logs_Reseau6[[#This Row],[Type_Forfait]]="Pro Monde","B2B","B2C")</f>
        <v>B2B</v>
      </c>
      <c r="L513" s="5">
        <f>_xlfn.XLOOKUP(Logs_Reseau6[[#This Row],[Id_Client]],Clients_Churn[ID_Client],Clients_Churn[Duree_Cumulee_Panne_Min],"Non Trouvée")</f>
        <v>206</v>
      </c>
      <c r="M513" s="5">
        <f>_xlfn.XLOOKUP(Logs_Reseau6[[#This Row],[Id_Client]],Clients_Churn[ID_Client],Clients_Churn[Anciennete_Mois],"Rien à signaler")</f>
        <v>6</v>
      </c>
      <c r="N513" s="11">
        <f>Logs_Reseau6[[#This Row],[Anciennette]]/24</f>
        <v>0.25</v>
      </c>
      <c r="O513" s="1">
        <f>Logs_Reseau6[[#This Row],[Duree_Cumulée_Panne]]/1440</f>
        <v>0.14305555555555555</v>
      </c>
      <c r="P51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14" spans="1:16" x14ac:dyDescent="0.25">
      <c r="A514" s="2">
        <v>45217</v>
      </c>
      <c r="B514" s="1">
        <v>0.62708333333333333</v>
      </c>
      <c r="C514" t="s">
        <v>1278</v>
      </c>
      <c r="D514">
        <v>33</v>
      </c>
      <c r="E514" t="s">
        <v>1300</v>
      </c>
      <c r="F514" t="str">
        <f>_xlfn.XLOOKUP(Logs_Reseau6[[#This Row],[Cell_ID]],Registre[ID_Antenne],Registre[Province_RDC],"Non Trouvée")</f>
        <v>Haut-Uele</v>
      </c>
      <c r="G514" t="str">
        <f>_xlfn.XLOOKUP(Logs_Reseau6[[#This Row],[Province]],Clients_Churn[Province_Client],Clients_Churn[ID_Client],"Aucun")</f>
        <v>CLI-00055</v>
      </c>
      <c r="H514" t="str">
        <f>_xlfn.XLOOKUP(Logs_Reseau6[[#This Row],[Cell_ID]],Registre[ID_Antenne],Registre[Technologie],"Rien à signaler")</f>
        <v>3G</v>
      </c>
      <c r="I514" t="str">
        <f>_xlfn.XLOOKUP(Logs_Reseau6[[#This Row],[Cell_ID]],Registre[ID_Antenne],Registre[Equipementier],"Non Trouvée")</f>
        <v>Huawei</v>
      </c>
      <c r="J514" t="str">
        <f>_xlfn.XLOOKUP(Logs_Reseau6[[#This Row],[Id_Client]],Clients_Churn[ID_Client],Clients_Churn[Type_Forfait],"Pas d'information")</f>
        <v>Pro Monde</v>
      </c>
      <c r="K514" s="5" t="str">
        <f>IF(Logs_Reseau6[[#This Row],[Type_Forfait]]="Pro Monde","B2B","B2C")</f>
        <v>B2B</v>
      </c>
      <c r="L514" s="5">
        <f>_xlfn.XLOOKUP(Logs_Reseau6[[#This Row],[Id_Client]],Clients_Churn[ID_Client],Clients_Churn[Duree_Cumulee_Panne_Min],"Non Trouvée")</f>
        <v>206</v>
      </c>
      <c r="M514" s="5">
        <f>_xlfn.XLOOKUP(Logs_Reseau6[[#This Row],[Id_Client]],Clients_Churn[ID_Client],Clients_Churn[Anciennete_Mois],"Rien à signaler")</f>
        <v>6</v>
      </c>
      <c r="N514" s="11">
        <f>Logs_Reseau6[[#This Row],[Anciennette]]/24</f>
        <v>0.25</v>
      </c>
      <c r="O514" s="1">
        <f>Logs_Reseau6[[#This Row],[Duree_Cumulée_Panne]]/1440</f>
        <v>0.14305555555555555</v>
      </c>
      <c r="P51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15" spans="1:16" x14ac:dyDescent="0.25">
      <c r="A515" s="2">
        <v>45218</v>
      </c>
      <c r="B515" s="1">
        <v>0.27013888888888887</v>
      </c>
      <c r="C515" t="s">
        <v>1278</v>
      </c>
      <c r="D515">
        <v>40</v>
      </c>
      <c r="E515" t="s">
        <v>1303</v>
      </c>
      <c r="F515" t="str">
        <f>_xlfn.XLOOKUP(Logs_Reseau6[[#This Row],[Cell_ID]],Registre[ID_Antenne],Registre[Province_RDC],"Non Trouvée")</f>
        <v>Haut-Uele</v>
      </c>
      <c r="G515" t="str">
        <f>_xlfn.XLOOKUP(Logs_Reseau6[[#This Row],[Province]],Clients_Churn[Province_Client],Clients_Churn[ID_Client],"Aucun")</f>
        <v>CLI-00055</v>
      </c>
      <c r="H515" t="str">
        <f>_xlfn.XLOOKUP(Logs_Reseau6[[#This Row],[Cell_ID]],Registre[ID_Antenne],Registre[Technologie],"Rien à signaler")</f>
        <v>3G</v>
      </c>
      <c r="I515" t="str">
        <f>_xlfn.XLOOKUP(Logs_Reseau6[[#This Row],[Cell_ID]],Registre[ID_Antenne],Registre[Equipementier],"Non Trouvée")</f>
        <v>Huawei</v>
      </c>
      <c r="J515" t="str">
        <f>_xlfn.XLOOKUP(Logs_Reseau6[[#This Row],[Id_Client]],Clients_Churn[ID_Client],Clients_Churn[Type_Forfait],"Pas d'information")</f>
        <v>Pro Monde</v>
      </c>
      <c r="K515" s="5" t="str">
        <f>IF(Logs_Reseau6[[#This Row],[Type_Forfait]]="Pro Monde","B2B","B2C")</f>
        <v>B2B</v>
      </c>
      <c r="L515" s="5">
        <f>_xlfn.XLOOKUP(Logs_Reseau6[[#This Row],[Id_Client]],Clients_Churn[ID_Client],Clients_Churn[Duree_Cumulee_Panne_Min],"Non Trouvée")</f>
        <v>206</v>
      </c>
      <c r="M515" s="5">
        <f>_xlfn.XLOOKUP(Logs_Reseau6[[#This Row],[Id_Client]],Clients_Churn[ID_Client],Clients_Churn[Anciennete_Mois],"Rien à signaler")</f>
        <v>6</v>
      </c>
      <c r="N515" s="11">
        <f>Logs_Reseau6[[#This Row],[Anciennette]]/24</f>
        <v>0.25</v>
      </c>
      <c r="O515" s="1">
        <f>Logs_Reseau6[[#This Row],[Duree_Cumulée_Panne]]/1440</f>
        <v>0.14305555555555555</v>
      </c>
      <c r="P51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16" spans="1:16" x14ac:dyDescent="0.25">
      <c r="A516" s="2">
        <v>45228</v>
      </c>
      <c r="B516" s="1">
        <v>0.57708333333333328</v>
      </c>
      <c r="C516" t="s">
        <v>1278</v>
      </c>
      <c r="D516">
        <v>80</v>
      </c>
      <c r="E516" t="s">
        <v>1305</v>
      </c>
      <c r="F516" t="str">
        <f>_xlfn.XLOOKUP(Logs_Reseau6[[#This Row],[Cell_ID]],Registre[ID_Antenne],Registre[Province_RDC],"Non Trouvée")</f>
        <v>Haut-Uele</v>
      </c>
      <c r="G516" t="str">
        <f>_xlfn.XLOOKUP(Logs_Reseau6[[#This Row],[Province]],Clients_Churn[Province_Client],Clients_Churn[ID_Client],"Aucun")</f>
        <v>CLI-00055</v>
      </c>
      <c r="H516" t="str">
        <f>_xlfn.XLOOKUP(Logs_Reseau6[[#This Row],[Cell_ID]],Registre[ID_Antenne],Registre[Technologie],"Rien à signaler")</f>
        <v>3G</v>
      </c>
      <c r="I516" t="str">
        <f>_xlfn.XLOOKUP(Logs_Reseau6[[#This Row],[Cell_ID]],Registre[ID_Antenne],Registre[Equipementier],"Non Trouvée")</f>
        <v>Huawei</v>
      </c>
      <c r="J516" t="str">
        <f>_xlfn.XLOOKUP(Logs_Reseau6[[#This Row],[Id_Client]],Clients_Churn[ID_Client],Clients_Churn[Type_Forfait],"Pas d'information")</f>
        <v>Pro Monde</v>
      </c>
      <c r="K516" s="5" t="str">
        <f>IF(Logs_Reseau6[[#This Row],[Type_Forfait]]="Pro Monde","B2B","B2C")</f>
        <v>B2B</v>
      </c>
      <c r="L516" s="5">
        <f>_xlfn.XLOOKUP(Logs_Reseau6[[#This Row],[Id_Client]],Clients_Churn[ID_Client],Clients_Churn[Duree_Cumulee_Panne_Min],"Non Trouvée")</f>
        <v>206</v>
      </c>
      <c r="M516" s="5">
        <f>_xlfn.XLOOKUP(Logs_Reseau6[[#This Row],[Id_Client]],Clients_Churn[ID_Client],Clients_Churn[Anciennete_Mois],"Rien à signaler")</f>
        <v>6</v>
      </c>
      <c r="N516" s="11">
        <f>Logs_Reseau6[[#This Row],[Anciennette]]/24</f>
        <v>0.25</v>
      </c>
      <c r="O516" s="1">
        <f>Logs_Reseau6[[#This Row],[Duree_Cumulée_Panne]]/1440</f>
        <v>0.14305555555555555</v>
      </c>
      <c r="P51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17" spans="1:16" hidden="1" x14ac:dyDescent="0.25">
      <c r="A517" s="2">
        <v>45219</v>
      </c>
      <c r="B517" s="1">
        <v>0.79374999999999996</v>
      </c>
      <c r="C517" t="s">
        <v>1553</v>
      </c>
      <c r="D517">
        <v>43</v>
      </c>
      <c r="E517" t="s">
        <v>1303</v>
      </c>
      <c r="F517" t="str">
        <f>_xlfn.XLOOKUP(Logs_Reseau6[[#This Row],[Cell_ID]],Registre[ID_Antenne],Registre[Province_RDC],"Non Trouvée")</f>
        <v>Non Trouvée</v>
      </c>
      <c r="G517" t="str">
        <f>_xlfn.XLOOKUP(Logs_Reseau6[[#This Row],[Province]],Clients_Churn[Province_Client],Clients_Churn[ID_Client],"Aucun")</f>
        <v>Aucun</v>
      </c>
      <c r="H517" t="str">
        <f>_xlfn.XLOOKUP(Logs_Reseau6[[#This Row],[Cell_ID]],Registre[ID_Antenne],Registre[Technologie],"Rien à signaler")</f>
        <v>Rien à signaler</v>
      </c>
      <c r="I517" t="str">
        <f>_xlfn.XLOOKUP(Logs_Reseau6[[#This Row],[Cell_ID]],Registre[ID_Antenne],Registre[Equipementier],"Non Trouvée")</f>
        <v>Non Trouvée</v>
      </c>
      <c r="J517" t="str">
        <f>_xlfn.XLOOKUP(Logs_Reseau6[[#This Row],[Id_Client]],Clients_Churn[ID_Client],Clients_Churn[Type_Forfait],"Pas d'information")</f>
        <v>Pas d'information</v>
      </c>
      <c r="K517" s="5" t="str">
        <f>IF(Logs_Reseau6[[#This Row],[Type_Forfait]]="Pro Monde","B2B","B2C")</f>
        <v>B2C</v>
      </c>
      <c r="L517" s="5" t="str">
        <f>_xlfn.XLOOKUP(Logs_Reseau6[[#This Row],[Id_Client]],Clients_Churn[ID_Client],Clients_Churn[Duree_Cumulee_Panne_Min],"Non Trouvée")</f>
        <v>Non Trouvée</v>
      </c>
      <c r="M517" s="5" t="str">
        <f>_xlfn.XLOOKUP(Logs_Reseau6[[#This Row],[Id_Client]],Clients_Churn[ID_Client],Clients_Churn[Anciennete_Mois],"Rien à signaler")</f>
        <v>Rien à signaler</v>
      </c>
      <c r="N517" s="5" t="e">
        <f>Logs_Reseau6[[#This Row],[Anciennette]]/24</f>
        <v>#VALUE!</v>
      </c>
      <c r="O517" s="5" t="e">
        <f>Logs_Reseau6[[#This Row],[Duree_Cumulée_Panne]]/1440</f>
        <v>#VALUE!</v>
      </c>
      <c r="P51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18" spans="1:16" x14ac:dyDescent="0.25">
      <c r="A518" s="2">
        <v>45214</v>
      </c>
      <c r="B518" s="1">
        <v>0.16805555555555557</v>
      </c>
      <c r="C518" t="s">
        <v>1270</v>
      </c>
      <c r="D518">
        <v>106</v>
      </c>
      <c r="E518" t="s">
        <v>1300</v>
      </c>
      <c r="F518" t="str">
        <f>_xlfn.XLOOKUP(Logs_Reseau6[[#This Row],[Cell_ID]],Registre[ID_Antenne],Registre[Province_RDC],"Non Trouvée")</f>
        <v>Sud-Kivu</v>
      </c>
      <c r="G518" t="str">
        <f>_xlfn.XLOOKUP(Logs_Reseau6[[#This Row],[Province]],Clients_Churn[Province_Client],Clients_Churn[ID_Client],"Aucun")</f>
        <v>CLI-00054</v>
      </c>
      <c r="H518" t="str">
        <f>_xlfn.XLOOKUP(Logs_Reseau6[[#This Row],[Cell_ID]],Registre[ID_Antenne],Registre[Technologie],"Rien à signaler")</f>
        <v>5G</v>
      </c>
      <c r="I518" t="str">
        <f>_xlfn.XLOOKUP(Logs_Reseau6[[#This Row],[Cell_ID]],Registre[ID_Antenne],Registre[Equipementier],"Non Trouvée")</f>
        <v>Ericsson</v>
      </c>
      <c r="J518" t="str">
        <f>_xlfn.XLOOKUP(Logs_Reseau6[[#This Row],[Id_Client]],Clients_Churn[ID_Client],Clients_Churn[Type_Forfait],"Pas d'information")</f>
        <v>Bloqué 5Go</v>
      </c>
      <c r="K518" s="5" t="str">
        <f>IF(Logs_Reseau6[[#This Row],[Type_Forfait]]="Pro Monde","B2B","B2C")</f>
        <v>B2C</v>
      </c>
      <c r="L518" s="5">
        <f>_xlfn.XLOOKUP(Logs_Reseau6[[#This Row],[Id_Client]],Clients_Churn[ID_Client],Clients_Churn[Duree_Cumulee_Panne_Min],"Non Trouvée")</f>
        <v>40</v>
      </c>
      <c r="M518" s="5">
        <f>_xlfn.XLOOKUP(Logs_Reseau6[[#This Row],[Id_Client]],Clients_Churn[ID_Client],Clients_Churn[Anciennete_Mois],"Rien à signaler")</f>
        <v>34</v>
      </c>
      <c r="N518" s="11">
        <f>Logs_Reseau6[[#This Row],[Anciennette]]/24</f>
        <v>1.4166666666666667</v>
      </c>
      <c r="O518" s="1">
        <f>Logs_Reseau6[[#This Row],[Duree_Cumulée_Panne]]/1440</f>
        <v>2.7777777777777776E-2</v>
      </c>
      <c r="P51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19" spans="1:16" x14ac:dyDescent="0.25">
      <c r="A519" s="2">
        <v>45201</v>
      </c>
      <c r="B519" s="1">
        <v>0.52777777777777779</v>
      </c>
      <c r="C519" t="s">
        <v>1163</v>
      </c>
      <c r="D519">
        <v>20</v>
      </c>
      <c r="E519" t="s">
        <v>1303</v>
      </c>
      <c r="F519" t="str">
        <f>_xlfn.XLOOKUP(Logs_Reseau6[[#This Row],[Cell_ID]],Registre[ID_Antenne],Registre[Province_RDC],"Non Trouvée")</f>
        <v>Bas-Uele</v>
      </c>
      <c r="G519" t="str">
        <f>_xlfn.XLOOKUP(Logs_Reseau6[[#This Row],[Province]],Clients_Churn[Province_Client],Clients_Churn[ID_Client],"Aucun")</f>
        <v>CLI-00029</v>
      </c>
      <c r="H519" t="str">
        <f>_xlfn.XLOOKUP(Logs_Reseau6[[#This Row],[Cell_ID]],Registre[ID_Antenne],Registre[Technologie],"Rien à signaler")</f>
        <v>4G</v>
      </c>
      <c r="I519" t="str">
        <f>_xlfn.XLOOKUP(Logs_Reseau6[[#This Row],[Cell_ID]],Registre[ID_Antenne],Registre[Equipementier],"Non Trouvée")</f>
        <v>Huawei</v>
      </c>
      <c r="J519" t="str">
        <f>_xlfn.XLOOKUP(Logs_Reseau6[[#This Row],[Id_Client]],Clients_Churn[ID_Client],Clients_Churn[Type_Forfait],"Pas d'information")</f>
        <v>Pro Monde</v>
      </c>
      <c r="K519" s="5" t="str">
        <f>IF(Logs_Reseau6[[#This Row],[Type_Forfait]]="Pro Monde","B2B","B2C")</f>
        <v>B2B</v>
      </c>
      <c r="L519" s="5">
        <f>_xlfn.XLOOKUP(Logs_Reseau6[[#This Row],[Id_Client]],Clients_Churn[ID_Client],Clients_Churn[Duree_Cumulee_Panne_Min],"Non Trouvée")</f>
        <v>344</v>
      </c>
      <c r="M519" s="5">
        <f>_xlfn.XLOOKUP(Logs_Reseau6[[#This Row],[Id_Client]],Clients_Churn[ID_Client],Clients_Churn[Anciennete_Mois],"Rien à signaler")</f>
        <v>119</v>
      </c>
      <c r="N519" s="11">
        <f>Logs_Reseau6[[#This Row],[Anciennette]]/24</f>
        <v>4.958333333333333</v>
      </c>
      <c r="O519" s="1">
        <f>Logs_Reseau6[[#This Row],[Duree_Cumulée_Panne]]/1440</f>
        <v>0.2388888888888889</v>
      </c>
      <c r="P51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20" spans="1:16" hidden="1" x14ac:dyDescent="0.25">
      <c r="A520" s="2">
        <v>45203</v>
      </c>
      <c r="B520" s="1">
        <v>0.61527777777777781</v>
      </c>
      <c r="C520" t="s">
        <v>1533</v>
      </c>
      <c r="D520">
        <v>41</v>
      </c>
      <c r="E520" t="s">
        <v>1300</v>
      </c>
      <c r="F520" t="str">
        <f>_xlfn.XLOOKUP(Logs_Reseau6[[#This Row],[Cell_ID]],Registre[ID_Antenne],Registre[Province_RDC],"Non Trouvée")</f>
        <v>Non Trouvée</v>
      </c>
      <c r="G520" t="str">
        <f>_xlfn.XLOOKUP(Logs_Reseau6[[#This Row],[Province]],Clients_Churn[Province_Client],Clients_Churn[ID_Client],"Aucun")</f>
        <v>Aucun</v>
      </c>
      <c r="H520" t="str">
        <f>_xlfn.XLOOKUP(Logs_Reseau6[[#This Row],[Cell_ID]],Registre[ID_Antenne],Registre[Technologie],"Rien à signaler")</f>
        <v>Rien à signaler</v>
      </c>
      <c r="I520" t="str">
        <f>_xlfn.XLOOKUP(Logs_Reseau6[[#This Row],[Cell_ID]],Registre[ID_Antenne],Registre[Equipementier],"Non Trouvée")</f>
        <v>Non Trouvée</v>
      </c>
      <c r="J520" t="str">
        <f>_xlfn.XLOOKUP(Logs_Reseau6[[#This Row],[Id_Client]],Clients_Churn[ID_Client],Clients_Churn[Type_Forfait],"Pas d'information")</f>
        <v>Pas d'information</v>
      </c>
      <c r="K520" s="5" t="str">
        <f>IF(Logs_Reseau6[[#This Row],[Type_Forfait]]="Pro Monde","B2B","B2C")</f>
        <v>B2C</v>
      </c>
      <c r="L520" s="5" t="str">
        <f>_xlfn.XLOOKUP(Logs_Reseau6[[#This Row],[Id_Client]],Clients_Churn[ID_Client],Clients_Churn[Duree_Cumulee_Panne_Min],"Non Trouvée")</f>
        <v>Non Trouvée</v>
      </c>
      <c r="M520" s="5" t="str">
        <f>_xlfn.XLOOKUP(Logs_Reseau6[[#This Row],[Id_Client]],Clients_Churn[ID_Client],Clients_Churn[Anciennete_Mois],"Rien à signaler")</f>
        <v>Rien à signaler</v>
      </c>
      <c r="N520" s="5" t="e">
        <f>Logs_Reseau6[[#This Row],[Anciennette]]/24</f>
        <v>#VALUE!</v>
      </c>
      <c r="O520" s="5" t="e">
        <f>Logs_Reseau6[[#This Row],[Duree_Cumulée_Panne]]/1440</f>
        <v>#VALUE!</v>
      </c>
      <c r="P52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21" spans="1:16" hidden="1" x14ac:dyDescent="0.25">
      <c r="A521" s="2">
        <v>45202</v>
      </c>
      <c r="B521" s="1">
        <v>0.69513888888888886</v>
      </c>
      <c r="C521" t="s">
        <v>1477</v>
      </c>
      <c r="D521">
        <v>49</v>
      </c>
      <c r="E521" t="s">
        <v>1303</v>
      </c>
      <c r="F521" t="str">
        <f>_xlfn.XLOOKUP(Logs_Reseau6[[#This Row],[Cell_ID]],Registre[ID_Antenne],Registre[Province_RDC],"Non Trouvée")</f>
        <v>Non Trouvée</v>
      </c>
      <c r="G521" t="str">
        <f>_xlfn.XLOOKUP(Logs_Reseau6[[#This Row],[Province]],Clients_Churn[Province_Client],Clients_Churn[ID_Client],"Aucun")</f>
        <v>Aucun</v>
      </c>
      <c r="H521" t="str">
        <f>_xlfn.XLOOKUP(Logs_Reseau6[[#This Row],[Cell_ID]],Registre[ID_Antenne],Registre[Technologie],"Rien à signaler")</f>
        <v>Rien à signaler</v>
      </c>
      <c r="I521" t="str">
        <f>_xlfn.XLOOKUP(Logs_Reseau6[[#This Row],[Cell_ID]],Registre[ID_Antenne],Registre[Equipementier],"Non Trouvée")</f>
        <v>Non Trouvée</v>
      </c>
      <c r="J521" t="str">
        <f>_xlfn.XLOOKUP(Logs_Reseau6[[#This Row],[Id_Client]],Clients_Churn[ID_Client],Clients_Churn[Type_Forfait],"Pas d'information")</f>
        <v>Pas d'information</v>
      </c>
      <c r="K521" s="5" t="str">
        <f>IF(Logs_Reseau6[[#This Row],[Type_Forfait]]="Pro Monde","B2B","B2C")</f>
        <v>B2C</v>
      </c>
      <c r="L521" s="5" t="str">
        <f>_xlfn.XLOOKUP(Logs_Reseau6[[#This Row],[Id_Client]],Clients_Churn[ID_Client],Clients_Churn[Duree_Cumulee_Panne_Min],"Non Trouvée")</f>
        <v>Non Trouvée</v>
      </c>
      <c r="M521" s="5" t="str">
        <f>_xlfn.XLOOKUP(Logs_Reseau6[[#This Row],[Id_Client]],Clients_Churn[ID_Client],Clients_Churn[Anciennete_Mois],"Rien à signaler")</f>
        <v>Rien à signaler</v>
      </c>
      <c r="N521" s="5" t="e">
        <f>Logs_Reseau6[[#This Row],[Anciennette]]/24</f>
        <v>#VALUE!</v>
      </c>
      <c r="O521" s="5" t="e">
        <f>Logs_Reseau6[[#This Row],[Duree_Cumulée_Panne]]/1440</f>
        <v>#VALUE!</v>
      </c>
      <c r="P52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22" spans="1:16" x14ac:dyDescent="0.25">
      <c r="A522" s="2">
        <v>45206</v>
      </c>
      <c r="B522" s="1">
        <v>0.85763888888888884</v>
      </c>
      <c r="C522" t="s">
        <v>1257</v>
      </c>
      <c r="D522">
        <v>45</v>
      </c>
      <c r="E522" t="s">
        <v>1305</v>
      </c>
      <c r="F522" t="str">
        <f>_xlfn.XLOOKUP(Logs_Reseau6[[#This Row],[Cell_ID]],Registre[ID_Antenne],Registre[Province_RDC],"Non Trouvée")</f>
        <v>Haut-Lomami</v>
      </c>
      <c r="G522" t="str">
        <f>_xlfn.XLOOKUP(Logs_Reseau6[[#This Row],[Province]],Clients_Churn[Province_Client],Clients_Churn[ID_Client],"Aucun")</f>
        <v>CLI-00022</v>
      </c>
      <c r="H522" t="str">
        <f>_xlfn.XLOOKUP(Logs_Reseau6[[#This Row],[Cell_ID]],Registre[ID_Antenne],Registre[Technologie],"Rien à signaler")</f>
        <v>4G</v>
      </c>
      <c r="I522" t="str">
        <f>_xlfn.XLOOKUP(Logs_Reseau6[[#This Row],[Cell_ID]],Registre[ID_Antenne],Registre[Equipementier],"Non Trouvée")</f>
        <v>Ericsson</v>
      </c>
      <c r="J522" t="str">
        <f>_xlfn.XLOOKUP(Logs_Reseau6[[#This Row],[Id_Client]],Clients_Churn[ID_Client],Clients_Churn[Type_Forfait],"Pas d'information")</f>
        <v>Premium 5G 150Go</v>
      </c>
      <c r="K522" s="5" t="str">
        <f>IF(Logs_Reseau6[[#This Row],[Type_Forfait]]="Pro Monde","B2B","B2C")</f>
        <v>B2C</v>
      </c>
      <c r="L522" s="5">
        <f>_xlfn.XLOOKUP(Logs_Reseau6[[#This Row],[Id_Client]],Clients_Churn[ID_Client],Clients_Churn[Duree_Cumulee_Panne_Min],"Non Trouvée")</f>
        <v>488</v>
      </c>
      <c r="M522" s="5">
        <f>_xlfn.XLOOKUP(Logs_Reseau6[[#This Row],[Id_Client]],Clients_Churn[ID_Client],Clients_Churn[Anciennete_Mois],"Rien à signaler")</f>
        <v>77</v>
      </c>
      <c r="N522" s="11">
        <f>Logs_Reseau6[[#This Row],[Anciennette]]/24</f>
        <v>3.2083333333333335</v>
      </c>
      <c r="O522" s="1">
        <f>Logs_Reseau6[[#This Row],[Duree_Cumulée_Panne]]/1440</f>
        <v>0.33888888888888891</v>
      </c>
      <c r="P52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23" spans="1:16" x14ac:dyDescent="0.25">
      <c r="A523" s="2">
        <v>45210</v>
      </c>
      <c r="B523" s="1">
        <v>0.92638888888888893</v>
      </c>
      <c r="C523" t="s">
        <v>1257</v>
      </c>
      <c r="D523">
        <v>45</v>
      </c>
      <c r="E523" t="s">
        <v>1303</v>
      </c>
      <c r="F523" t="str">
        <f>_xlfn.XLOOKUP(Logs_Reseau6[[#This Row],[Cell_ID]],Registre[ID_Antenne],Registre[Province_RDC],"Non Trouvée")</f>
        <v>Haut-Lomami</v>
      </c>
      <c r="G523" t="str">
        <f>_xlfn.XLOOKUP(Logs_Reseau6[[#This Row],[Province]],Clients_Churn[Province_Client],Clients_Churn[ID_Client],"Aucun")</f>
        <v>CLI-00022</v>
      </c>
      <c r="H523" t="str">
        <f>_xlfn.XLOOKUP(Logs_Reseau6[[#This Row],[Cell_ID]],Registre[ID_Antenne],Registre[Technologie],"Rien à signaler")</f>
        <v>4G</v>
      </c>
      <c r="I523" t="str">
        <f>_xlfn.XLOOKUP(Logs_Reseau6[[#This Row],[Cell_ID]],Registre[ID_Antenne],Registre[Equipementier],"Non Trouvée")</f>
        <v>Ericsson</v>
      </c>
      <c r="J523" t="str">
        <f>_xlfn.XLOOKUP(Logs_Reseau6[[#This Row],[Id_Client]],Clients_Churn[ID_Client],Clients_Churn[Type_Forfait],"Pas d'information")</f>
        <v>Premium 5G 150Go</v>
      </c>
      <c r="K523" s="5" t="str">
        <f>IF(Logs_Reseau6[[#This Row],[Type_Forfait]]="Pro Monde","B2B","B2C")</f>
        <v>B2C</v>
      </c>
      <c r="L523" s="5">
        <f>_xlfn.XLOOKUP(Logs_Reseau6[[#This Row],[Id_Client]],Clients_Churn[ID_Client],Clients_Churn[Duree_Cumulee_Panne_Min],"Non Trouvée")</f>
        <v>488</v>
      </c>
      <c r="M523" s="5">
        <f>_xlfn.XLOOKUP(Logs_Reseau6[[#This Row],[Id_Client]],Clients_Churn[ID_Client],Clients_Churn[Anciennete_Mois],"Rien à signaler")</f>
        <v>77</v>
      </c>
      <c r="N523" s="11">
        <f>Logs_Reseau6[[#This Row],[Anciennette]]/24</f>
        <v>3.2083333333333335</v>
      </c>
      <c r="O523" s="1">
        <f>Logs_Reseau6[[#This Row],[Duree_Cumulée_Panne]]/1440</f>
        <v>0.33888888888888891</v>
      </c>
      <c r="P52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24" spans="1:16" x14ac:dyDescent="0.25">
      <c r="A524" s="2">
        <v>45214</v>
      </c>
      <c r="B524" s="1">
        <v>0.94305555555555554</v>
      </c>
      <c r="C524" t="s">
        <v>1257</v>
      </c>
      <c r="D524">
        <v>16</v>
      </c>
      <c r="E524" t="s">
        <v>1300</v>
      </c>
      <c r="F524" t="str">
        <f>_xlfn.XLOOKUP(Logs_Reseau6[[#This Row],[Cell_ID]],Registre[ID_Antenne],Registre[Province_RDC],"Non Trouvée")</f>
        <v>Haut-Lomami</v>
      </c>
      <c r="G524" t="str">
        <f>_xlfn.XLOOKUP(Logs_Reseau6[[#This Row],[Province]],Clients_Churn[Province_Client],Clients_Churn[ID_Client],"Aucun")</f>
        <v>CLI-00022</v>
      </c>
      <c r="H524" t="str">
        <f>_xlfn.XLOOKUP(Logs_Reseau6[[#This Row],[Cell_ID]],Registre[ID_Antenne],Registre[Technologie],"Rien à signaler")</f>
        <v>4G</v>
      </c>
      <c r="I524" t="str">
        <f>_xlfn.XLOOKUP(Logs_Reseau6[[#This Row],[Cell_ID]],Registre[ID_Antenne],Registre[Equipementier],"Non Trouvée")</f>
        <v>Ericsson</v>
      </c>
      <c r="J524" t="str">
        <f>_xlfn.XLOOKUP(Logs_Reseau6[[#This Row],[Id_Client]],Clients_Churn[ID_Client],Clients_Churn[Type_Forfait],"Pas d'information")</f>
        <v>Premium 5G 150Go</v>
      </c>
      <c r="K524" s="5" t="str">
        <f>IF(Logs_Reseau6[[#This Row],[Type_Forfait]]="Pro Monde","B2B","B2C")</f>
        <v>B2C</v>
      </c>
      <c r="L524" s="5">
        <f>_xlfn.XLOOKUP(Logs_Reseau6[[#This Row],[Id_Client]],Clients_Churn[ID_Client],Clients_Churn[Duree_Cumulee_Panne_Min],"Non Trouvée")</f>
        <v>488</v>
      </c>
      <c r="M524" s="5">
        <f>_xlfn.XLOOKUP(Logs_Reseau6[[#This Row],[Id_Client]],Clients_Churn[ID_Client],Clients_Churn[Anciennete_Mois],"Rien à signaler")</f>
        <v>77</v>
      </c>
      <c r="N524" s="11">
        <f>Logs_Reseau6[[#This Row],[Anciennette]]/24</f>
        <v>3.2083333333333335</v>
      </c>
      <c r="O524" s="1">
        <f>Logs_Reseau6[[#This Row],[Duree_Cumulée_Panne]]/1440</f>
        <v>0.33888888888888891</v>
      </c>
      <c r="P52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25" spans="1:16" hidden="1" x14ac:dyDescent="0.25">
      <c r="A525" s="2">
        <v>45203</v>
      </c>
      <c r="B525" s="1">
        <v>9.0277777777777769E-3</v>
      </c>
      <c r="C525" t="s">
        <v>1527</v>
      </c>
      <c r="D525">
        <v>49</v>
      </c>
      <c r="E525" t="s">
        <v>1300</v>
      </c>
      <c r="F525" t="str">
        <f>_xlfn.XLOOKUP(Logs_Reseau6[[#This Row],[Cell_ID]],Registre[ID_Antenne],Registre[Province_RDC],"Non Trouvée")</f>
        <v>Non Trouvée</v>
      </c>
      <c r="G525" t="str">
        <f>_xlfn.XLOOKUP(Logs_Reseau6[[#This Row],[Province]],Clients_Churn[Province_Client],Clients_Churn[ID_Client],"Aucun")</f>
        <v>Aucun</v>
      </c>
      <c r="H525" t="str">
        <f>_xlfn.XLOOKUP(Logs_Reseau6[[#This Row],[Cell_ID]],Registre[ID_Antenne],Registre[Technologie],"Rien à signaler")</f>
        <v>Rien à signaler</v>
      </c>
      <c r="I525" t="str">
        <f>_xlfn.XLOOKUP(Logs_Reseau6[[#This Row],[Cell_ID]],Registre[ID_Antenne],Registre[Equipementier],"Non Trouvée")</f>
        <v>Non Trouvée</v>
      </c>
      <c r="J525" t="str">
        <f>_xlfn.XLOOKUP(Logs_Reseau6[[#This Row],[Id_Client]],Clients_Churn[ID_Client],Clients_Churn[Type_Forfait],"Pas d'information")</f>
        <v>Pas d'information</v>
      </c>
      <c r="K525" s="5" t="str">
        <f>IF(Logs_Reseau6[[#This Row],[Type_Forfait]]="Pro Monde","B2B","B2C")</f>
        <v>B2C</v>
      </c>
      <c r="L525" s="5" t="str">
        <f>_xlfn.XLOOKUP(Logs_Reseau6[[#This Row],[Id_Client]],Clients_Churn[ID_Client],Clients_Churn[Duree_Cumulee_Panne_Min],"Non Trouvée")</f>
        <v>Non Trouvée</v>
      </c>
      <c r="M525" s="5" t="str">
        <f>_xlfn.XLOOKUP(Logs_Reseau6[[#This Row],[Id_Client]],Clients_Churn[ID_Client],Clients_Churn[Anciennete_Mois],"Rien à signaler")</f>
        <v>Rien à signaler</v>
      </c>
      <c r="N525" s="5" t="e">
        <f>Logs_Reseau6[[#This Row],[Anciennette]]/24</f>
        <v>#VALUE!</v>
      </c>
      <c r="O525" s="5" t="e">
        <f>Logs_Reseau6[[#This Row],[Duree_Cumulée_Panne]]/1440</f>
        <v>#VALUE!</v>
      </c>
      <c r="P52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26" spans="1:16" hidden="1" x14ac:dyDescent="0.25">
      <c r="A526" s="2">
        <v>45204</v>
      </c>
      <c r="B526" s="1">
        <v>9.0277777777777776E-2</v>
      </c>
      <c r="C526" t="s">
        <v>1527</v>
      </c>
      <c r="D526">
        <v>93</v>
      </c>
      <c r="E526" t="s">
        <v>1305</v>
      </c>
      <c r="F526" t="str">
        <f>_xlfn.XLOOKUP(Logs_Reseau6[[#This Row],[Cell_ID]],Registre[ID_Antenne],Registre[Province_RDC],"Non Trouvée")</f>
        <v>Non Trouvée</v>
      </c>
      <c r="G526" t="str">
        <f>_xlfn.XLOOKUP(Logs_Reseau6[[#This Row],[Province]],Clients_Churn[Province_Client],Clients_Churn[ID_Client],"Aucun")</f>
        <v>Aucun</v>
      </c>
      <c r="H526" t="str">
        <f>_xlfn.XLOOKUP(Logs_Reseau6[[#This Row],[Cell_ID]],Registre[ID_Antenne],Registre[Technologie],"Rien à signaler")</f>
        <v>Rien à signaler</v>
      </c>
      <c r="I526" t="str">
        <f>_xlfn.XLOOKUP(Logs_Reseau6[[#This Row],[Cell_ID]],Registre[ID_Antenne],Registre[Equipementier],"Non Trouvée")</f>
        <v>Non Trouvée</v>
      </c>
      <c r="J526" t="str">
        <f>_xlfn.XLOOKUP(Logs_Reseau6[[#This Row],[Id_Client]],Clients_Churn[ID_Client],Clients_Churn[Type_Forfait],"Pas d'information")</f>
        <v>Pas d'information</v>
      </c>
      <c r="K526" s="5" t="str">
        <f>IF(Logs_Reseau6[[#This Row],[Type_Forfait]]="Pro Monde","B2B","B2C")</f>
        <v>B2C</v>
      </c>
      <c r="L526" s="5" t="str">
        <f>_xlfn.XLOOKUP(Logs_Reseau6[[#This Row],[Id_Client]],Clients_Churn[ID_Client],Clients_Churn[Duree_Cumulee_Panne_Min],"Non Trouvée")</f>
        <v>Non Trouvée</v>
      </c>
      <c r="M526" s="5" t="str">
        <f>_xlfn.XLOOKUP(Logs_Reseau6[[#This Row],[Id_Client]],Clients_Churn[ID_Client],Clients_Churn[Anciennete_Mois],"Rien à signaler")</f>
        <v>Rien à signaler</v>
      </c>
      <c r="N526" s="5" t="e">
        <f>Logs_Reseau6[[#This Row],[Anciennette]]/24</f>
        <v>#VALUE!</v>
      </c>
      <c r="O526" s="5" t="e">
        <f>Logs_Reseau6[[#This Row],[Duree_Cumulée_Panne]]/1440</f>
        <v>#VALUE!</v>
      </c>
      <c r="P52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27" spans="1:16" hidden="1" x14ac:dyDescent="0.25">
      <c r="A527" s="2">
        <v>45217</v>
      </c>
      <c r="B527" s="1">
        <v>0.28125</v>
      </c>
      <c r="C527" t="s">
        <v>1308</v>
      </c>
      <c r="D527">
        <v>51</v>
      </c>
      <c r="E527" t="s">
        <v>1303</v>
      </c>
      <c r="F527" t="str">
        <f>_xlfn.XLOOKUP(Logs_Reseau6[[#This Row],[Cell_ID]],Registre[ID_Antenne],Registre[Province_RDC],"Non Trouvée")</f>
        <v>Non Trouvée</v>
      </c>
      <c r="G527" t="str">
        <f>_xlfn.XLOOKUP(Logs_Reseau6[[#This Row],[Province]],Clients_Churn[Province_Client],Clients_Churn[ID_Client],"Aucun")</f>
        <v>Aucun</v>
      </c>
      <c r="H527" t="str">
        <f>_xlfn.XLOOKUP(Logs_Reseau6[[#This Row],[Cell_ID]],Registre[ID_Antenne],Registre[Technologie],"Rien à signaler")</f>
        <v>Rien à signaler</v>
      </c>
      <c r="I527" t="str">
        <f>_xlfn.XLOOKUP(Logs_Reseau6[[#This Row],[Cell_ID]],Registre[ID_Antenne],Registre[Equipementier],"Non Trouvée")</f>
        <v>Non Trouvée</v>
      </c>
      <c r="J527" t="str">
        <f>_xlfn.XLOOKUP(Logs_Reseau6[[#This Row],[Id_Client]],Clients_Churn[ID_Client],Clients_Churn[Type_Forfait],"Pas d'information")</f>
        <v>Pas d'information</v>
      </c>
      <c r="K527" s="5" t="str">
        <f>IF(Logs_Reseau6[[#This Row],[Type_Forfait]]="Pro Monde","B2B","B2C")</f>
        <v>B2C</v>
      </c>
      <c r="L527" s="5" t="str">
        <f>_xlfn.XLOOKUP(Logs_Reseau6[[#This Row],[Id_Client]],Clients_Churn[ID_Client],Clients_Churn[Duree_Cumulee_Panne_Min],"Non Trouvée")</f>
        <v>Non Trouvée</v>
      </c>
      <c r="M527" s="5" t="str">
        <f>_xlfn.XLOOKUP(Logs_Reseau6[[#This Row],[Id_Client]],Clients_Churn[ID_Client],Clients_Churn[Anciennete_Mois],"Rien à signaler")</f>
        <v>Rien à signaler</v>
      </c>
      <c r="N527" s="5" t="e">
        <f>Logs_Reseau6[[#This Row],[Anciennette]]/24</f>
        <v>#VALUE!</v>
      </c>
      <c r="O527" s="5" t="e">
        <f>Logs_Reseau6[[#This Row],[Duree_Cumulée_Panne]]/1440</f>
        <v>#VALUE!</v>
      </c>
      <c r="P52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28" spans="1:16" x14ac:dyDescent="0.25">
      <c r="A528" s="2">
        <v>45227</v>
      </c>
      <c r="B528" s="1">
        <v>0.52708333333333335</v>
      </c>
      <c r="C528" t="s">
        <v>850</v>
      </c>
      <c r="D528">
        <v>107</v>
      </c>
      <c r="E528" t="s">
        <v>1303</v>
      </c>
      <c r="F528" t="str">
        <f>_xlfn.XLOOKUP(Logs_Reseau6[[#This Row],[Cell_ID]],Registre[ID_Antenne],Registre[Province_RDC],"Non Trouvée")</f>
        <v>Tanganyika</v>
      </c>
      <c r="G528" t="str">
        <f>_xlfn.XLOOKUP(Logs_Reseau6[[#This Row],[Province]],Clients_Churn[Province_Client],Clients_Churn[ID_Client],"Aucun")</f>
        <v>CLI-00007</v>
      </c>
      <c r="H528" t="str">
        <f>_xlfn.XLOOKUP(Logs_Reseau6[[#This Row],[Cell_ID]],Registre[ID_Antenne],Registre[Technologie],"Rien à signaler")</f>
        <v>5G</v>
      </c>
      <c r="I528" t="str">
        <f>_xlfn.XLOOKUP(Logs_Reseau6[[#This Row],[Cell_ID]],Registre[ID_Antenne],Registre[Equipementier],"Non Trouvée")</f>
        <v>ZTE</v>
      </c>
      <c r="J528" t="str">
        <f>_xlfn.XLOOKUP(Logs_Reseau6[[#This Row],[Id_Client]],Clients_Churn[ID_Client],Clients_Churn[Type_Forfait],"Pas d'information")</f>
        <v>Bloqué 5Go</v>
      </c>
      <c r="K528" s="5" t="str">
        <f>IF(Logs_Reseau6[[#This Row],[Type_Forfait]]="Pro Monde","B2B","B2C")</f>
        <v>B2C</v>
      </c>
      <c r="L528" s="5">
        <f>_xlfn.XLOOKUP(Logs_Reseau6[[#This Row],[Id_Client]],Clients_Churn[ID_Client],Clients_Churn[Duree_Cumulee_Panne_Min],"Non Trouvée")</f>
        <v>112</v>
      </c>
      <c r="M528" s="5">
        <f>_xlfn.XLOOKUP(Logs_Reseau6[[#This Row],[Id_Client]],Clients_Churn[ID_Client],Clients_Churn[Anciennete_Mois],"Rien à signaler")</f>
        <v>110</v>
      </c>
      <c r="N528" s="11">
        <f>Logs_Reseau6[[#This Row],[Anciennette]]/24</f>
        <v>4.583333333333333</v>
      </c>
      <c r="O528" s="1">
        <f>Logs_Reseau6[[#This Row],[Duree_Cumulée_Panne]]/1440</f>
        <v>7.7777777777777779E-2</v>
      </c>
      <c r="P52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29" spans="1:16" x14ac:dyDescent="0.25">
      <c r="A529" s="2">
        <v>45216</v>
      </c>
      <c r="B529" s="1">
        <v>0.18333333333333332</v>
      </c>
      <c r="C529" t="s">
        <v>855</v>
      </c>
      <c r="D529">
        <v>67</v>
      </c>
      <c r="E529" t="s">
        <v>1303</v>
      </c>
      <c r="F529" t="str">
        <f>_xlfn.XLOOKUP(Logs_Reseau6[[#This Row],[Cell_ID]],Registre[ID_Antenne],Registre[Province_RDC],"Non Trouvée")</f>
        <v>Lualaba</v>
      </c>
      <c r="G529" t="str">
        <f>_xlfn.XLOOKUP(Logs_Reseau6[[#This Row],[Province]],Clients_Churn[Province_Client],Clients_Churn[ID_Client],"Aucun")</f>
        <v>CLI-00334</v>
      </c>
      <c r="H529" t="str">
        <f>_xlfn.XLOOKUP(Logs_Reseau6[[#This Row],[Cell_ID]],Registre[ID_Antenne],Registre[Technologie],"Rien à signaler")</f>
        <v>4G</v>
      </c>
      <c r="I529" t="str">
        <f>_xlfn.XLOOKUP(Logs_Reseau6[[#This Row],[Cell_ID]],Registre[ID_Antenne],Registre[Equipementier],"Non Trouvée")</f>
        <v>Ericsson</v>
      </c>
      <c r="J529" t="str">
        <f>_xlfn.XLOOKUP(Logs_Reseau6[[#This Row],[Id_Client]],Clients_Churn[ID_Client],Clients_Churn[Type_Forfait],"Pas d'information")</f>
        <v>Pro Monde</v>
      </c>
      <c r="K529" s="5" t="str">
        <f>IF(Logs_Reseau6[[#This Row],[Type_Forfait]]="Pro Monde","B2B","B2C")</f>
        <v>B2B</v>
      </c>
      <c r="L529" s="5">
        <f>_xlfn.XLOOKUP(Logs_Reseau6[[#This Row],[Id_Client]],Clients_Churn[ID_Client],Clients_Churn[Duree_Cumulee_Panne_Min],"Non Trouvée")</f>
        <v>214</v>
      </c>
      <c r="M529" s="5">
        <f>_xlfn.XLOOKUP(Logs_Reseau6[[#This Row],[Id_Client]],Clients_Churn[ID_Client],Clients_Churn[Anciennete_Mois],"Rien à signaler")</f>
        <v>16</v>
      </c>
      <c r="N529" s="11">
        <f>Logs_Reseau6[[#This Row],[Anciennette]]/24</f>
        <v>0.66666666666666663</v>
      </c>
      <c r="O529" s="1">
        <f>Logs_Reseau6[[#This Row],[Duree_Cumulée_Panne]]/1440</f>
        <v>0.14861111111111111</v>
      </c>
      <c r="P52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30" spans="1:16" x14ac:dyDescent="0.25">
      <c r="A530" s="2">
        <v>45217</v>
      </c>
      <c r="B530" s="1">
        <v>0.99930555555555556</v>
      </c>
      <c r="C530" t="s">
        <v>855</v>
      </c>
      <c r="D530">
        <v>38</v>
      </c>
      <c r="E530" t="s">
        <v>1303</v>
      </c>
      <c r="F530" t="str">
        <f>_xlfn.XLOOKUP(Logs_Reseau6[[#This Row],[Cell_ID]],Registre[ID_Antenne],Registre[Province_RDC],"Non Trouvée")</f>
        <v>Lualaba</v>
      </c>
      <c r="G530" t="str">
        <f>_xlfn.XLOOKUP(Logs_Reseau6[[#This Row],[Province]],Clients_Churn[Province_Client],Clients_Churn[ID_Client],"Aucun")</f>
        <v>CLI-00334</v>
      </c>
      <c r="H530" t="str">
        <f>_xlfn.XLOOKUP(Logs_Reseau6[[#This Row],[Cell_ID]],Registre[ID_Antenne],Registre[Technologie],"Rien à signaler")</f>
        <v>4G</v>
      </c>
      <c r="I530" t="str">
        <f>_xlfn.XLOOKUP(Logs_Reseau6[[#This Row],[Cell_ID]],Registre[ID_Antenne],Registre[Equipementier],"Non Trouvée")</f>
        <v>Ericsson</v>
      </c>
      <c r="J530" t="str">
        <f>_xlfn.XLOOKUP(Logs_Reseau6[[#This Row],[Id_Client]],Clients_Churn[ID_Client],Clients_Churn[Type_Forfait],"Pas d'information")</f>
        <v>Pro Monde</v>
      </c>
      <c r="K530" s="5" t="str">
        <f>IF(Logs_Reseau6[[#This Row],[Type_Forfait]]="Pro Monde","B2B","B2C")</f>
        <v>B2B</v>
      </c>
      <c r="L530" s="5">
        <f>_xlfn.XLOOKUP(Logs_Reseau6[[#This Row],[Id_Client]],Clients_Churn[ID_Client],Clients_Churn[Duree_Cumulee_Panne_Min],"Non Trouvée")</f>
        <v>214</v>
      </c>
      <c r="M530" s="5">
        <f>_xlfn.XLOOKUP(Logs_Reseau6[[#This Row],[Id_Client]],Clients_Churn[ID_Client],Clients_Churn[Anciennete_Mois],"Rien à signaler")</f>
        <v>16</v>
      </c>
      <c r="N530" s="11">
        <f>Logs_Reseau6[[#This Row],[Anciennette]]/24</f>
        <v>0.66666666666666663</v>
      </c>
      <c r="O530" s="1">
        <f>Logs_Reseau6[[#This Row],[Duree_Cumulée_Panne]]/1440</f>
        <v>0.14861111111111111</v>
      </c>
      <c r="P53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31" spans="1:16" x14ac:dyDescent="0.25">
      <c r="A531" s="2">
        <v>45229</v>
      </c>
      <c r="B531" s="1">
        <v>0.39166666666666666</v>
      </c>
      <c r="C531" t="s">
        <v>855</v>
      </c>
      <c r="D531">
        <v>28</v>
      </c>
      <c r="E531" t="s">
        <v>1305</v>
      </c>
      <c r="F531" t="str">
        <f>_xlfn.XLOOKUP(Logs_Reseau6[[#This Row],[Cell_ID]],Registre[ID_Antenne],Registre[Province_RDC],"Non Trouvée")</f>
        <v>Lualaba</v>
      </c>
      <c r="G531" t="str">
        <f>_xlfn.XLOOKUP(Logs_Reseau6[[#This Row],[Province]],Clients_Churn[Province_Client],Clients_Churn[ID_Client],"Aucun")</f>
        <v>CLI-00334</v>
      </c>
      <c r="H531" t="str">
        <f>_xlfn.XLOOKUP(Logs_Reseau6[[#This Row],[Cell_ID]],Registre[ID_Antenne],Registre[Technologie],"Rien à signaler")</f>
        <v>4G</v>
      </c>
      <c r="I531" t="str">
        <f>_xlfn.XLOOKUP(Logs_Reseau6[[#This Row],[Cell_ID]],Registre[ID_Antenne],Registre[Equipementier],"Non Trouvée")</f>
        <v>Ericsson</v>
      </c>
      <c r="J531" t="str">
        <f>_xlfn.XLOOKUP(Logs_Reseau6[[#This Row],[Id_Client]],Clients_Churn[ID_Client],Clients_Churn[Type_Forfait],"Pas d'information")</f>
        <v>Pro Monde</v>
      </c>
      <c r="K531" s="5" t="str">
        <f>IF(Logs_Reseau6[[#This Row],[Type_Forfait]]="Pro Monde","B2B","B2C")</f>
        <v>B2B</v>
      </c>
      <c r="L531" s="5">
        <f>_xlfn.XLOOKUP(Logs_Reseau6[[#This Row],[Id_Client]],Clients_Churn[ID_Client],Clients_Churn[Duree_Cumulee_Panne_Min],"Non Trouvée")</f>
        <v>214</v>
      </c>
      <c r="M531" s="5">
        <f>_xlfn.XLOOKUP(Logs_Reseau6[[#This Row],[Id_Client]],Clients_Churn[ID_Client],Clients_Churn[Anciennete_Mois],"Rien à signaler")</f>
        <v>16</v>
      </c>
      <c r="N531" s="11">
        <f>Logs_Reseau6[[#This Row],[Anciennette]]/24</f>
        <v>0.66666666666666663</v>
      </c>
      <c r="O531" s="1">
        <f>Logs_Reseau6[[#This Row],[Duree_Cumulée_Panne]]/1440</f>
        <v>0.14861111111111111</v>
      </c>
      <c r="P53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32" spans="1:16" x14ac:dyDescent="0.25">
      <c r="A532" s="2">
        <v>45223</v>
      </c>
      <c r="B532" s="1">
        <v>0.99097222222222225</v>
      </c>
      <c r="C532" t="s">
        <v>1031</v>
      </c>
      <c r="D532">
        <v>23</v>
      </c>
      <c r="E532" t="s">
        <v>1300</v>
      </c>
      <c r="F532" t="str">
        <f>_xlfn.XLOOKUP(Logs_Reseau6[[#This Row],[Cell_ID]],Registre[ID_Antenne],Registre[Province_RDC],"Non Trouvée")</f>
        <v>Sankuru</v>
      </c>
      <c r="G532" t="str">
        <f>_xlfn.XLOOKUP(Logs_Reseau6[[#This Row],[Province]],Clients_Churn[Province_Client],Clients_Churn[ID_Client],"Aucun")</f>
        <v>CLI-00197</v>
      </c>
      <c r="H532" t="str">
        <f>_xlfn.XLOOKUP(Logs_Reseau6[[#This Row],[Cell_ID]],Registre[ID_Antenne],Registre[Technologie],"Rien à signaler")</f>
        <v>5G</v>
      </c>
      <c r="I532" t="str">
        <f>_xlfn.XLOOKUP(Logs_Reseau6[[#This Row],[Cell_ID]],Registre[ID_Antenne],Registre[Equipementier],"Non Trouvée")</f>
        <v>Nokia</v>
      </c>
      <c r="J532" t="str">
        <f>_xlfn.XLOOKUP(Logs_Reseau6[[#This Row],[Id_Client]],Clients_Churn[ID_Client],Clients_Churn[Type_Forfait],"Pas d'information")</f>
        <v>Illimité 50Go</v>
      </c>
      <c r="K532" s="5" t="str">
        <f>IF(Logs_Reseau6[[#This Row],[Type_Forfait]]="Pro Monde","B2B","B2C")</f>
        <v>B2C</v>
      </c>
      <c r="L532" s="5">
        <f>_xlfn.XLOOKUP(Logs_Reseau6[[#This Row],[Id_Client]],Clients_Churn[ID_Client],Clients_Churn[Duree_Cumulee_Panne_Min],"Non Trouvée")</f>
        <v>84</v>
      </c>
      <c r="M532" s="5">
        <f>_xlfn.XLOOKUP(Logs_Reseau6[[#This Row],[Id_Client]],Clients_Churn[ID_Client],Clients_Churn[Anciennete_Mois],"Rien à signaler")</f>
        <v>109</v>
      </c>
      <c r="N532" s="11">
        <f>Logs_Reseau6[[#This Row],[Anciennette]]/24</f>
        <v>4.541666666666667</v>
      </c>
      <c r="O532" s="1">
        <f>Logs_Reseau6[[#This Row],[Duree_Cumulée_Panne]]/1440</f>
        <v>5.8333333333333334E-2</v>
      </c>
      <c r="P53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33" spans="1:16" hidden="1" x14ac:dyDescent="0.25">
      <c r="A533" s="2">
        <v>45201</v>
      </c>
      <c r="B533" s="1">
        <v>0.64097222222222228</v>
      </c>
      <c r="C533" t="s">
        <v>1328</v>
      </c>
      <c r="D533">
        <v>86</v>
      </c>
      <c r="E533" t="s">
        <v>1305</v>
      </c>
      <c r="F533" t="str">
        <f>_xlfn.XLOOKUP(Logs_Reseau6[[#This Row],[Cell_ID]],Registre[ID_Antenne],Registre[Province_RDC],"Non Trouvée")</f>
        <v>Non Trouvée</v>
      </c>
      <c r="G533" t="str">
        <f>_xlfn.XLOOKUP(Logs_Reseau6[[#This Row],[Province]],Clients_Churn[Province_Client],Clients_Churn[ID_Client],"Aucun")</f>
        <v>Aucun</v>
      </c>
      <c r="H533" t="str">
        <f>_xlfn.XLOOKUP(Logs_Reseau6[[#This Row],[Cell_ID]],Registre[ID_Antenne],Registre[Technologie],"Rien à signaler")</f>
        <v>Rien à signaler</v>
      </c>
      <c r="I533" t="str">
        <f>_xlfn.XLOOKUP(Logs_Reseau6[[#This Row],[Cell_ID]],Registre[ID_Antenne],Registre[Equipementier],"Non Trouvée")</f>
        <v>Non Trouvée</v>
      </c>
      <c r="J533" t="str">
        <f>_xlfn.XLOOKUP(Logs_Reseau6[[#This Row],[Id_Client]],Clients_Churn[ID_Client],Clients_Churn[Type_Forfait],"Pas d'information")</f>
        <v>Pas d'information</v>
      </c>
      <c r="K533" s="5" t="str">
        <f>IF(Logs_Reseau6[[#This Row],[Type_Forfait]]="Pro Monde","B2B","B2C")</f>
        <v>B2C</v>
      </c>
      <c r="L533" s="5" t="str">
        <f>_xlfn.XLOOKUP(Logs_Reseau6[[#This Row],[Id_Client]],Clients_Churn[ID_Client],Clients_Churn[Duree_Cumulee_Panne_Min],"Non Trouvée")</f>
        <v>Non Trouvée</v>
      </c>
      <c r="M533" s="5" t="str">
        <f>_xlfn.XLOOKUP(Logs_Reseau6[[#This Row],[Id_Client]],Clients_Churn[ID_Client],Clients_Churn[Anciennete_Mois],"Rien à signaler")</f>
        <v>Rien à signaler</v>
      </c>
      <c r="N533" s="5" t="e">
        <f>Logs_Reseau6[[#This Row],[Anciennette]]/24</f>
        <v>#VALUE!</v>
      </c>
      <c r="O533" s="5" t="e">
        <f>Logs_Reseau6[[#This Row],[Duree_Cumulée_Panne]]/1440</f>
        <v>#VALUE!</v>
      </c>
      <c r="P53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34" spans="1:16" hidden="1" x14ac:dyDescent="0.25">
      <c r="A534" s="2">
        <v>45203</v>
      </c>
      <c r="B534" s="1">
        <v>0.89375000000000004</v>
      </c>
      <c r="C534" t="s">
        <v>1328</v>
      </c>
      <c r="D534">
        <v>32</v>
      </c>
      <c r="E534" t="s">
        <v>1300</v>
      </c>
      <c r="F534" t="str">
        <f>_xlfn.XLOOKUP(Logs_Reseau6[[#This Row],[Cell_ID]],Registre[ID_Antenne],Registre[Province_RDC],"Non Trouvée")</f>
        <v>Non Trouvée</v>
      </c>
      <c r="G534" t="str">
        <f>_xlfn.XLOOKUP(Logs_Reseau6[[#This Row],[Province]],Clients_Churn[Province_Client],Clients_Churn[ID_Client],"Aucun")</f>
        <v>Aucun</v>
      </c>
      <c r="H534" t="str">
        <f>_xlfn.XLOOKUP(Logs_Reseau6[[#This Row],[Cell_ID]],Registre[ID_Antenne],Registre[Technologie],"Rien à signaler")</f>
        <v>Rien à signaler</v>
      </c>
      <c r="I534" t="str">
        <f>_xlfn.XLOOKUP(Logs_Reseau6[[#This Row],[Cell_ID]],Registre[ID_Antenne],Registre[Equipementier],"Non Trouvée")</f>
        <v>Non Trouvée</v>
      </c>
      <c r="J534" t="str">
        <f>_xlfn.XLOOKUP(Logs_Reseau6[[#This Row],[Id_Client]],Clients_Churn[ID_Client],Clients_Churn[Type_Forfait],"Pas d'information")</f>
        <v>Pas d'information</v>
      </c>
      <c r="K534" s="5" t="str">
        <f>IF(Logs_Reseau6[[#This Row],[Type_Forfait]]="Pro Monde","B2B","B2C")</f>
        <v>B2C</v>
      </c>
      <c r="L534" s="5" t="str">
        <f>_xlfn.XLOOKUP(Logs_Reseau6[[#This Row],[Id_Client]],Clients_Churn[ID_Client],Clients_Churn[Duree_Cumulee_Panne_Min],"Non Trouvée")</f>
        <v>Non Trouvée</v>
      </c>
      <c r="M534" s="5" t="str">
        <f>_xlfn.XLOOKUP(Logs_Reseau6[[#This Row],[Id_Client]],Clients_Churn[ID_Client],Clients_Churn[Anciennete_Mois],"Rien à signaler")</f>
        <v>Rien à signaler</v>
      </c>
      <c r="N534" s="5" t="e">
        <f>Logs_Reseau6[[#This Row],[Anciennette]]/24</f>
        <v>#VALUE!</v>
      </c>
      <c r="O534" s="5" t="e">
        <f>Logs_Reseau6[[#This Row],[Duree_Cumulée_Panne]]/1440</f>
        <v>#VALUE!</v>
      </c>
      <c r="P53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35" spans="1:16" hidden="1" x14ac:dyDescent="0.25">
      <c r="A535" s="2">
        <v>45208</v>
      </c>
      <c r="B535" s="1">
        <v>0.17222222222222222</v>
      </c>
      <c r="C535" t="s">
        <v>1328</v>
      </c>
      <c r="D535">
        <v>87</v>
      </c>
      <c r="E535" t="s">
        <v>1300</v>
      </c>
      <c r="F535" t="str">
        <f>_xlfn.XLOOKUP(Logs_Reseau6[[#This Row],[Cell_ID]],Registre[ID_Antenne],Registre[Province_RDC],"Non Trouvée")</f>
        <v>Non Trouvée</v>
      </c>
      <c r="G535" t="str">
        <f>_xlfn.XLOOKUP(Logs_Reseau6[[#This Row],[Province]],Clients_Churn[Province_Client],Clients_Churn[ID_Client],"Aucun")</f>
        <v>Aucun</v>
      </c>
      <c r="H535" t="str">
        <f>_xlfn.XLOOKUP(Logs_Reseau6[[#This Row],[Cell_ID]],Registre[ID_Antenne],Registre[Technologie],"Rien à signaler")</f>
        <v>Rien à signaler</v>
      </c>
      <c r="I535" t="str">
        <f>_xlfn.XLOOKUP(Logs_Reseau6[[#This Row],[Cell_ID]],Registre[ID_Antenne],Registre[Equipementier],"Non Trouvée")</f>
        <v>Non Trouvée</v>
      </c>
      <c r="J535" t="str">
        <f>_xlfn.XLOOKUP(Logs_Reseau6[[#This Row],[Id_Client]],Clients_Churn[ID_Client],Clients_Churn[Type_Forfait],"Pas d'information")</f>
        <v>Pas d'information</v>
      </c>
      <c r="K535" s="5" t="str">
        <f>IF(Logs_Reseau6[[#This Row],[Type_Forfait]]="Pro Monde","B2B","B2C")</f>
        <v>B2C</v>
      </c>
      <c r="L535" s="5" t="str">
        <f>_xlfn.XLOOKUP(Logs_Reseau6[[#This Row],[Id_Client]],Clients_Churn[ID_Client],Clients_Churn[Duree_Cumulee_Panne_Min],"Non Trouvée")</f>
        <v>Non Trouvée</v>
      </c>
      <c r="M535" s="5" t="str">
        <f>_xlfn.XLOOKUP(Logs_Reseau6[[#This Row],[Id_Client]],Clients_Churn[ID_Client],Clients_Churn[Anciennete_Mois],"Rien à signaler")</f>
        <v>Rien à signaler</v>
      </c>
      <c r="N535" s="5" t="e">
        <f>Logs_Reseau6[[#This Row],[Anciennette]]/24</f>
        <v>#VALUE!</v>
      </c>
      <c r="O535" s="5" t="e">
        <f>Logs_Reseau6[[#This Row],[Duree_Cumulée_Panne]]/1440</f>
        <v>#VALUE!</v>
      </c>
      <c r="P53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36" spans="1:16" hidden="1" x14ac:dyDescent="0.25">
      <c r="A536" s="2">
        <v>45229</v>
      </c>
      <c r="B536" s="1">
        <v>0.75138888888888888</v>
      </c>
      <c r="C536" t="s">
        <v>1328</v>
      </c>
      <c r="D536">
        <v>70</v>
      </c>
      <c r="E536" t="s">
        <v>1300</v>
      </c>
      <c r="F536" t="str">
        <f>_xlfn.XLOOKUP(Logs_Reseau6[[#This Row],[Cell_ID]],Registre[ID_Antenne],Registre[Province_RDC],"Non Trouvée")</f>
        <v>Non Trouvée</v>
      </c>
      <c r="G536" t="str">
        <f>_xlfn.XLOOKUP(Logs_Reseau6[[#This Row],[Province]],Clients_Churn[Province_Client],Clients_Churn[ID_Client],"Aucun")</f>
        <v>Aucun</v>
      </c>
      <c r="H536" t="str">
        <f>_xlfn.XLOOKUP(Logs_Reseau6[[#This Row],[Cell_ID]],Registre[ID_Antenne],Registre[Technologie],"Rien à signaler")</f>
        <v>Rien à signaler</v>
      </c>
      <c r="I536" t="str">
        <f>_xlfn.XLOOKUP(Logs_Reseau6[[#This Row],[Cell_ID]],Registre[ID_Antenne],Registre[Equipementier],"Non Trouvée")</f>
        <v>Non Trouvée</v>
      </c>
      <c r="J536" t="str">
        <f>_xlfn.XLOOKUP(Logs_Reseau6[[#This Row],[Id_Client]],Clients_Churn[ID_Client],Clients_Churn[Type_Forfait],"Pas d'information")</f>
        <v>Pas d'information</v>
      </c>
      <c r="K536" s="5" t="str">
        <f>IF(Logs_Reseau6[[#This Row],[Type_Forfait]]="Pro Monde","B2B","B2C")</f>
        <v>B2C</v>
      </c>
      <c r="L536" s="5" t="str">
        <f>_xlfn.XLOOKUP(Logs_Reseau6[[#This Row],[Id_Client]],Clients_Churn[ID_Client],Clients_Churn[Duree_Cumulee_Panne_Min],"Non Trouvée")</f>
        <v>Non Trouvée</v>
      </c>
      <c r="M536" s="5" t="str">
        <f>_xlfn.XLOOKUP(Logs_Reseau6[[#This Row],[Id_Client]],Clients_Churn[ID_Client],Clients_Churn[Anciennete_Mois],"Rien à signaler")</f>
        <v>Rien à signaler</v>
      </c>
      <c r="N536" s="5" t="e">
        <f>Logs_Reseau6[[#This Row],[Anciennette]]/24</f>
        <v>#VALUE!</v>
      </c>
      <c r="O536" s="5" t="e">
        <f>Logs_Reseau6[[#This Row],[Duree_Cumulée_Panne]]/1440</f>
        <v>#VALUE!</v>
      </c>
      <c r="P53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37" spans="1:16" x14ac:dyDescent="0.25">
      <c r="A537" s="2">
        <v>45208</v>
      </c>
      <c r="B537" s="1">
        <v>7.3611111111111113E-2</v>
      </c>
      <c r="C537" t="s">
        <v>818</v>
      </c>
      <c r="D537">
        <v>85</v>
      </c>
      <c r="E537" t="s">
        <v>1303</v>
      </c>
      <c r="F537" t="str">
        <f>_xlfn.XLOOKUP(Logs_Reseau6[[#This Row],[Cell_ID]],Registre[ID_Antenne],Registre[Province_RDC],"Non Trouvée")</f>
        <v>Lomami</v>
      </c>
      <c r="G537" t="str">
        <f>_xlfn.XLOOKUP(Logs_Reseau6[[#This Row],[Province]],Clients_Churn[Province_Client],Clients_Churn[ID_Client],"Aucun")</f>
        <v>CLI-00044</v>
      </c>
      <c r="H537" t="str">
        <f>_xlfn.XLOOKUP(Logs_Reseau6[[#This Row],[Cell_ID]],Registre[ID_Antenne],Registre[Technologie],"Rien à signaler")</f>
        <v>4G</v>
      </c>
      <c r="I537" t="str">
        <f>_xlfn.XLOOKUP(Logs_Reseau6[[#This Row],[Cell_ID]],Registre[ID_Antenne],Registre[Equipementier],"Non Trouvée")</f>
        <v>Huawei</v>
      </c>
      <c r="J537" t="str">
        <f>_xlfn.XLOOKUP(Logs_Reseau6[[#This Row],[Id_Client]],Clients_Churn[ID_Client],Clients_Churn[Type_Forfait],"Pas d'information")</f>
        <v>Illimité 50Go</v>
      </c>
      <c r="K537" s="5" t="str">
        <f>IF(Logs_Reseau6[[#This Row],[Type_Forfait]]="Pro Monde","B2B","B2C")</f>
        <v>B2C</v>
      </c>
      <c r="L537" s="5">
        <f>_xlfn.XLOOKUP(Logs_Reseau6[[#This Row],[Id_Client]],Clients_Churn[ID_Client],Clients_Churn[Duree_Cumulee_Panne_Min],"Non Trouvée")</f>
        <v>345</v>
      </c>
      <c r="M537" s="5">
        <f>_xlfn.XLOOKUP(Logs_Reseau6[[#This Row],[Id_Client]],Clients_Churn[ID_Client],Clients_Churn[Anciennete_Mois],"Rien à signaler")</f>
        <v>53</v>
      </c>
      <c r="N537" s="11">
        <f>Logs_Reseau6[[#This Row],[Anciennette]]/24</f>
        <v>2.2083333333333335</v>
      </c>
      <c r="O537" s="1">
        <f>Logs_Reseau6[[#This Row],[Duree_Cumulée_Panne]]/1440</f>
        <v>0.23958333333333334</v>
      </c>
      <c r="P53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38" spans="1:16" x14ac:dyDescent="0.25">
      <c r="A538" s="2">
        <v>45218</v>
      </c>
      <c r="B538" s="1">
        <v>0.36875000000000002</v>
      </c>
      <c r="C538" t="s">
        <v>818</v>
      </c>
      <c r="D538">
        <v>70</v>
      </c>
      <c r="E538" t="s">
        <v>1300</v>
      </c>
      <c r="F538" t="str">
        <f>_xlfn.XLOOKUP(Logs_Reseau6[[#This Row],[Cell_ID]],Registre[ID_Antenne],Registre[Province_RDC],"Non Trouvée")</f>
        <v>Lomami</v>
      </c>
      <c r="G538" t="str">
        <f>_xlfn.XLOOKUP(Logs_Reseau6[[#This Row],[Province]],Clients_Churn[Province_Client],Clients_Churn[ID_Client],"Aucun")</f>
        <v>CLI-00044</v>
      </c>
      <c r="H538" t="str">
        <f>_xlfn.XLOOKUP(Logs_Reseau6[[#This Row],[Cell_ID]],Registre[ID_Antenne],Registre[Technologie],"Rien à signaler")</f>
        <v>4G</v>
      </c>
      <c r="I538" t="str">
        <f>_xlfn.XLOOKUP(Logs_Reseau6[[#This Row],[Cell_ID]],Registre[ID_Antenne],Registre[Equipementier],"Non Trouvée")</f>
        <v>Huawei</v>
      </c>
      <c r="J538" t="str">
        <f>_xlfn.XLOOKUP(Logs_Reseau6[[#This Row],[Id_Client]],Clients_Churn[ID_Client],Clients_Churn[Type_Forfait],"Pas d'information")</f>
        <v>Illimité 50Go</v>
      </c>
      <c r="K538" s="5" t="str">
        <f>IF(Logs_Reseau6[[#This Row],[Type_Forfait]]="Pro Monde","B2B","B2C")</f>
        <v>B2C</v>
      </c>
      <c r="L538" s="5">
        <f>_xlfn.XLOOKUP(Logs_Reseau6[[#This Row],[Id_Client]],Clients_Churn[ID_Client],Clients_Churn[Duree_Cumulee_Panne_Min],"Non Trouvée")</f>
        <v>345</v>
      </c>
      <c r="M538" s="5">
        <f>_xlfn.XLOOKUP(Logs_Reseau6[[#This Row],[Id_Client]],Clients_Churn[ID_Client],Clients_Churn[Anciennete_Mois],"Rien à signaler")</f>
        <v>53</v>
      </c>
      <c r="N538" s="11">
        <f>Logs_Reseau6[[#This Row],[Anciennette]]/24</f>
        <v>2.2083333333333335</v>
      </c>
      <c r="O538" s="1">
        <f>Logs_Reseau6[[#This Row],[Duree_Cumulée_Panne]]/1440</f>
        <v>0.23958333333333334</v>
      </c>
      <c r="P53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39" spans="1:16" x14ac:dyDescent="0.25">
      <c r="A539" s="2">
        <v>45214</v>
      </c>
      <c r="B539" s="1">
        <v>0.23541666666666666</v>
      </c>
      <c r="C539" t="s">
        <v>1132</v>
      </c>
      <c r="D539">
        <v>33</v>
      </c>
      <c r="E539" t="s">
        <v>1300</v>
      </c>
      <c r="F539" t="str">
        <f>_xlfn.XLOOKUP(Logs_Reseau6[[#This Row],[Cell_ID]],Registre[ID_Antenne],Registre[Province_RDC],"Non Trouvée")</f>
        <v>Maniema</v>
      </c>
      <c r="G539" t="str">
        <f>_xlfn.XLOOKUP(Logs_Reseau6[[#This Row],[Province]],Clients_Churn[Province_Client],Clients_Churn[ID_Client],"Aucun")</f>
        <v>CLI-00039</v>
      </c>
      <c r="H539" t="str">
        <f>_xlfn.XLOOKUP(Logs_Reseau6[[#This Row],[Cell_ID]],Registre[ID_Antenne],Registre[Technologie],"Rien à signaler")</f>
        <v>4G</v>
      </c>
      <c r="I539" t="str">
        <f>_xlfn.XLOOKUP(Logs_Reseau6[[#This Row],[Cell_ID]],Registre[ID_Antenne],Registre[Equipementier],"Non Trouvée")</f>
        <v>Ericsson</v>
      </c>
      <c r="J539" t="str">
        <f>_xlfn.XLOOKUP(Logs_Reseau6[[#This Row],[Id_Client]],Clients_Churn[ID_Client],Clients_Churn[Type_Forfait],"Pas d'information")</f>
        <v>Pro Monde</v>
      </c>
      <c r="K539" s="5" t="str">
        <f>IF(Logs_Reseau6[[#This Row],[Type_Forfait]]="Pro Monde","B2B","B2C")</f>
        <v>B2B</v>
      </c>
      <c r="L539" s="5">
        <f>_xlfn.XLOOKUP(Logs_Reseau6[[#This Row],[Id_Client]],Clients_Churn[ID_Client],Clients_Churn[Duree_Cumulee_Panne_Min],"Non Trouvée")</f>
        <v>31</v>
      </c>
      <c r="M539" s="5">
        <f>_xlfn.XLOOKUP(Logs_Reseau6[[#This Row],[Id_Client]],Clients_Churn[ID_Client],Clients_Churn[Anciennete_Mois],"Rien à signaler")</f>
        <v>119</v>
      </c>
      <c r="N539" s="11">
        <f>Logs_Reseau6[[#This Row],[Anciennette]]/24</f>
        <v>4.958333333333333</v>
      </c>
      <c r="O539" s="1">
        <f>Logs_Reseau6[[#This Row],[Duree_Cumulée_Panne]]/1440</f>
        <v>2.1527777777777778E-2</v>
      </c>
      <c r="P53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40" spans="1:16" hidden="1" x14ac:dyDescent="0.25">
      <c r="A540" s="2">
        <v>45218</v>
      </c>
      <c r="B540" s="1">
        <v>0.65972222222222221</v>
      </c>
      <c r="C540" t="s">
        <v>1543</v>
      </c>
      <c r="D540">
        <v>24</v>
      </c>
      <c r="E540" t="s">
        <v>1300</v>
      </c>
      <c r="F540" t="str">
        <f>_xlfn.XLOOKUP(Logs_Reseau6[[#This Row],[Cell_ID]],Registre[ID_Antenne],Registre[Province_RDC],"Non Trouvée")</f>
        <v>Non Trouvée</v>
      </c>
      <c r="G540" t="str">
        <f>_xlfn.XLOOKUP(Logs_Reseau6[[#This Row],[Province]],Clients_Churn[Province_Client],Clients_Churn[ID_Client],"Aucun")</f>
        <v>Aucun</v>
      </c>
      <c r="H540" t="str">
        <f>_xlfn.XLOOKUP(Logs_Reseau6[[#This Row],[Cell_ID]],Registre[ID_Antenne],Registre[Technologie],"Rien à signaler")</f>
        <v>Rien à signaler</v>
      </c>
      <c r="I540" t="str">
        <f>_xlfn.XLOOKUP(Logs_Reseau6[[#This Row],[Cell_ID]],Registre[ID_Antenne],Registre[Equipementier],"Non Trouvée")</f>
        <v>Non Trouvée</v>
      </c>
      <c r="J540" t="str">
        <f>_xlfn.XLOOKUP(Logs_Reseau6[[#This Row],[Id_Client]],Clients_Churn[ID_Client],Clients_Churn[Type_Forfait],"Pas d'information")</f>
        <v>Pas d'information</v>
      </c>
      <c r="K540" s="5" t="str">
        <f>IF(Logs_Reseau6[[#This Row],[Type_Forfait]]="Pro Monde","B2B","B2C")</f>
        <v>B2C</v>
      </c>
      <c r="L540" s="5" t="str">
        <f>_xlfn.XLOOKUP(Logs_Reseau6[[#This Row],[Id_Client]],Clients_Churn[ID_Client],Clients_Churn[Duree_Cumulee_Panne_Min],"Non Trouvée")</f>
        <v>Non Trouvée</v>
      </c>
      <c r="M540" s="5" t="str">
        <f>_xlfn.XLOOKUP(Logs_Reseau6[[#This Row],[Id_Client]],Clients_Churn[ID_Client],Clients_Churn[Anciennete_Mois],"Rien à signaler")</f>
        <v>Rien à signaler</v>
      </c>
      <c r="N540" s="5" t="e">
        <f>Logs_Reseau6[[#This Row],[Anciennette]]/24</f>
        <v>#VALUE!</v>
      </c>
      <c r="O540" s="5" t="e">
        <f>Logs_Reseau6[[#This Row],[Duree_Cumulée_Panne]]/1440</f>
        <v>#VALUE!</v>
      </c>
      <c r="P54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41" spans="1:16" x14ac:dyDescent="0.25">
      <c r="A541" s="2">
        <v>45207</v>
      </c>
      <c r="B541" s="1">
        <v>0.52638888888888891</v>
      </c>
      <c r="C541" t="s">
        <v>851</v>
      </c>
      <c r="D541">
        <v>78</v>
      </c>
      <c r="E541" t="s">
        <v>1305</v>
      </c>
      <c r="F541" t="str">
        <f>_xlfn.XLOOKUP(Logs_Reseau6[[#This Row],[Cell_ID]],Registre[ID_Antenne],Registre[Province_RDC],"Non Trouvée")</f>
        <v>Haut-Katanga</v>
      </c>
      <c r="G541" t="str">
        <f>_xlfn.XLOOKUP(Logs_Reseau6[[#This Row],[Province]],Clients_Churn[Province_Client],Clients_Churn[ID_Client],"Aucun")</f>
        <v>CLI-00059</v>
      </c>
      <c r="H541" t="str">
        <f>_xlfn.XLOOKUP(Logs_Reseau6[[#This Row],[Cell_ID]],Registre[ID_Antenne],Registre[Technologie],"Rien à signaler")</f>
        <v>3G</v>
      </c>
      <c r="I541" t="str">
        <f>_xlfn.XLOOKUP(Logs_Reseau6[[#This Row],[Cell_ID]],Registre[ID_Antenne],Registre[Equipementier],"Non Trouvée")</f>
        <v>Ericsson</v>
      </c>
      <c r="J541" t="str">
        <f>_xlfn.XLOOKUP(Logs_Reseau6[[#This Row],[Id_Client]],Clients_Churn[ID_Client],Clients_Churn[Type_Forfait],"Pas d'information")</f>
        <v>Pro Monde</v>
      </c>
      <c r="K541" s="5" t="str">
        <f>IF(Logs_Reseau6[[#This Row],[Type_Forfait]]="Pro Monde","B2B","B2C")</f>
        <v>B2B</v>
      </c>
      <c r="L541" s="5">
        <f>_xlfn.XLOOKUP(Logs_Reseau6[[#This Row],[Id_Client]],Clients_Churn[ID_Client],Clients_Churn[Duree_Cumulee_Panne_Min],"Non Trouvée")</f>
        <v>76</v>
      </c>
      <c r="M541" s="5">
        <f>_xlfn.XLOOKUP(Logs_Reseau6[[#This Row],[Id_Client]],Clients_Churn[ID_Client],Clients_Churn[Anciennete_Mois],"Rien à signaler")</f>
        <v>69</v>
      </c>
      <c r="N541" s="11">
        <f>Logs_Reseau6[[#This Row],[Anciennette]]/24</f>
        <v>2.875</v>
      </c>
      <c r="O541" s="1">
        <f>Logs_Reseau6[[#This Row],[Duree_Cumulée_Panne]]/1440</f>
        <v>5.2777777777777778E-2</v>
      </c>
      <c r="P54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42" spans="1:16" x14ac:dyDescent="0.25">
      <c r="A542" s="2">
        <v>45202</v>
      </c>
      <c r="B542" s="1">
        <v>0.37638888888888888</v>
      </c>
      <c r="C542" t="s">
        <v>1013</v>
      </c>
      <c r="D542">
        <v>28</v>
      </c>
      <c r="E542" t="s">
        <v>1300</v>
      </c>
      <c r="F542" t="str">
        <f>_xlfn.XLOOKUP(Logs_Reseau6[[#This Row],[Cell_ID]],Registre[ID_Antenne],Registre[Province_RDC],"Non Trouvée")</f>
        <v>Kwilu</v>
      </c>
      <c r="G542" t="str">
        <f>_xlfn.XLOOKUP(Logs_Reseau6[[#This Row],[Province]],Clients_Churn[Province_Client],Clients_Churn[ID_Client],"Aucun")</f>
        <v>CLI-00009</v>
      </c>
      <c r="H542" t="str">
        <f>_xlfn.XLOOKUP(Logs_Reseau6[[#This Row],[Cell_ID]],Registre[ID_Antenne],Registre[Technologie],"Rien à signaler")</f>
        <v>4G</v>
      </c>
      <c r="I542" t="str">
        <f>_xlfn.XLOOKUP(Logs_Reseau6[[#This Row],[Cell_ID]],Registre[ID_Antenne],Registre[Equipementier],"Non Trouvée")</f>
        <v>Huawei</v>
      </c>
      <c r="J542" t="str">
        <f>_xlfn.XLOOKUP(Logs_Reseau6[[#This Row],[Id_Client]],Clients_Churn[ID_Client],Clients_Churn[Type_Forfait],"Pas d'information")</f>
        <v>Pro Monde</v>
      </c>
      <c r="K542" s="5" t="str">
        <f>IF(Logs_Reseau6[[#This Row],[Type_Forfait]]="Pro Monde","B2B","B2C")</f>
        <v>B2B</v>
      </c>
      <c r="L542" s="5">
        <f>_xlfn.XLOOKUP(Logs_Reseau6[[#This Row],[Id_Client]],Clients_Churn[ID_Client],Clients_Churn[Duree_Cumulee_Panne_Min],"Non Trouvée")</f>
        <v>297</v>
      </c>
      <c r="M542" s="5">
        <f>_xlfn.XLOOKUP(Logs_Reseau6[[#This Row],[Id_Client]],Clients_Churn[ID_Client],Clients_Churn[Anciennete_Mois],"Rien à signaler")</f>
        <v>105</v>
      </c>
      <c r="N542" s="11">
        <f>Logs_Reseau6[[#This Row],[Anciennette]]/24</f>
        <v>4.375</v>
      </c>
      <c r="O542" s="1">
        <f>Logs_Reseau6[[#This Row],[Duree_Cumulée_Panne]]/1440</f>
        <v>0.20624999999999999</v>
      </c>
      <c r="P54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43" spans="1:16" x14ac:dyDescent="0.25">
      <c r="A543" s="2">
        <v>45203</v>
      </c>
      <c r="B543" s="1">
        <v>0.52222222222222225</v>
      </c>
      <c r="C543" t="s">
        <v>1013</v>
      </c>
      <c r="D543">
        <v>11</v>
      </c>
      <c r="E543" t="s">
        <v>1303</v>
      </c>
      <c r="F543" t="str">
        <f>_xlfn.XLOOKUP(Logs_Reseau6[[#This Row],[Cell_ID]],Registre[ID_Antenne],Registre[Province_RDC],"Non Trouvée")</f>
        <v>Kwilu</v>
      </c>
      <c r="G543" t="str">
        <f>_xlfn.XLOOKUP(Logs_Reseau6[[#This Row],[Province]],Clients_Churn[Province_Client],Clients_Churn[ID_Client],"Aucun")</f>
        <v>CLI-00009</v>
      </c>
      <c r="H543" t="str">
        <f>_xlfn.XLOOKUP(Logs_Reseau6[[#This Row],[Cell_ID]],Registre[ID_Antenne],Registre[Technologie],"Rien à signaler")</f>
        <v>4G</v>
      </c>
      <c r="I543" t="str">
        <f>_xlfn.XLOOKUP(Logs_Reseau6[[#This Row],[Cell_ID]],Registre[ID_Antenne],Registre[Equipementier],"Non Trouvée")</f>
        <v>Huawei</v>
      </c>
      <c r="J543" t="str">
        <f>_xlfn.XLOOKUP(Logs_Reseau6[[#This Row],[Id_Client]],Clients_Churn[ID_Client],Clients_Churn[Type_Forfait],"Pas d'information")</f>
        <v>Pro Monde</v>
      </c>
      <c r="K543" s="5" t="str">
        <f>IF(Logs_Reseau6[[#This Row],[Type_Forfait]]="Pro Monde","B2B","B2C")</f>
        <v>B2B</v>
      </c>
      <c r="L543" s="5">
        <f>_xlfn.XLOOKUP(Logs_Reseau6[[#This Row],[Id_Client]],Clients_Churn[ID_Client],Clients_Churn[Duree_Cumulee_Panne_Min],"Non Trouvée")</f>
        <v>297</v>
      </c>
      <c r="M543" s="5">
        <f>_xlfn.XLOOKUP(Logs_Reseau6[[#This Row],[Id_Client]],Clients_Churn[ID_Client],Clients_Churn[Anciennete_Mois],"Rien à signaler")</f>
        <v>105</v>
      </c>
      <c r="N543" s="11">
        <f>Logs_Reseau6[[#This Row],[Anciennette]]/24</f>
        <v>4.375</v>
      </c>
      <c r="O543" s="1">
        <f>Logs_Reseau6[[#This Row],[Duree_Cumulée_Panne]]/1440</f>
        <v>0.20624999999999999</v>
      </c>
      <c r="P54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44" spans="1:16" x14ac:dyDescent="0.25">
      <c r="A544" s="2">
        <v>45212</v>
      </c>
      <c r="B544" s="1">
        <v>0.44722222222222224</v>
      </c>
      <c r="C544" t="s">
        <v>1013</v>
      </c>
      <c r="D544">
        <v>88</v>
      </c>
      <c r="E544" t="s">
        <v>1303</v>
      </c>
      <c r="F544" t="str">
        <f>_xlfn.XLOOKUP(Logs_Reseau6[[#This Row],[Cell_ID]],Registre[ID_Antenne],Registre[Province_RDC],"Non Trouvée")</f>
        <v>Kwilu</v>
      </c>
      <c r="G544" t="str">
        <f>_xlfn.XLOOKUP(Logs_Reseau6[[#This Row],[Province]],Clients_Churn[Province_Client],Clients_Churn[ID_Client],"Aucun")</f>
        <v>CLI-00009</v>
      </c>
      <c r="H544" t="str">
        <f>_xlfn.XLOOKUP(Logs_Reseau6[[#This Row],[Cell_ID]],Registre[ID_Antenne],Registre[Technologie],"Rien à signaler")</f>
        <v>4G</v>
      </c>
      <c r="I544" t="str">
        <f>_xlfn.XLOOKUP(Logs_Reseau6[[#This Row],[Cell_ID]],Registre[ID_Antenne],Registre[Equipementier],"Non Trouvée")</f>
        <v>Huawei</v>
      </c>
      <c r="J544" t="str">
        <f>_xlfn.XLOOKUP(Logs_Reseau6[[#This Row],[Id_Client]],Clients_Churn[ID_Client],Clients_Churn[Type_Forfait],"Pas d'information")</f>
        <v>Pro Monde</v>
      </c>
      <c r="K544" s="5" t="str">
        <f>IF(Logs_Reseau6[[#This Row],[Type_Forfait]]="Pro Monde","B2B","B2C")</f>
        <v>B2B</v>
      </c>
      <c r="L544" s="5">
        <f>_xlfn.XLOOKUP(Logs_Reseau6[[#This Row],[Id_Client]],Clients_Churn[ID_Client],Clients_Churn[Duree_Cumulee_Panne_Min],"Non Trouvée")</f>
        <v>297</v>
      </c>
      <c r="M544" s="5">
        <f>_xlfn.XLOOKUP(Logs_Reseau6[[#This Row],[Id_Client]],Clients_Churn[ID_Client],Clients_Churn[Anciennete_Mois],"Rien à signaler")</f>
        <v>105</v>
      </c>
      <c r="N544" s="11">
        <f>Logs_Reseau6[[#This Row],[Anciennette]]/24</f>
        <v>4.375</v>
      </c>
      <c r="O544" s="1">
        <f>Logs_Reseau6[[#This Row],[Duree_Cumulée_Panne]]/1440</f>
        <v>0.20624999999999999</v>
      </c>
      <c r="P54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45" spans="1:16" x14ac:dyDescent="0.25">
      <c r="A545" s="2">
        <v>45220</v>
      </c>
      <c r="B545" s="1">
        <v>0.15902777777777777</v>
      </c>
      <c r="C545" t="s">
        <v>1217</v>
      </c>
      <c r="D545">
        <v>60</v>
      </c>
      <c r="E545" t="s">
        <v>1305</v>
      </c>
      <c r="F545" t="str">
        <f>_xlfn.XLOOKUP(Logs_Reseau6[[#This Row],[Cell_ID]],Registre[ID_Antenne],Registre[Province_RDC],"Non Trouvée")</f>
        <v>Tshopo</v>
      </c>
      <c r="G545" t="str">
        <f>_xlfn.XLOOKUP(Logs_Reseau6[[#This Row],[Province]],Clients_Churn[Province_Client],Clients_Churn[ID_Client],"Aucun")</f>
        <v>CLI-00100</v>
      </c>
      <c r="H545" t="str">
        <f>_xlfn.XLOOKUP(Logs_Reseau6[[#This Row],[Cell_ID]],Registre[ID_Antenne],Registre[Technologie],"Rien à signaler")</f>
        <v>4G</v>
      </c>
      <c r="I545" t="str">
        <f>_xlfn.XLOOKUP(Logs_Reseau6[[#This Row],[Cell_ID]],Registre[ID_Antenne],Registre[Equipementier],"Non Trouvée")</f>
        <v>Huawei</v>
      </c>
      <c r="J545" t="str">
        <f>_xlfn.XLOOKUP(Logs_Reseau6[[#This Row],[Id_Client]],Clients_Churn[ID_Client],Clients_Churn[Type_Forfait],"Pas d'information")</f>
        <v>Bloqué 5Go</v>
      </c>
      <c r="K545" s="5" t="str">
        <f>IF(Logs_Reseau6[[#This Row],[Type_Forfait]]="Pro Monde","B2B","B2C")</f>
        <v>B2C</v>
      </c>
      <c r="L545" s="5">
        <f>_xlfn.XLOOKUP(Logs_Reseau6[[#This Row],[Id_Client]],Clients_Churn[ID_Client],Clients_Churn[Duree_Cumulee_Panne_Min],"Non Trouvée")</f>
        <v>388</v>
      </c>
      <c r="M545" s="5">
        <f>_xlfn.XLOOKUP(Logs_Reseau6[[#This Row],[Id_Client]],Clients_Churn[ID_Client],Clients_Churn[Anciennete_Mois],"Rien à signaler")</f>
        <v>74</v>
      </c>
      <c r="N545" s="11">
        <f>Logs_Reseau6[[#This Row],[Anciennette]]/24</f>
        <v>3.0833333333333335</v>
      </c>
      <c r="O545" s="1">
        <f>Logs_Reseau6[[#This Row],[Duree_Cumulée_Panne]]/1440</f>
        <v>0.26944444444444443</v>
      </c>
      <c r="P54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46" spans="1:16" x14ac:dyDescent="0.25">
      <c r="A546" s="2">
        <v>45218</v>
      </c>
      <c r="B546" s="1">
        <v>0.37847222222222221</v>
      </c>
      <c r="C546" t="s">
        <v>865</v>
      </c>
      <c r="D546">
        <v>102</v>
      </c>
      <c r="E546" t="s">
        <v>1300</v>
      </c>
      <c r="F546" t="str">
        <f>_xlfn.XLOOKUP(Logs_Reseau6[[#This Row],[Cell_ID]],Registre[ID_Antenne],Registre[Province_RDC],"Non Trouvée")</f>
        <v>Kasai-Central</v>
      </c>
      <c r="G546" t="str">
        <f>_xlfn.XLOOKUP(Logs_Reseau6[[#This Row],[Province]],Clients_Churn[Province_Client],Clients_Churn[ID_Client],"Aucun")</f>
        <v>CLI-00060</v>
      </c>
      <c r="H546" t="str">
        <f>_xlfn.XLOOKUP(Logs_Reseau6[[#This Row],[Cell_ID]],Registre[ID_Antenne],Registre[Technologie],"Rien à signaler")</f>
        <v>4G</v>
      </c>
      <c r="I546" t="str">
        <f>_xlfn.XLOOKUP(Logs_Reseau6[[#This Row],[Cell_ID]],Registre[ID_Antenne],Registre[Equipementier],"Non Trouvée")</f>
        <v>Ericsson</v>
      </c>
      <c r="J546" t="str">
        <f>_xlfn.XLOOKUP(Logs_Reseau6[[#This Row],[Id_Client]],Clients_Churn[ID_Client],Clients_Churn[Type_Forfait],"Pas d'information")</f>
        <v>Pro Monde</v>
      </c>
      <c r="K546" s="5" t="str">
        <f>IF(Logs_Reseau6[[#This Row],[Type_Forfait]]="Pro Monde","B2B","B2C")</f>
        <v>B2B</v>
      </c>
      <c r="L546" s="5">
        <f>_xlfn.XLOOKUP(Logs_Reseau6[[#This Row],[Id_Client]],Clients_Churn[ID_Client],Clients_Churn[Duree_Cumulee_Panne_Min],"Non Trouvée")</f>
        <v>160</v>
      </c>
      <c r="M546" s="5">
        <f>_xlfn.XLOOKUP(Logs_Reseau6[[#This Row],[Id_Client]],Clients_Churn[ID_Client],Clients_Churn[Anciennete_Mois],"Rien à signaler")</f>
        <v>72</v>
      </c>
      <c r="N546" s="11">
        <f>Logs_Reseau6[[#This Row],[Anciennette]]/24</f>
        <v>3</v>
      </c>
      <c r="O546" s="1">
        <f>Logs_Reseau6[[#This Row],[Duree_Cumulée_Panne]]/1440</f>
        <v>0.1111111111111111</v>
      </c>
      <c r="P54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47" spans="1:16" x14ac:dyDescent="0.25">
      <c r="A547" s="2">
        <v>45221</v>
      </c>
      <c r="B547" s="1">
        <v>0.77222222222222225</v>
      </c>
      <c r="C547" t="s">
        <v>865</v>
      </c>
      <c r="D547">
        <v>107</v>
      </c>
      <c r="E547" t="s">
        <v>1300</v>
      </c>
      <c r="F547" t="str">
        <f>_xlfn.XLOOKUP(Logs_Reseau6[[#This Row],[Cell_ID]],Registre[ID_Antenne],Registre[Province_RDC],"Non Trouvée")</f>
        <v>Kasai-Central</v>
      </c>
      <c r="G547" t="str">
        <f>_xlfn.XLOOKUP(Logs_Reseau6[[#This Row],[Province]],Clients_Churn[Province_Client],Clients_Churn[ID_Client],"Aucun")</f>
        <v>CLI-00060</v>
      </c>
      <c r="H547" t="str">
        <f>_xlfn.XLOOKUP(Logs_Reseau6[[#This Row],[Cell_ID]],Registre[ID_Antenne],Registre[Technologie],"Rien à signaler")</f>
        <v>4G</v>
      </c>
      <c r="I547" t="str">
        <f>_xlfn.XLOOKUP(Logs_Reseau6[[#This Row],[Cell_ID]],Registre[ID_Antenne],Registre[Equipementier],"Non Trouvée")</f>
        <v>Ericsson</v>
      </c>
      <c r="J547" t="str">
        <f>_xlfn.XLOOKUP(Logs_Reseau6[[#This Row],[Id_Client]],Clients_Churn[ID_Client],Clients_Churn[Type_Forfait],"Pas d'information")</f>
        <v>Pro Monde</v>
      </c>
      <c r="K547" s="5" t="str">
        <f>IF(Logs_Reseau6[[#This Row],[Type_Forfait]]="Pro Monde","B2B","B2C")</f>
        <v>B2B</v>
      </c>
      <c r="L547" s="5">
        <f>_xlfn.XLOOKUP(Logs_Reseau6[[#This Row],[Id_Client]],Clients_Churn[ID_Client],Clients_Churn[Duree_Cumulee_Panne_Min],"Non Trouvée")</f>
        <v>160</v>
      </c>
      <c r="M547" s="5">
        <f>_xlfn.XLOOKUP(Logs_Reseau6[[#This Row],[Id_Client]],Clients_Churn[ID_Client],Clients_Churn[Anciennete_Mois],"Rien à signaler")</f>
        <v>72</v>
      </c>
      <c r="N547" s="11">
        <f>Logs_Reseau6[[#This Row],[Anciennette]]/24</f>
        <v>3</v>
      </c>
      <c r="O547" s="1">
        <f>Logs_Reseau6[[#This Row],[Duree_Cumulée_Panne]]/1440</f>
        <v>0.1111111111111111</v>
      </c>
      <c r="P54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48" spans="1:16" hidden="1" x14ac:dyDescent="0.25">
      <c r="A548" s="2">
        <v>45211</v>
      </c>
      <c r="B548" s="1">
        <v>0.70625000000000004</v>
      </c>
      <c r="C548" t="s">
        <v>1474</v>
      </c>
      <c r="D548">
        <v>115</v>
      </c>
      <c r="E548" t="s">
        <v>1305</v>
      </c>
      <c r="F548" t="str">
        <f>_xlfn.XLOOKUP(Logs_Reseau6[[#This Row],[Cell_ID]],Registre[ID_Antenne],Registre[Province_RDC],"Non Trouvée")</f>
        <v>Non Trouvée</v>
      </c>
      <c r="G548" t="str">
        <f>_xlfn.XLOOKUP(Logs_Reseau6[[#This Row],[Province]],Clients_Churn[Province_Client],Clients_Churn[ID_Client],"Aucun")</f>
        <v>Aucun</v>
      </c>
      <c r="H548" t="str">
        <f>_xlfn.XLOOKUP(Logs_Reseau6[[#This Row],[Cell_ID]],Registre[ID_Antenne],Registre[Technologie],"Rien à signaler")</f>
        <v>Rien à signaler</v>
      </c>
      <c r="I548" t="str">
        <f>_xlfn.XLOOKUP(Logs_Reseau6[[#This Row],[Cell_ID]],Registre[ID_Antenne],Registre[Equipementier],"Non Trouvée")</f>
        <v>Non Trouvée</v>
      </c>
      <c r="J548" t="str">
        <f>_xlfn.XLOOKUP(Logs_Reseau6[[#This Row],[Id_Client]],Clients_Churn[ID_Client],Clients_Churn[Type_Forfait],"Pas d'information")</f>
        <v>Pas d'information</v>
      </c>
      <c r="K548" s="5" t="str">
        <f>IF(Logs_Reseau6[[#This Row],[Type_Forfait]]="Pro Monde","B2B","B2C")</f>
        <v>B2C</v>
      </c>
      <c r="L548" s="5" t="str">
        <f>_xlfn.XLOOKUP(Logs_Reseau6[[#This Row],[Id_Client]],Clients_Churn[ID_Client],Clients_Churn[Duree_Cumulee_Panne_Min],"Non Trouvée")</f>
        <v>Non Trouvée</v>
      </c>
      <c r="M548" s="5" t="str">
        <f>_xlfn.XLOOKUP(Logs_Reseau6[[#This Row],[Id_Client]],Clients_Churn[ID_Client],Clients_Churn[Anciennete_Mois],"Rien à signaler")</f>
        <v>Rien à signaler</v>
      </c>
      <c r="N548" s="5" t="e">
        <f>Logs_Reseau6[[#This Row],[Anciennette]]/24</f>
        <v>#VALUE!</v>
      </c>
      <c r="O548" s="5" t="e">
        <f>Logs_Reseau6[[#This Row],[Duree_Cumulée_Panne]]/1440</f>
        <v>#VALUE!</v>
      </c>
      <c r="P54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49" spans="1:16" x14ac:dyDescent="0.25">
      <c r="A549" s="2">
        <v>45230</v>
      </c>
      <c r="B549" s="1">
        <v>0.26458333333333334</v>
      </c>
      <c r="C549" t="s">
        <v>926</v>
      </c>
      <c r="D549">
        <v>62</v>
      </c>
      <c r="E549" t="s">
        <v>1300</v>
      </c>
      <c r="F549" t="str">
        <f>_xlfn.XLOOKUP(Logs_Reseau6[[#This Row],[Cell_ID]],Registre[ID_Antenne],Registre[Province_RDC],"Non Trouvée")</f>
        <v>Mongala</v>
      </c>
      <c r="G549" t="str">
        <f>_xlfn.XLOOKUP(Logs_Reseau6[[#This Row],[Province]],Clients_Churn[Province_Client],Clients_Churn[ID_Client],"Aucun")</f>
        <v>CLI-00011</v>
      </c>
      <c r="H549" t="str">
        <f>_xlfn.XLOOKUP(Logs_Reseau6[[#This Row],[Cell_ID]],Registre[ID_Antenne],Registre[Technologie],"Rien à signaler")</f>
        <v>5G</v>
      </c>
      <c r="I549" t="str">
        <f>_xlfn.XLOOKUP(Logs_Reseau6[[#This Row],[Cell_ID]],Registre[ID_Antenne],Registre[Equipementier],"Non Trouvée")</f>
        <v>Ericsson</v>
      </c>
      <c r="J549" t="str">
        <f>_xlfn.XLOOKUP(Logs_Reseau6[[#This Row],[Id_Client]],Clients_Churn[ID_Client],Clients_Churn[Type_Forfait],"Pas d'information")</f>
        <v>Illimité 50Go</v>
      </c>
      <c r="K549" s="5" t="str">
        <f>IF(Logs_Reseau6[[#This Row],[Type_Forfait]]="Pro Monde","B2B","B2C")</f>
        <v>B2C</v>
      </c>
      <c r="L549" s="5">
        <f>_xlfn.XLOOKUP(Logs_Reseau6[[#This Row],[Id_Client]],Clients_Churn[ID_Client],Clients_Churn[Duree_Cumulee_Panne_Min],"Non Trouvée")</f>
        <v>86</v>
      </c>
      <c r="M549" s="5">
        <f>_xlfn.XLOOKUP(Logs_Reseau6[[#This Row],[Id_Client]],Clients_Churn[ID_Client],Clients_Churn[Anciennete_Mois],"Rien à signaler")</f>
        <v>49</v>
      </c>
      <c r="N549" s="11">
        <f>Logs_Reseau6[[#This Row],[Anciennette]]/24</f>
        <v>2.0416666666666665</v>
      </c>
      <c r="O549" s="1">
        <f>Logs_Reseau6[[#This Row],[Duree_Cumulée_Panne]]/1440</f>
        <v>5.9722222222222225E-2</v>
      </c>
      <c r="P54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50" spans="1:16" x14ac:dyDescent="0.25">
      <c r="A550" s="2">
        <v>45204</v>
      </c>
      <c r="B550" s="1">
        <v>0.59097222222222223</v>
      </c>
      <c r="C550" t="s">
        <v>922</v>
      </c>
      <c r="D550">
        <v>108</v>
      </c>
      <c r="E550" t="s">
        <v>1303</v>
      </c>
      <c r="F550" t="str">
        <f>_xlfn.XLOOKUP(Logs_Reseau6[[#This Row],[Cell_ID]],Registre[ID_Antenne],Registre[Province_RDC],"Non Trouvée")</f>
        <v>Kwilu</v>
      </c>
      <c r="G550" t="str">
        <f>_xlfn.XLOOKUP(Logs_Reseau6[[#This Row],[Province]],Clients_Churn[Province_Client],Clients_Churn[ID_Client],"Aucun")</f>
        <v>CLI-00009</v>
      </c>
      <c r="H550" t="str">
        <f>_xlfn.XLOOKUP(Logs_Reseau6[[#This Row],[Cell_ID]],Registre[ID_Antenne],Registre[Technologie],"Rien à signaler")</f>
        <v>3G</v>
      </c>
      <c r="I550" t="str">
        <f>_xlfn.XLOOKUP(Logs_Reseau6[[#This Row],[Cell_ID]],Registre[ID_Antenne],Registre[Equipementier],"Non Trouvée")</f>
        <v>Nokia</v>
      </c>
      <c r="J550" t="str">
        <f>_xlfn.XLOOKUP(Logs_Reseau6[[#This Row],[Id_Client]],Clients_Churn[ID_Client],Clients_Churn[Type_Forfait],"Pas d'information")</f>
        <v>Pro Monde</v>
      </c>
      <c r="K550" s="5" t="str">
        <f>IF(Logs_Reseau6[[#This Row],[Type_Forfait]]="Pro Monde","B2B","B2C")</f>
        <v>B2B</v>
      </c>
      <c r="L550" s="5">
        <f>_xlfn.XLOOKUP(Logs_Reseau6[[#This Row],[Id_Client]],Clients_Churn[ID_Client],Clients_Churn[Duree_Cumulee_Panne_Min],"Non Trouvée")</f>
        <v>297</v>
      </c>
      <c r="M550" s="5">
        <f>_xlfn.XLOOKUP(Logs_Reseau6[[#This Row],[Id_Client]],Clients_Churn[ID_Client],Clients_Churn[Anciennete_Mois],"Rien à signaler")</f>
        <v>105</v>
      </c>
      <c r="N550" s="11">
        <f>Logs_Reseau6[[#This Row],[Anciennette]]/24</f>
        <v>4.375</v>
      </c>
      <c r="O550" s="1">
        <f>Logs_Reseau6[[#This Row],[Duree_Cumulée_Panne]]/1440</f>
        <v>0.20624999999999999</v>
      </c>
      <c r="P55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51" spans="1:16" x14ac:dyDescent="0.25">
      <c r="A551" s="2">
        <v>45207</v>
      </c>
      <c r="B551" s="1">
        <v>0.12708333333333333</v>
      </c>
      <c r="C551" t="s">
        <v>922</v>
      </c>
      <c r="D551">
        <v>38</v>
      </c>
      <c r="E551" t="s">
        <v>1300</v>
      </c>
      <c r="F551" t="str">
        <f>_xlfn.XLOOKUP(Logs_Reseau6[[#This Row],[Cell_ID]],Registre[ID_Antenne],Registre[Province_RDC],"Non Trouvée")</f>
        <v>Kwilu</v>
      </c>
      <c r="G551" t="str">
        <f>_xlfn.XLOOKUP(Logs_Reseau6[[#This Row],[Province]],Clients_Churn[Province_Client],Clients_Churn[ID_Client],"Aucun")</f>
        <v>CLI-00009</v>
      </c>
      <c r="H551" t="str">
        <f>_xlfn.XLOOKUP(Logs_Reseau6[[#This Row],[Cell_ID]],Registre[ID_Antenne],Registre[Technologie],"Rien à signaler")</f>
        <v>3G</v>
      </c>
      <c r="I551" t="str">
        <f>_xlfn.XLOOKUP(Logs_Reseau6[[#This Row],[Cell_ID]],Registre[ID_Antenne],Registre[Equipementier],"Non Trouvée")</f>
        <v>Nokia</v>
      </c>
      <c r="J551" t="str">
        <f>_xlfn.XLOOKUP(Logs_Reseau6[[#This Row],[Id_Client]],Clients_Churn[ID_Client],Clients_Churn[Type_Forfait],"Pas d'information")</f>
        <v>Pro Monde</v>
      </c>
      <c r="K551" s="5" t="str">
        <f>IF(Logs_Reseau6[[#This Row],[Type_Forfait]]="Pro Monde","B2B","B2C")</f>
        <v>B2B</v>
      </c>
      <c r="L551" s="5">
        <f>_xlfn.XLOOKUP(Logs_Reseau6[[#This Row],[Id_Client]],Clients_Churn[ID_Client],Clients_Churn[Duree_Cumulee_Panne_Min],"Non Trouvée")</f>
        <v>297</v>
      </c>
      <c r="M551" s="5">
        <f>_xlfn.XLOOKUP(Logs_Reseau6[[#This Row],[Id_Client]],Clients_Churn[ID_Client],Clients_Churn[Anciennete_Mois],"Rien à signaler")</f>
        <v>105</v>
      </c>
      <c r="N551" s="11">
        <f>Logs_Reseau6[[#This Row],[Anciennette]]/24</f>
        <v>4.375</v>
      </c>
      <c r="O551" s="1">
        <f>Logs_Reseau6[[#This Row],[Duree_Cumulée_Panne]]/1440</f>
        <v>0.20624999999999999</v>
      </c>
      <c r="P55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52" spans="1:16" x14ac:dyDescent="0.25">
      <c r="A552" s="2">
        <v>45217</v>
      </c>
      <c r="B552" s="1">
        <v>0.47361111111111109</v>
      </c>
      <c r="C552" t="s">
        <v>922</v>
      </c>
      <c r="D552">
        <v>37</v>
      </c>
      <c r="E552" t="s">
        <v>1305</v>
      </c>
      <c r="F552" t="str">
        <f>_xlfn.XLOOKUP(Logs_Reseau6[[#This Row],[Cell_ID]],Registre[ID_Antenne],Registre[Province_RDC],"Non Trouvée")</f>
        <v>Kwilu</v>
      </c>
      <c r="G552" t="str">
        <f>_xlfn.XLOOKUP(Logs_Reseau6[[#This Row],[Province]],Clients_Churn[Province_Client],Clients_Churn[ID_Client],"Aucun")</f>
        <v>CLI-00009</v>
      </c>
      <c r="H552" t="str">
        <f>_xlfn.XLOOKUP(Logs_Reseau6[[#This Row],[Cell_ID]],Registre[ID_Antenne],Registre[Technologie],"Rien à signaler")</f>
        <v>3G</v>
      </c>
      <c r="I552" t="str">
        <f>_xlfn.XLOOKUP(Logs_Reseau6[[#This Row],[Cell_ID]],Registre[ID_Antenne],Registre[Equipementier],"Non Trouvée")</f>
        <v>Nokia</v>
      </c>
      <c r="J552" t="str">
        <f>_xlfn.XLOOKUP(Logs_Reseau6[[#This Row],[Id_Client]],Clients_Churn[ID_Client],Clients_Churn[Type_Forfait],"Pas d'information")</f>
        <v>Pro Monde</v>
      </c>
      <c r="K552" s="5" t="str">
        <f>IF(Logs_Reseau6[[#This Row],[Type_Forfait]]="Pro Monde","B2B","B2C")</f>
        <v>B2B</v>
      </c>
      <c r="L552" s="5">
        <f>_xlfn.XLOOKUP(Logs_Reseau6[[#This Row],[Id_Client]],Clients_Churn[ID_Client],Clients_Churn[Duree_Cumulee_Panne_Min],"Non Trouvée")</f>
        <v>297</v>
      </c>
      <c r="M552" s="5">
        <f>_xlfn.XLOOKUP(Logs_Reseau6[[#This Row],[Id_Client]],Clients_Churn[ID_Client],Clients_Churn[Anciennete_Mois],"Rien à signaler")</f>
        <v>105</v>
      </c>
      <c r="N552" s="11">
        <f>Logs_Reseau6[[#This Row],[Anciennette]]/24</f>
        <v>4.375</v>
      </c>
      <c r="O552" s="1">
        <f>Logs_Reseau6[[#This Row],[Duree_Cumulée_Panne]]/1440</f>
        <v>0.20624999999999999</v>
      </c>
      <c r="P55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53" spans="1:16" x14ac:dyDescent="0.25">
      <c r="A553" s="2">
        <v>45206</v>
      </c>
      <c r="B553" s="1">
        <v>0.36249999999999999</v>
      </c>
      <c r="C553" t="s">
        <v>891</v>
      </c>
      <c r="D553">
        <v>60</v>
      </c>
      <c r="E553" t="s">
        <v>1305</v>
      </c>
      <c r="F553" t="str">
        <f>_xlfn.XLOOKUP(Logs_Reseau6[[#This Row],[Cell_ID]],Registre[ID_Antenne],Registre[Province_RDC],"Non Trouvée")</f>
        <v>Maniema</v>
      </c>
      <c r="G553" t="str">
        <f>_xlfn.XLOOKUP(Logs_Reseau6[[#This Row],[Province]],Clients_Churn[Province_Client],Clients_Churn[ID_Client],"Aucun")</f>
        <v>CLI-00039</v>
      </c>
      <c r="H553" t="str">
        <f>_xlfn.XLOOKUP(Logs_Reseau6[[#This Row],[Cell_ID]],Registre[ID_Antenne],Registre[Technologie],"Rien à signaler")</f>
        <v>4G</v>
      </c>
      <c r="I553" t="str">
        <f>_xlfn.XLOOKUP(Logs_Reseau6[[#This Row],[Cell_ID]],Registre[ID_Antenne],Registre[Equipementier],"Non Trouvée")</f>
        <v>Huawei</v>
      </c>
      <c r="J553" t="str">
        <f>_xlfn.XLOOKUP(Logs_Reseau6[[#This Row],[Id_Client]],Clients_Churn[ID_Client],Clients_Churn[Type_Forfait],"Pas d'information")</f>
        <v>Pro Monde</v>
      </c>
      <c r="K553" s="5" t="str">
        <f>IF(Logs_Reseau6[[#This Row],[Type_Forfait]]="Pro Monde","B2B","B2C")</f>
        <v>B2B</v>
      </c>
      <c r="L553" s="5">
        <f>_xlfn.XLOOKUP(Logs_Reseau6[[#This Row],[Id_Client]],Clients_Churn[ID_Client],Clients_Churn[Duree_Cumulee_Panne_Min],"Non Trouvée")</f>
        <v>31</v>
      </c>
      <c r="M553" s="5">
        <f>_xlfn.XLOOKUP(Logs_Reseau6[[#This Row],[Id_Client]],Clients_Churn[ID_Client],Clients_Churn[Anciennete_Mois],"Rien à signaler")</f>
        <v>119</v>
      </c>
      <c r="N553" s="11">
        <f>Logs_Reseau6[[#This Row],[Anciennette]]/24</f>
        <v>4.958333333333333</v>
      </c>
      <c r="O553" s="1">
        <f>Logs_Reseau6[[#This Row],[Duree_Cumulée_Panne]]/1440</f>
        <v>2.1527777777777778E-2</v>
      </c>
      <c r="P55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54" spans="1:16" x14ac:dyDescent="0.25">
      <c r="A554" s="2">
        <v>45210</v>
      </c>
      <c r="B554" s="1">
        <v>0.38958333333333334</v>
      </c>
      <c r="C554" t="s">
        <v>891</v>
      </c>
      <c r="D554">
        <v>85</v>
      </c>
      <c r="E554" t="s">
        <v>1300</v>
      </c>
      <c r="F554" t="str">
        <f>_xlfn.XLOOKUP(Logs_Reseau6[[#This Row],[Cell_ID]],Registre[ID_Antenne],Registre[Province_RDC],"Non Trouvée")</f>
        <v>Maniema</v>
      </c>
      <c r="G554" t="str">
        <f>_xlfn.XLOOKUP(Logs_Reseau6[[#This Row],[Province]],Clients_Churn[Province_Client],Clients_Churn[ID_Client],"Aucun")</f>
        <v>CLI-00039</v>
      </c>
      <c r="H554" t="str">
        <f>_xlfn.XLOOKUP(Logs_Reseau6[[#This Row],[Cell_ID]],Registre[ID_Antenne],Registre[Technologie],"Rien à signaler")</f>
        <v>4G</v>
      </c>
      <c r="I554" t="str">
        <f>_xlfn.XLOOKUP(Logs_Reseau6[[#This Row],[Cell_ID]],Registre[ID_Antenne],Registre[Equipementier],"Non Trouvée")</f>
        <v>Huawei</v>
      </c>
      <c r="J554" t="str">
        <f>_xlfn.XLOOKUP(Logs_Reseau6[[#This Row],[Id_Client]],Clients_Churn[ID_Client],Clients_Churn[Type_Forfait],"Pas d'information")</f>
        <v>Pro Monde</v>
      </c>
      <c r="K554" s="5" t="str">
        <f>IF(Logs_Reseau6[[#This Row],[Type_Forfait]]="Pro Monde","B2B","B2C")</f>
        <v>B2B</v>
      </c>
      <c r="L554" s="5">
        <f>_xlfn.XLOOKUP(Logs_Reseau6[[#This Row],[Id_Client]],Clients_Churn[ID_Client],Clients_Churn[Duree_Cumulee_Panne_Min],"Non Trouvée")</f>
        <v>31</v>
      </c>
      <c r="M554" s="5">
        <f>_xlfn.XLOOKUP(Logs_Reseau6[[#This Row],[Id_Client]],Clients_Churn[ID_Client],Clients_Churn[Anciennete_Mois],"Rien à signaler")</f>
        <v>119</v>
      </c>
      <c r="N554" s="11">
        <f>Logs_Reseau6[[#This Row],[Anciennette]]/24</f>
        <v>4.958333333333333</v>
      </c>
      <c r="O554" s="1">
        <f>Logs_Reseau6[[#This Row],[Duree_Cumulée_Panne]]/1440</f>
        <v>2.1527777777777778E-2</v>
      </c>
      <c r="P55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55" spans="1:16" x14ac:dyDescent="0.25">
      <c r="A555" s="2">
        <v>45213</v>
      </c>
      <c r="B555" s="1">
        <v>0.51875000000000004</v>
      </c>
      <c r="C555" t="s">
        <v>1087</v>
      </c>
      <c r="D555">
        <v>88</v>
      </c>
      <c r="E555" t="s">
        <v>1303</v>
      </c>
      <c r="F555" t="str">
        <f>_xlfn.XLOOKUP(Logs_Reseau6[[#This Row],[Cell_ID]],Registre[ID_Antenne],Registre[Province_RDC],"Non Trouvée")</f>
        <v>Lomami</v>
      </c>
      <c r="G555" t="str">
        <f>_xlfn.XLOOKUP(Logs_Reseau6[[#This Row],[Province]],Clients_Churn[Province_Client],Clients_Churn[ID_Client],"Aucun")</f>
        <v>CLI-00044</v>
      </c>
      <c r="H555" t="str">
        <f>_xlfn.XLOOKUP(Logs_Reseau6[[#This Row],[Cell_ID]],Registre[ID_Antenne],Registre[Technologie],"Rien à signaler")</f>
        <v>3G</v>
      </c>
      <c r="I555" t="str">
        <f>_xlfn.XLOOKUP(Logs_Reseau6[[#This Row],[Cell_ID]],Registre[ID_Antenne],Registre[Equipementier],"Non Trouvée")</f>
        <v>Huawei</v>
      </c>
      <c r="J555" t="str">
        <f>_xlfn.XLOOKUP(Logs_Reseau6[[#This Row],[Id_Client]],Clients_Churn[ID_Client],Clients_Churn[Type_Forfait],"Pas d'information")</f>
        <v>Illimité 50Go</v>
      </c>
      <c r="K555" s="5" t="str">
        <f>IF(Logs_Reseau6[[#This Row],[Type_Forfait]]="Pro Monde","B2B","B2C")</f>
        <v>B2C</v>
      </c>
      <c r="L555" s="5">
        <f>_xlfn.XLOOKUP(Logs_Reseau6[[#This Row],[Id_Client]],Clients_Churn[ID_Client],Clients_Churn[Duree_Cumulee_Panne_Min],"Non Trouvée")</f>
        <v>345</v>
      </c>
      <c r="M555" s="5">
        <f>_xlfn.XLOOKUP(Logs_Reseau6[[#This Row],[Id_Client]],Clients_Churn[ID_Client],Clients_Churn[Anciennete_Mois],"Rien à signaler")</f>
        <v>53</v>
      </c>
      <c r="N555" s="11">
        <f>Logs_Reseau6[[#This Row],[Anciennette]]/24</f>
        <v>2.2083333333333335</v>
      </c>
      <c r="O555" s="1">
        <f>Logs_Reseau6[[#This Row],[Duree_Cumulée_Panne]]/1440</f>
        <v>0.23958333333333334</v>
      </c>
      <c r="P55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56" spans="1:16" x14ac:dyDescent="0.25">
      <c r="A556" s="2">
        <v>45216</v>
      </c>
      <c r="B556" s="1">
        <v>9.4444444444444442E-2</v>
      </c>
      <c r="C556" t="s">
        <v>1087</v>
      </c>
      <c r="D556">
        <v>74</v>
      </c>
      <c r="E556" t="s">
        <v>1300</v>
      </c>
      <c r="F556" t="str">
        <f>_xlfn.XLOOKUP(Logs_Reseau6[[#This Row],[Cell_ID]],Registre[ID_Antenne],Registre[Province_RDC],"Non Trouvée")</f>
        <v>Lomami</v>
      </c>
      <c r="G556" t="str">
        <f>_xlfn.XLOOKUP(Logs_Reseau6[[#This Row],[Province]],Clients_Churn[Province_Client],Clients_Churn[ID_Client],"Aucun")</f>
        <v>CLI-00044</v>
      </c>
      <c r="H556" t="str">
        <f>_xlfn.XLOOKUP(Logs_Reseau6[[#This Row],[Cell_ID]],Registre[ID_Antenne],Registre[Technologie],"Rien à signaler")</f>
        <v>3G</v>
      </c>
      <c r="I556" t="str">
        <f>_xlfn.XLOOKUP(Logs_Reseau6[[#This Row],[Cell_ID]],Registre[ID_Antenne],Registre[Equipementier],"Non Trouvée")</f>
        <v>Huawei</v>
      </c>
      <c r="J556" t="str">
        <f>_xlfn.XLOOKUP(Logs_Reseau6[[#This Row],[Id_Client]],Clients_Churn[ID_Client],Clients_Churn[Type_Forfait],"Pas d'information")</f>
        <v>Illimité 50Go</v>
      </c>
      <c r="K556" s="5" t="str">
        <f>IF(Logs_Reseau6[[#This Row],[Type_Forfait]]="Pro Monde","B2B","B2C")</f>
        <v>B2C</v>
      </c>
      <c r="L556" s="5">
        <f>_xlfn.XLOOKUP(Logs_Reseau6[[#This Row],[Id_Client]],Clients_Churn[ID_Client],Clients_Churn[Duree_Cumulee_Panne_Min],"Non Trouvée")</f>
        <v>345</v>
      </c>
      <c r="M556" s="5">
        <f>_xlfn.XLOOKUP(Logs_Reseau6[[#This Row],[Id_Client]],Clients_Churn[ID_Client],Clients_Churn[Anciennete_Mois],"Rien à signaler")</f>
        <v>53</v>
      </c>
      <c r="N556" s="11">
        <f>Logs_Reseau6[[#This Row],[Anciennette]]/24</f>
        <v>2.2083333333333335</v>
      </c>
      <c r="O556" s="1">
        <f>Logs_Reseau6[[#This Row],[Duree_Cumulée_Panne]]/1440</f>
        <v>0.23958333333333334</v>
      </c>
      <c r="P55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57" spans="1:16" x14ac:dyDescent="0.25">
      <c r="A557" s="2">
        <v>45220</v>
      </c>
      <c r="B557" s="1">
        <v>0.72499999999999998</v>
      </c>
      <c r="C557" t="s">
        <v>903</v>
      </c>
      <c r="D557">
        <v>28</v>
      </c>
      <c r="E557" t="s">
        <v>1305</v>
      </c>
      <c r="F557" t="str">
        <f>_xlfn.XLOOKUP(Logs_Reseau6[[#This Row],[Cell_ID]],Registre[ID_Antenne],Registre[Province_RDC],"Non Trouvée")</f>
        <v>Tanganyika</v>
      </c>
      <c r="G557" t="str">
        <f>_xlfn.XLOOKUP(Logs_Reseau6[[#This Row],[Province]],Clients_Churn[Province_Client],Clients_Churn[ID_Client],"Aucun")</f>
        <v>CLI-00007</v>
      </c>
      <c r="H557" t="str">
        <f>_xlfn.XLOOKUP(Logs_Reseau6[[#This Row],[Cell_ID]],Registre[ID_Antenne],Registre[Technologie],"Rien à signaler")</f>
        <v>5G</v>
      </c>
      <c r="I557" t="str">
        <f>_xlfn.XLOOKUP(Logs_Reseau6[[#This Row],[Cell_ID]],Registre[ID_Antenne],Registre[Equipementier],"Non Trouvée")</f>
        <v>Huawei</v>
      </c>
      <c r="J557" t="str">
        <f>_xlfn.XLOOKUP(Logs_Reseau6[[#This Row],[Id_Client]],Clients_Churn[ID_Client],Clients_Churn[Type_Forfait],"Pas d'information")</f>
        <v>Bloqué 5Go</v>
      </c>
      <c r="K557" s="5" t="str">
        <f>IF(Logs_Reseau6[[#This Row],[Type_Forfait]]="Pro Monde","B2B","B2C")</f>
        <v>B2C</v>
      </c>
      <c r="L557" s="5">
        <f>_xlfn.XLOOKUP(Logs_Reseau6[[#This Row],[Id_Client]],Clients_Churn[ID_Client],Clients_Churn[Duree_Cumulee_Panne_Min],"Non Trouvée")</f>
        <v>112</v>
      </c>
      <c r="M557" s="5">
        <f>_xlfn.XLOOKUP(Logs_Reseau6[[#This Row],[Id_Client]],Clients_Churn[ID_Client],Clients_Churn[Anciennete_Mois],"Rien à signaler")</f>
        <v>110</v>
      </c>
      <c r="N557" s="11">
        <f>Logs_Reseau6[[#This Row],[Anciennette]]/24</f>
        <v>4.583333333333333</v>
      </c>
      <c r="O557" s="1">
        <f>Logs_Reseau6[[#This Row],[Duree_Cumulée_Panne]]/1440</f>
        <v>7.7777777777777779E-2</v>
      </c>
      <c r="P55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58" spans="1:16" x14ac:dyDescent="0.25">
      <c r="A558" s="2">
        <v>45225</v>
      </c>
      <c r="B558" s="1">
        <v>0.96527777777777779</v>
      </c>
      <c r="C558" t="s">
        <v>903</v>
      </c>
      <c r="D558">
        <v>36</v>
      </c>
      <c r="E558" t="s">
        <v>1300</v>
      </c>
      <c r="F558" t="str">
        <f>_xlfn.XLOOKUP(Logs_Reseau6[[#This Row],[Cell_ID]],Registre[ID_Antenne],Registre[Province_RDC],"Non Trouvée")</f>
        <v>Tanganyika</v>
      </c>
      <c r="G558" t="str">
        <f>_xlfn.XLOOKUP(Logs_Reseau6[[#This Row],[Province]],Clients_Churn[Province_Client],Clients_Churn[ID_Client],"Aucun")</f>
        <v>CLI-00007</v>
      </c>
      <c r="H558" t="str">
        <f>_xlfn.XLOOKUP(Logs_Reseau6[[#This Row],[Cell_ID]],Registre[ID_Antenne],Registre[Technologie],"Rien à signaler")</f>
        <v>5G</v>
      </c>
      <c r="I558" t="str">
        <f>_xlfn.XLOOKUP(Logs_Reseau6[[#This Row],[Cell_ID]],Registre[ID_Antenne],Registre[Equipementier],"Non Trouvée")</f>
        <v>Huawei</v>
      </c>
      <c r="J558" t="str">
        <f>_xlfn.XLOOKUP(Logs_Reseau6[[#This Row],[Id_Client]],Clients_Churn[ID_Client],Clients_Churn[Type_Forfait],"Pas d'information")</f>
        <v>Bloqué 5Go</v>
      </c>
      <c r="K558" s="5" t="str">
        <f>IF(Logs_Reseau6[[#This Row],[Type_Forfait]]="Pro Monde","B2B","B2C")</f>
        <v>B2C</v>
      </c>
      <c r="L558" s="5">
        <f>_xlfn.XLOOKUP(Logs_Reseau6[[#This Row],[Id_Client]],Clients_Churn[ID_Client],Clients_Churn[Duree_Cumulee_Panne_Min],"Non Trouvée")</f>
        <v>112</v>
      </c>
      <c r="M558" s="5">
        <f>_xlfn.XLOOKUP(Logs_Reseau6[[#This Row],[Id_Client]],Clients_Churn[ID_Client],Clients_Churn[Anciennete_Mois],"Rien à signaler")</f>
        <v>110</v>
      </c>
      <c r="N558" s="11">
        <f>Logs_Reseau6[[#This Row],[Anciennette]]/24</f>
        <v>4.583333333333333</v>
      </c>
      <c r="O558" s="1">
        <f>Logs_Reseau6[[#This Row],[Duree_Cumulée_Panne]]/1440</f>
        <v>7.7777777777777779E-2</v>
      </c>
      <c r="P55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59" spans="1:16" x14ac:dyDescent="0.25">
      <c r="A559" s="2">
        <v>45228</v>
      </c>
      <c r="B559" s="1">
        <v>0.51527777777777772</v>
      </c>
      <c r="C559" t="s">
        <v>1030</v>
      </c>
      <c r="D559">
        <v>105</v>
      </c>
      <c r="E559" t="s">
        <v>1300</v>
      </c>
      <c r="F559" t="str">
        <f>_xlfn.XLOOKUP(Logs_Reseau6[[#This Row],[Cell_ID]],Registre[ID_Antenne],Registre[Province_RDC],"Non Trouvée")</f>
        <v>Tshopo</v>
      </c>
      <c r="G559" t="str">
        <f>_xlfn.XLOOKUP(Logs_Reseau6[[#This Row],[Province]],Clients_Churn[Province_Client],Clients_Churn[ID_Client],"Aucun")</f>
        <v>CLI-00100</v>
      </c>
      <c r="H559" t="str">
        <f>_xlfn.XLOOKUP(Logs_Reseau6[[#This Row],[Cell_ID]],Registre[ID_Antenne],Registre[Technologie],"Rien à signaler")</f>
        <v>5G</v>
      </c>
      <c r="I559" t="str">
        <f>_xlfn.XLOOKUP(Logs_Reseau6[[#This Row],[Cell_ID]],Registre[ID_Antenne],Registre[Equipementier],"Non Trouvée")</f>
        <v>Ericsson</v>
      </c>
      <c r="J559" t="str">
        <f>_xlfn.XLOOKUP(Logs_Reseau6[[#This Row],[Id_Client]],Clients_Churn[ID_Client],Clients_Churn[Type_Forfait],"Pas d'information")</f>
        <v>Bloqué 5Go</v>
      </c>
      <c r="K559" s="5" t="str">
        <f>IF(Logs_Reseau6[[#This Row],[Type_Forfait]]="Pro Monde","B2B","B2C")</f>
        <v>B2C</v>
      </c>
      <c r="L559" s="5">
        <f>_xlfn.XLOOKUP(Logs_Reseau6[[#This Row],[Id_Client]],Clients_Churn[ID_Client],Clients_Churn[Duree_Cumulee_Panne_Min],"Non Trouvée")</f>
        <v>388</v>
      </c>
      <c r="M559" s="5">
        <f>_xlfn.XLOOKUP(Logs_Reseau6[[#This Row],[Id_Client]],Clients_Churn[ID_Client],Clients_Churn[Anciennete_Mois],"Rien à signaler")</f>
        <v>74</v>
      </c>
      <c r="N559" s="11">
        <f>Logs_Reseau6[[#This Row],[Anciennette]]/24</f>
        <v>3.0833333333333335</v>
      </c>
      <c r="O559" s="1">
        <f>Logs_Reseau6[[#This Row],[Duree_Cumulée_Panne]]/1440</f>
        <v>0.26944444444444443</v>
      </c>
      <c r="P55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60" spans="1:16" hidden="1" x14ac:dyDescent="0.25">
      <c r="A560" s="2">
        <v>45229</v>
      </c>
      <c r="B560" s="1">
        <v>0.42986111111111114</v>
      </c>
      <c r="C560" t="s">
        <v>1438</v>
      </c>
      <c r="D560">
        <v>90</v>
      </c>
      <c r="E560" t="s">
        <v>1300</v>
      </c>
      <c r="F560" t="str">
        <f>_xlfn.XLOOKUP(Logs_Reseau6[[#This Row],[Cell_ID]],Registre[ID_Antenne],Registre[Province_RDC],"Non Trouvée")</f>
        <v>Non Trouvée</v>
      </c>
      <c r="G560" t="str">
        <f>_xlfn.XLOOKUP(Logs_Reseau6[[#This Row],[Province]],Clients_Churn[Province_Client],Clients_Churn[ID_Client],"Aucun")</f>
        <v>Aucun</v>
      </c>
      <c r="H560" t="str">
        <f>_xlfn.XLOOKUP(Logs_Reseau6[[#This Row],[Cell_ID]],Registre[ID_Antenne],Registre[Technologie],"Rien à signaler")</f>
        <v>Rien à signaler</v>
      </c>
      <c r="I560" t="str">
        <f>_xlfn.XLOOKUP(Logs_Reseau6[[#This Row],[Cell_ID]],Registre[ID_Antenne],Registre[Equipementier],"Non Trouvée")</f>
        <v>Non Trouvée</v>
      </c>
      <c r="J560" t="str">
        <f>_xlfn.XLOOKUP(Logs_Reseau6[[#This Row],[Id_Client]],Clients_Churn[ID_Client],Clients_Churn[Type_Forfait],"Pas d'information")</f>
        <v>Pas d'information</v>
      </c>
      <c r="K560" s="5" t="str">
        <f>IF(Logs_Reseau6[[#This Row],[Type_Forfait]]="Pro Monde","B2B","B2C")</f>
        <v>B2C</v>
      </c>
      <c r="L560" s="5" t="str">
        <f>_xlfn.XLOOKUP(Logs_Reseau6[[#This Row],[Id_Client]],Clients_Churn[ID_Client],Clients_Churn[Duree_Cumulee_Panne_Min],"Non Trouvée")</f>
        <v>Non Trouvée</v>
      </c>
      <c r="M560" s="5" t="str">
        <f>_xlfn.XLOOKUP(Logs_Reseau6[[#This Row],[Id_Client]],Clients_Churn[ID_Client],Clients_Churn[Anciennete_Mois],"Rien à signaler")</f>
        <v>Rien à signaler</v>
      </c>
      <c r="N560" s="5" t="e">
        <f>Logs_Reseau6[[#This Row],[Anciennette]]/24</f>
        <v>#VALUE!</v>
      </c>
      <c r="O560" s="5" t="e">
        <f>Logs_Reseau6[[#This Row],[Duree_Cumulée_Panne]]/1440</f>
        <v>#VALUE!</v>
      </c>
      <c r="P56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61" spans="1:16" hidden="1" x14ac:dyDescent="0.25">
      <c r="A561" s="2">
        <v>45230</v>
      </c>
      <c r="B561" s="1">
        <v>0.77638888888888891</v>
      </c>
      <c r="C561" t="s">
        <v>1438</v>
      </c>
      <c r="D561">
        <v>55</v>
      </c>
      <c r="E561" t="s">
        <v>1303</v>
      </c>
      <c r="F561" t="str">
        <f>_xlfn.XLOOKUP(Logs_Reseau6[[#This Row],[Cell_ID]],Registre[ID_Antenne],Registre[Province_RDC],"Non Trouvée")</f>
        <v>Non Trouvée</v>
      </c>
      <c r="G561" t="str">
        <f>_xlfn.XLOOKUP(Logs_Reseau6[[#This Row],[Province]],Clients_Churn[Province_Client],Clients_Churn[ID_Client],"Aucun")</f>
        <v>Aucun</v>
      </c>
      <c r="H561" t="str">
        <f>_xlfn.XLOOKUP(Logs_Reseau6[[#This Row],[Cell_ID]],Registre[ID_Antenne],Registre[Technologie],"Rien à signaler")</f>
        <v>Rien à signaler</v>
      </c>
      <c r="I561" t="str">
        <f>_xlfn.XLOOKUP(Logs_Reseau6[[#This Row],[Cell_ID]],Registre[ID_Antenne],Registre[Equipementier],"Non Trouvée")</f>
        <v>Non Trouvée</v>
      </c>
      <c r="J561" t="str">
        <f>_xlfn.XLOOKUP(Logs_Reseau6[[#This Row],[Id_Client]],Clients_Churn[ID_Client],Clients_Churn[Type_Forfait],"Pas d'information")</f>
        <v>Pas d'information</v>
      </c>
      <c r="K561" s="5" t="str">
        <f>IF(Logs_Reseau6[[#This Row],[Type_Forfait]]="Pro Monde","B2B","B2C")</f>
        <v>B2C</v>
      </c>
      <c r="L561" s="5" t="str">
        <f>_xlfn.XLOOKUP(Logs_Reseau6[[#This Row],[Id_Client]],Clients_Churn[ID_Client],Clients_Churn[Duree_Cumulee_Panne_Min],"Non Trouvée")</f>
        <v>Non Trouvée</v>
      </c>
      <c r="M561" s="5" t="str">
        <f>_xlfn.XLOOKUP(Logs_Reseau6[[#This Row],[Id_Client]],Clients_Churn[ID_Client],Clients_Churn[Anciennete_Mois],"Rien à signaler")</f>
        <v>Rien à signaler</v>
      </c>
      <c r="N561" s="5" t="e">
        <f>Logs_Reseau6[[#This Row],[Anciennette]]/24</f>
        <v>#VALUE!</v>
      </c>
      <c r="O561" s="5" t="e">
        <f>Logs_Reseau6[[#This Row],[Duree_Cumulée_Panne]]/1440</f>
        <v>#VALUE!</v>
      </c>
      <c r="P56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62" spans="1:16" hidden="1" x14ac:dyDescent="0.25">
      <c r="A562" s="2">
        <v>45224</v>
      </c>
      <c r="B562" s="1">
        <v>0.70972222222222225</v>
      </c>
      <c r="C562" t="s">
        <v>1630</v>
      </c>
      <c r="D562">
        <v>62</v>
      </c>
      <c r="E562" t="s">
        <v>1303</v>
      </c>
      <c r="F562" t="str">
        <f>_xlfn.XLOOKUP(Logs_Reseau6[[#This Row],[Cell_ID]],Registre[ID_Antenne],Registre[Province_RDC],"Non Trouvée")</f>
        <v>Non Trouvée</v>
      </c>
      <c r="G562" t="str">
        <f>_xlfn.XLOOKUP(Logs_Reseau6[[#This Row],[Province]],Clients_Churn[Province_Client],Clients_Churn[ID_Client],"Aucun")</f>
        <v>Aucun</v>
      </c>
      <c r="H562" t="str">
        <f>_xlfn.XLOOKUP(Logs_Reseau6[[#This Row],[Cell_ID]],Registre[ID_Antenne],Registre[Technologie],"Rien à signaler")</f>
        <v>Rien à signaler</v>
      </c>
      <c r="I562" t="str">
        <f>_xlfn.XLOOKUP(Logs_Reseau6[[#This Row],[Cell_ID]],Registre[ID_Antenne],Registre[Equipementier],"Non Trouvée")</f>
        <v>Non Trouvée</v>
      </c>
      <c r="J562" t="str">
        <f>_xlfn.XLOOKUP(Logs_Reseau6[[#This Row],[Id_Client]],Clients_Churn[ID_Client],Clients_Churn[Type_Forfait],"Pas d'information")</f>
        <v>Pas d'information</v>
      </c>
      <c r="K562" s="5" t="str">
        <f>IF(Logs_Reseau6[[#This Row],[Type_Forfait]]="Pro Monde","B2B","B2C")</f>
        <v>B2C</v>
      </c>
      <c r="L562" s="5" t="str">
        <f>_xlfn.XLOOKUP(Logs_Reseau6[[#This Row],[Id_Client]],Clients_Churn[ID_Client],Clients_Churn[Duree_Cumulee_Panne_Min],"Non Trouvée")</f>
        <v>Non Trouvée</v>
      </c>
      <c r="M562" s="5" t="str">
        <f>_xlfn.XLOOKUP(Logs_Reseau6[[#This Row],[Id_Client]],Clients_Churn[ID_Client],Clients_Churn[Anciennete_Mois],"Rien à signaler")</f>
        <v>Rien à signaler</v>
      </c>
      <c r="N562" s="5" t="e">
        <f>Logs_Reseau6[[#This Row],[Anciennette]]/24</f>
        <v>#VALUE!</v>
      </c>
      <c r="O562" s="5" t="e">
        <f>Logs_Reseau6[[#This Row],[Duree_Cumulée_Panne]]/1440</f>
        <v>#VALUE!</v>
      </c>
      <c r="P56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63" spans="1:16" hidden="1" x14ac:dyDescent="0.25">
      <c r="A563" s="2">
        <v>45219</v>
      </c>
      <c r="B563" s="1">
        <v>0.92569444444444449</v>
      </c>
      <c r="C563" t="s">
        <v>1510</v>
      </c>
      <c r="D563">
        <v>22</v>
      </c>
      <c r="E563" t="s">
        <v>1300</v>
      </c>
      <c r="F563" t="str">
        <f>_xlfn.XLOOKUP(Logs_Reseau6[[#This Row],[Cell_ID]],Registre[ID_Antenne],Registre[Province_RDC],"Non Trouvée")</f>
        <v>Non Trouvée</v>
      </c>
      <c r="G563" t="str">
        <f>_xlfn.XLOOKUP(Logs_Reseau6[[#This Row],[Province]],Clients_Churn[Province_Client],Clients_Churn[ID_Client],"Aucun")</f>
        <v>Aucun</v>
      </c>
      <c r="H563" t="str">
        <f>_xlfn.XLOOKUP(Logs_Reseau6[[#This Row],[Cell_ID]],Registre[ID_Antenne],Registre[Technologie],"Rien à signaler")</f>
        <v>Rien à signaler</v>
      </c>
      <c r="I563" t="str">
        <f>_xlfn.XLOOKUP(Logs_Reseau6[[#This Row],[Cell_ID]],Registre[ID_Antenne],Registre[Equipementier],"Non Trouvée")</f>
        <v>Non Trouvée</v>
      </c>
      <c r="J563" t="str">
        <f>_xlfn.XLOOKUP(Logs_Reseau6[[#This Row],[Id_Client]],Clients_Churn[ID_Client],Clients_Churn[Type_Forfait],"Pas d'information")</f>
        <v>Pas d'information</v>
      </c>
      <c r="K563" s="5" t="str">
        <f>IF(Logs_Reseau6[[#This Row],[Type_Forfait]]="Pro Monde","B2B","B2C")</f>
        <v>B2C</v>
      </c>
      <c r="L563" s="5" t="str">
        <f>_xlfn.XLOOKUP(Logs_Reseau6[[#This Row],[Id_Client]],Clients_Churn[ID_Client],Clients_Churn[Duree_Cumulee_Panne_Min],"Non Trouvée")</f>
        <v>Non Trouvée</v>
      </c>
      <c r="M563" s="5" t="str">
        <f>_xlfn.XLOOKUP(Logs_Reseau6[[#This Row],[Id_Client]],Clients_Churn[ID_Client],Clients_Churn[Anciennete_Mois],"Rien à signaler")</f>
        <v>Rien à signaler</v>
      </c>
      <c r="N563" s="5" t="e">
        <f>Logs_Reseau6[[#This Row],[Anciennette]]/24</f>
        <v>#VALUE!</v>
      </c>
      <c r="O563" s="5" t="e">
        <f>Logs_Reseau6[[#This Row],[Duree_Cumulée_Panne]]/1440</f>
        <v>#VALUE!</v>
      </c>
      <c r="P56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64" spans="1:16" hidden="1" x14ac:dyDescent="0.25">
      <c r="A564" s="2">
        <v>45229</v>
      </c>
      <c r="B564" s="1">
        <v>0.77222222222222225</v>
      </c>
      <c r="C564" t="s">
        <v>1510</v>
      </c>
      <c r="D564">
        <v>27</v>
      </c>
      <c r="E564" t="s">
        <v>1300</v>
      </c>
      <c r="F564" t="str">
        <f>_xlfn.XLOOKUP(Logs_Reseau6[[#This Row],[Cell_ID]],Registre[ID_Antenne],Registre[Province_RDC],"Non Trouvée")</f>
        <v>Non Trouvée</v>
      </c>
      <c r="G564" t="str">
        <f>_xlfn.XLOOKUP(Logs_Reseau6[[#This Row],[Province]],Clients_Churn[Province_Client],Clients_Churn[ID_Client],"Aucun")</f>
        <v>Aucun</v>
      </c>
      <c r="H564" t="str">
        <f>_xlfn.XLOOKUP(Logs_Reseau6[[#This Row],[Cell_ID]],Registre[ID_Antenne],Registre[Technologie],"Rien à signaler")</f>
        <v>Rien à signaler</v>
      </c>
      <c r="I564" t="str">
        <f>_xlfn.XLOOKUP(Logs_Reseau6[[#This Row],[Cell_ID]],Registre[ID_Antenne],Registre[Equipementier],"Non Trouvée")</f>
        <v>Non Trouvée</v>
      </c>
      <c r="J564" t="str">
        <f>_xlfn.XLOOKUP(Logs_Reseau6[[#This Row],[Id_Client]],Clients_Churn[ID_Client],Clients_Churn[Type_Forfait],"Pas d'information")</f>
        <v>Pas d'information</v>
      </c>
      <c r="K564" s="5" t="str">
        <f>IF(Logs_Reseau6[[#This Row],[Type_Forfait]]="Pro Monde","B2B","B2C")</f>
        <v>B2C</v>
      </c>
      <c r="L564" s="5" t="str">
        <f>_xlfn.XLOOKUP(Logs_Reseau6[[#This Row],[Id_Client]],Clients_Churn[ID_Client],Clients_Churn[Duree_Cumulee_Panne_Min],"Non Trouvée")</f>
        <v>Non Trouvée</v>
      </c>
      <c r="M564" s="5" t="str">
        <f>_xlfn.XLOOKUP(Logs_Reseau6[[#This Row],[Id_Client]],Clients_Churn[ID_Client],Clients_Churn[Anciennete_Mois],"Rien à signaler")</f>
        <v>Rien à signaler</v>
      </c>
      <c r="N564" s="5" t="e">
        <f>Logs_Reseau6[[#This Row],[Anciennette]]/24</f>
        <v>#VALUE!</v>
      </c>
      <c r="O564" s="5" t="e">
        <f>Logs_Reseau6[[#This Row],[Duree_Cumulée_Panne]]/1440</f>
        <v>#VALUE!</v>
      </c>
      <c r="P56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65" spans="1:16" hidden="1" x14ac:dyDescent="0.25">
      <c r="A565" s="2">
        <v>45200</v>
      </c>
      <c r="B565" s="1">
        <v>0.93125000000000002</v>
      </c>
      <c r="C565" t="s">
        <v>1447</v>
      </c>
      <c r="D565">
        <v>22</v>
      </c>
      <c r="E565" t="s">
        <v>1300</v>
      </c>
      <c r="F565" t="str">
        <f>_xlfn.XLOOKUP(Logs_Reseau6[[#This Row],[Cell_ID]],Registre[ID_Antenne],Registre[Province_RDC],"Non Trouvée")</f>
        <v>Non Trouvée</v>
      </c>
      <c r="G565" t="str">
        <f>_xlfn.XLOOKUP(Logs_Reseau6[[#This Row],[Province]],Clients_Churn[Province_Client],Clients_Churn[ID_Client],"Aucun")</f>
        <v>Aucun</v>
      </c>
      <c r="H565" t="str">
        <f>_xlfn.XLOOKUP(Logs_Reseau6[[#This Row],[Cell_ID]],Registre[ID_Antenne],Registre[Technologie],"Rien à signaler")</f>
        <v>Rien à signaler</v>
      </c>
      <c r="I565" t="str">
        <f>_xlfn.XLOOKUP(Logs_Reseau6[[#This Row],[Cell_ID]],Registre[ID_Antenne],Registre[Equipementier],"Non Trouvée")</f>
        <v>Non Trouvée</v>
      </c>
      <c r="J565" t="str">
        <f>_xlfn.XLOOKUP(Logs_Reseau6[[#This Row],[Id_Client]],Clients_Churn[ID_Client],Clients_Churn[Type_Forfait],"Pas d'information")</f>
        <v>Pas d'information</v>
      </c>
      <c r="K565" s="5" t="str">
        <f>IF(Logs_Reseau6[[#This Row],[Type_Forfait]]="Pro Monde","B2B","B2C")</f>
        <v>B2C</v>
      </c>
      <c r="L565" s="5" t="str">
        <f>_xlfn.XLOOKUP(Logs_Reseau6[[#This Row],[Id_Client]],Clients_Churn[ID_Client],Clients_Churn[Duree_Cumulee_Panne_Min],"Non Trouvée")</f>
        <v>Non Trouvée</v>
      </c>
      <c r="M565" s="5" t="str">
        <f>_xlfn.XLOOKUP(Logs_Reseau6[[#This Row],[Id_Client]],Clients_Churn[ID_Client],Clients_Churn[Anciennete_Mois],"Rien à signaler")</f>
        <v>Rien à signaler</v>
      </c>
      <c r="N565" s="5" t="e">
        <f>Logs_Reseau6[[#This Row],[Anciennette]]/24</f>
        <v>#VALUE!</v>
      </c>
      <c r="O565" s="5" t="e">
        <f>Logs_Reseau6[[#This Row],[Duree_Cumulée_Panne]]/1440</f>
        <v>#VALUE!</v>
      </c>
      <c r="P56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66" spans="1:16" hidden="1" x14ac:dyDescent="0.25">
      <c r="A566" s="2">
        <v>45213</v>
      </c>
      <c r="B566" s="1">
        <v>0.4465277777777778</v>
      </c>
      <c r="C566" t="s">
        <v>1447</v>
      </c>
      <c r="D566">
        <v>111</v>
      </c>
      <c r="E566" t="s">
        <v>1300</v>
      </c>
      <c r="F566" t="str">
        <f>_xlfn.XLOOKUP(Logs_Reseau6[[#This Row],[Cell_ID]],Registre[ID_Antenne],Registre[Province_RDC],"Non Trouvée")</f>
        <v>Non Trouvée</v>
      </c>
      <c r="G566" t="str">
        <f>_xlfn.XLOOKUP(Logs_Reseau6[[#This Row],[Province]],Clients_Churn[Province_Client],Clients_Churn[ID_Client],"Aucun")</f>
        <v>Aucun</v>
      </c>
      <c r="H566" t="str">
        <f>_xlfn.XLOOKUP(Logs_Reseau6[[#This Row],[Cell_ID]],Registre[ID_Antenne],Registre[Technologie],"Rien à signaler")</f>
        <v>Rien à signaler</v>
      </c>
      <c r="I566" t="str">
        <f>_xlfn.XLOOKUP(Logs_Reseau6[[#This Row],[Cell_ID]],Registre[ID_Antenne],Registre[Equipementier],"Non Trouvée")</f>
        <v>Non Trouvée</v>
      </c>
      <c r="J566" t="str">
        <f>_xlfn.XLOOKUP(Logs_Reseau6[[#This Row],[Id_Client]],Clients_Churn[ID_Client],Clients_Churn[Type_Forfait],"Pas d'information")</f>
        <v>Pas d'information</v>
      </c>
      <c r="K566" s="5" t="str">
        <f>IF(Logs_Reseau6[[#This Row],[Type_Forfait]]="Pro Monde","B2B","B2C")</f>
        <v>B2C</v>
      </c>
      <c r="L566" s="5" t="str">
        <f>_xlfn.XLOOKUP(Logs_Reseau6[[#This Row],[Id_Client]],Clients_Churn[ID_Client],Clients_Churn[Duree_Cumulee_Panne_Min],"Non Trouvée")</f>
        <v>Non Trouvée</v>
      </c>
      <c r="M566" s="5" t="str">
        <f>_xlfn.XLOOKUP(Logs_Reseau6[[#This Row],[Id_Client]],Clients_Churn[ID_Client],Clients_Churn[Anciennete_Mois],"Rien à signaler")</f>
        <v>Rien à signaler</v>
      </c>
      <c r="N566" s="5" t="e">
        <f>Logs_Reseau6[[#This Row],[Anciennette]]/24</f>
        <v>#VALUE!</v>
      </c>
      <c r="O566" s="5" t="e">
        <f>Logs_Reseau6[[#This Row],[Duree_Cumulée_Panne]]/1440</f>
        <v>#VALUE!</v>
      </c>
      <c r="P56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67" spans="1:16" hidden="1" x14ac:dyDescent="0.25">
      <c r="A567" s="2">
        <v>45218</v>
      </c>
      <c r="B567" s="1">
        <v>1.1111111111111112E-2</v>
      </c>
      <c r="C567" t="s">
        <v>1494</v>
      </c>
      <c r="D567">
        <v>59</v>
      </c>
      <c r="E567" t="s">
        <v>1300</v>
      </c>
      <c r="F567" t="str">
        <f>_xlfn.XLOOKUP(Logs_Reseau6[[#This Row],[Cell_ID]],Registre[ID_Antenne],Registre[Province_RDC],"Non Trouvée")</f>
        <v>Non Trouvée</v>
      </c>
      <c r="G567" t="str">
        <f>_xlfn.XLOOKUP(Logs_Reseau6[[#This Row],[Province]],Clients_Churn[Province_Client],Clients_Churn[ID_Client],"Aucun")</f>
        <v>Aucun</v>
      </c>
      <c r="H567" t="str">
        <f>_xlfn.XLOOKUP(Logs_Reseau6[[#This Row],[Cell_ID]],Registre[ID_Antenne],Registre[Technologie],"Rien à signaler")</f>
        <v>Rien à signaler</v>
      </c>
      <c r="I567" t="str">
        <f>_xlfn.XLOOKUP(Logs_Reseau6[[#This Row],[Cell_ID]],Registre[ID_Antenne],Registre[Equipementier],"Non Trouvée")</f>
        <v>Non Trouvée</v>
      </c>
      <c r="J567" t="str">
        <f>_xlfn.XLOOKUP(Logs_Reseau6[[#This Row],[Id_Client]],Clients_Churn[ID_Client],Clients_Churn[Type_Forfait],"Pas d'information")</f>
        <v>Pas d'information</v>
      </c>
      <c r="K567" s="5" t="str">
        <f>IF(Logs_Reseau6[[#This Row],[Type_Forfait]]="Pro Monde","B2B","B2C")</f>
        <v>B2C</v>
      </c>
      <c r="L567" s="5" t="str">
        <f>_xlfn.XLOOKUP(Logs_Reseau6[[#This Row],[Id_Client]],Clients_Churn[ID_Client],Clients_Churn[Duree_Cumulee_Panne_Min],"Non Trouvée")</f>
        <v>Non Trouvée</v>
      </c>
      <c r="M567" s="5" t="str">
        <f>_xlfn.XLOOKUP(Logs_Reseau6[[#This Row],[Id_Client]],Clients_Churn[ID_Client],Clients_Churn[Anciennete_Mois],"Rien à signaler")</f>
        <v>Rien à signaler</v>
      </c>
      <c r="N567" s="5" t="e">
        <f>Logs_Reseau6[[#This Row],[Anciennette]]/24</f>
        <v>#VALUE!</v>
      </c>
      <c r="O567" s="5" t="e">
        <f>Logs_Reseau6[[#This Row],[Duree_Cumulée_Panne]]/1440</f>
        <v>#VALUE!</v>
      </c>
      <c r="P56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68" spans="1:16" x14ac:dyDescent="0.25">
      <c r="A568" s="2">
        <v>45205</v>
      </c>
      <c r="B568" s="1">
        <v>0.72916666666666663</v>
      </c>
      <c r="C568" t="s">
        <v>1060</v>
      </c>
      <c r="D568">
        <v>106</v>
      </c>
      <c r="E568" t="s">
        <v>1305</v>
      </c>
      <c r="F568" t="str">
        <f>_xlfn.XLOOKUP(Logs_Reseau6[[#This Row],[Cell_ID]],Registre[ID_Antenne],Registre[Province_RDC],"Non Trouvée")</f>
        <v>Haut-Katanga</v>
      </c>
      <c r="G568" t="str">
        <f>_xlfn.XLOOKUP(Logs_Reseau6[[#This Row],[Province]],Clients_Churn[Province_Client],Clients_Churn[ID_Client],"Aucun")</f>
        <v>CLI-00059</v>
      </c>
      <c r="H568" t="str">
        <f>_xlfn.XLOOKUP(Logs_Reseau6[[#This Row],[Cell_ID]],Registre[ID_Antenne],Registre[Technologie],"Rien à signaler")</f>
        <v>4G</v>
      </c>
      <c r="I568" t="str">
        <f>_xlfn.XLOOKUP(Logs_Reseau6[[#This Row],[Cell_ID]],Registre[ID_Antenne],Registre[Equipementier],"Non Trouvée")</f>
        <v>Nokia</v>
      </c>
      <c r="J568" t="str">
        <f>_xlfn.XLOOKUP(Logs_Reseau6[[#This Row],[Id_Client]],Clients_Churn[ID_Client],Clients_Churn[Type_Forfait],"Pas d'information")</f>
        <v>Pro Monde</v>
      </c>
      <c r="K568" s="5" t="str">
        <f>IF(Logs_Reseau6[[#This Row],[Type_Forfait]]="Pro Monde","B2B","B2C")</f>
        <v>B2B</v>
      </c>
      <c r="L568" s="5">
        <f>_xlfn.XLOOKUP(Logs_Reseau6[[#This Row],[Id_Client]],Clients_Churn[ID_Client],Clients_Churn[Duree_Cumulee_Panne_Min],"Non Trouvée")</f>
        <v>76</v>
      </c>
      <c r="M568" s="5">
        <f>_xlfn.XLOOKUP(Logs_Reseau6[[#This Row],[Id_Client]],Clients_Churn[ID_Client],Clients_Churn[Anciennete_Mois],"Rien à signaler")</f>
        <v>69</v>
      </c>
      <c r="N568" s="11">
        <f>Logs_Reseau6[[#This Row],[Anciennette]]/24</f>
        <v>2.875</v>
      </c>
      <c r="O568" s="1">
        <f>Logs_Reseau6[[#This Row],[Duree_Cumulée_Panne]]/1440</f>
        <v>5.2777777777777778E-2</v>
      </c>
      <c r="P56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69" spans="1:16" x14ac:dyDescent="0.25">
      <c r="A569" s="2">
        <v>45223</v>
      </c>
      <c r="B569" s="1">
        <v>0.29375000000000001</v>
      </c>
      <c r="C569" t="s">
        <v>1060</v>
      </c>
      <c r="D569">
        <v>42</v>
      </c>
      <c r="E569" t="s">
        <v>1305</v>
      </c>
      <c r="F569" t="str">
        <f>_xlfn.XLOOKUP(Logs_Reseau6[[#This Row],[Cell_ID]],Registre[ID_Antenne],Registre[Province_RDC],"Non Trouvée")</f>
        <v>Haut-Katanga</v>
      </c>
      <c r="G569" t="str">
        <f>_xlfn.XLOOKUP(Logs_Reseau6[[#This Row],[Province]],Clients_Churn[Province_Client],Clients_Churn[ID_Client],"Aucun")</f>
        <v>CLI-00059</v>
      </c>
      <c r="H569" t="str">
        <f>_xlfn.XLOOKUP(Logs_Reseau6[[#This Row],[Cell_ID]],Registre[ID_Antenne],Registre[Technologie],"Rien à signaler")</f>
        <v>4G</v>
      </c>
      <c r="I569" t="str">
        <f>_xlfn.XLOOKUP(Logs_Reseau6[[#This Row],[Cell_ID]],Registre[ID_Antenne],Registre[Equipementier],"Non Trouvée")</f>
        <v>Nokia</v>
      </c>
      <c r="J569" t="str">
        <f>_xlfn.XLOOKUP(Logs_Reseau6[[#This Row],[Id_Client]],Clients_Churn[ID_Client],Clients_Churn[Type_Forfait],"Pas d'information")</f>
        <v>Pro Monde</v>
      </c>
      <c r="K569" s="5" t="str">
        <f>IF(Logs_Reseau6[[#This Row],[Type_Forfait]]="Pro Monde","B2B","B2C")</f>
        <v>B2B</v>
      </c>
      <c r="L569" s="5">
        <f>_xlfn.XLOOKUP(Logs_Reseau6[[#This Row],[Id_Client]],Clients_Churn[ID_Client],Clients_Churn[Duree_Cumulee_Panne_Min],"Non Trouvée")</f>
        <v>76</v>
      </c>
      <c r="M569" s="5">
        <f>_xlfn.XLOOKUP(Logs_Reseau6[[#This Row],[Id_Client]],Clients_Churn[ID_Client],Clients_Churn[Anciennete_Mois],"Rien à signaler")</f>
        <v>69</v>
      </c>
      <c r="N569" s="11">
        <f>Logs_Reseau6[[#This Row],[Anciennette]]/24</f>
        <v>2.875</v>
      </c>
      <c r="O569" s="1">
        <f>Logs_Reseau6[[#This Row],[Duree_Cumulée_Panne]]/1440</f>
        <v>5.2777777777777778E-2</v>
      </c>
      <c r="P56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70" spans="1:16" hidden="1" x14ac:dyDescent="0.25">
      <c r="A570" s="2">
        <v>45205</v>
      </c>
      <c r="B570" s="1">
        <v>0.11041666666666666</v>
      </c>
      <c r="C570" t="s">
        <v>1318</v>
      </c>
      <c r="D570">
        <v>104</v>
      </c>
      <c r="E570" t="s">
        <v>1300</v>
      </c>
      <c r="F570" t="str">
        <f>_xlfn.XLOOKUP(Logs_Reseau6[[#This Row],[Cell_ID]],Registre[ID_Antenne],Registre[Province_RDC],"Non Trouvée")</f>
        <v>Non Trouvée</v>
      </c>
      <c r="G570" t="str">
        <f>_xlfn.XLOOKUP(Logs_Reseau6[[#This Row],[Province]],Clients_Churn[Province_Client],Clients_Churn[ID_Client],"Aucun")</f>
        <v>Aucun</v>
      </c>
      <c r="H570" t="str">
        <f>_xlfn.XLOOKUP(Logs_Reseau6[[#This Row],[Cell_ID]],Registre[ID_Antenne],Registre[Technologie],"Rien à signaler")</f>
        <v>Rien à signaler</v>
      </c>
      <c r="I570" t="str">
        <f>_xlfn.XLOOKUP(Logs_Reseau6[[#This Row],[Cell_ID]],Registre[ID_Antenne],Registre[Equipementier],"Non Trouvée")</f>
        <v>Non Trouvée</v>
      </c>
      <c r="J570" t="str">
        <f>_xlfn.XLOOKUP(Logs_Reseau6[[#This Row],[Id_Client]],Clients_Churn[ID_Client],Clients_Churn[Type_Forfait],"Pas d'information")</f>
        <v>Pas d'information</v>
      </c>
      <c r="K570" s="5" t="str">
        <f>IF(Logs_Reseau6[[#This Row],[Type_Forfait]]="Pro Monde","B2B","B2C")</f>
        <v>B2C</v>
      </c>
      <c r="L570" s="5" t="str">
        <f>_xlfn.XLOOKUP(Logs_Reseau6[[#This Row],[Id_Client]],Clients_Churn[ID_Client],Clients_Churn[Duree_Cumulee_Panne_Min],"Non Trouvée")</f>
        <v>Non Trouvée</v>
      </c>
      <c r="M570" s="5" t="str">
        <f>_xlfn.XLOOKUP(Logs_Reseau6[[#This Row],[Id_Client]],Clients_Churn[ID_Client],Clients_Churn[Anciennete_Mois],"Rien à signaler")</f>
        <v>Rien à signaler</v>
      </c>
      <c r="N570" s="5" t="e">
        <f>Logs_Reseau6[[#This Row],[Anciennette]]/24</f>
        <v>#VALUE!</v>
      </c>
      <c r="O570" s="5" t="e">
        <f>Logs_Reseau6[[#This Row],[Duree_Cumulée_Panne]]/1440</f>
        <v>#VALUE!</v>
      </c>
      <c r="P57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71" spans="1:16" hidden="1" x14ac:dyDescent="0.25">
      <c r="A571" s="2">
        <v>45211</v>
      </c>
      <c r="B571" s="1">
        <v>0.10555555555555556</v>
      </c>
      <c r="C571" t="s">
        <v>1318</v>
      </c>
      <c r="D571">
        <v>67</v>
      </c>
      <c r="E571" t="s">
        <v>1300</v>
      </c>
      <c r="F571" t="str">
        <f>_xlfn.XLOOKUP(Logs_Reseau6[[#This Row],[Cell_ID]],Registre[ID_Antenne],Registre[Province_RDC],"Non Trouvée")</f>
        <v>Non Trouvée</v>
      </c>
      <c r="G571" t="str">
        <f>_xlfn.XLOOKUP(Logs_Reseau6[[#This Row],[Province]],Clients_Churn[Province_Client],Clients_Churn[ID_Client],"Aucun")</f>
        <v>Aucun</v>
      </c>
      <c r="H571" t="str">
        <f>_xlfn.XLOOKUP(Logs_Reseau6[[#This Row],[Cell_ID]],Registre[ID_Antenne],Registre[Technologie],"Rien à signaler")</f>
        <v>Rien à signaler</v>
      </c>
      <c r="I571" t="str">
        <f>_xlfn.XLOOKUP(Logs_Reseau6[[#This Row],[Cell_ID]],Registre[ID_Antenne],Registre[Equipementier],"Non Trouvée")</f>
        <v>Non Trouvée</v>
      </c>
      <c r="J571" t="str">
        <f>_xlfn.XLOOKUP(Logs_Reseau6[[#This Row],[Id_Client]],Clients_Churn[ID_Client],Clients_Churn[Type_Forfait],"Pas d'information")</f>
        <v>Pas d'information</v>
      </c>
      <c r="K571" s="5" t="str">
        <f>IF(Logs_Reseau6[[#This Row],[Type_Forfait]]="Pro Monde","B2B","B2C")</f>
        <v>B2C</v>
      </c>
      <c r="L571" s="5" t="str">
        <f>_xlfn.XLOOKUP(Logs_Reseau6[[#This Row],[Id_Client]],Clients_Churn[ID_Client],Clients_Churn[Duree_Cumulee_Panne_Min],"Non Trouvée")</f>
        <v>Non Trouvée</v>
      </c>
      <c r="M571" s="5" t="str">
        <f>_xlfn.XLOOKUP(Logs_Reseau6[[#This Row],[Id_Client]],Clients_Churn[ID_Client],Clients_Churn[Anciennete_Mois],"Rien à signaler")</f>
        <v>Rien à signaler</v>
      </c>
      <c r="N571" s="5" t="e">
        <f>Logs_Reseau6[[#This Row],[Anciennette]]/24</f>
        <v>#VALUE!</v>
      </c>
      <c r="O571" s="5" t="e">
        <f>Logs_Reseau6[[#This Row],[Duree_Cumulée_Panne]]/1440</f>
        <v>#VALUE!</v>
      </c>
      <c r="P57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72" spans="1:16" hidden="1" x14ac:dyDescent="0.25">
      <c r="A572" s="2">
        <v>45214</v>
      </c>
      <c r="B572" s="1">
        <v>0.19305555555555556</v>
      </c>
      <c r="C572" t="s">
        <v>1318</v>
      </c>
      <c r="D572">
        <v>76</v>
      </c>
      <c r="E572" t="s">
        <v>1305</v>
      </c>
      <c r="F572" t="str">
        <f>_xlfn.XLOOKUP(Logs_Reseau6[[#This Row],[Cell_ID]],Registre[ID_Antenne],Registre[Province_RDC],"Non Trouvée")</f>
        <v>Non Trouvée</v>
      </c>
      <c r="G572" t="str">
        <f>_xlfn.XLOOKUP(Logs_Reseau6[[#This Row],[Province]],Clients_Churn[Province_Client],Clients_Churn[ID_Client],"Aucun")</f>
        <v>Aucun</v>
      </c>
      <c r="H572" t="str">
        <f>_xlfn.XLOOKUP(Logs_Reseau6[[#This Row],[Cell_ID]],Registre[ID_Antenne],Registre[Technologie],"Rien à signaler")</f>
        <v>Rien à signaler</v>
      </c>
      <c r="I572" t="str">
        <f>_xlfn.XLOOKUP(Logs_Reseau6[[#This Row],[Cell_ID]],Registre[ID_Antenne],Registre[Equipementier],"Non Trouvée")</f>
        <v>Non Trouvée</v>
      </c>
      <c r="J572" t="str">
        <f>_xlfn.XLOOKUP(Logs_Reseau6[[#This Row],[Id_Client]],Clients_Churn[ID_Client],Clients_Churn[Type_Forfait],"Pas d'information")</f>
        <v>Pas d'information</v>
      </c>
      <c r="K572" s="5" t="str">
        <f>IF(Logs_Reseau6[[#This Row],[Type_Forfait]]="Pro Monde","B2B","B2C")</f>
        <v>B2C</v>
      </c>
      <c r="L572" s="5" t="str">
        <f>_xlfn.XLOOKUP(Logs_Reseau6[[#This Row],[Id_Client]],Clients_Churn[ID_Client],Clients_Churn[Duree_Cumulee_Panne_Min],"Non Trouvée")</f>
        <v>Non Trouvée</v>
      </c>
      <c r="M572" s="5" t="str">
        <f>_xlfn.XLOOKUP(Logs_Reseau6[[#This Row],[Id_Client]],Clients_Churn[ID_Client],Clients_Churn[Anciennete_Mois],"Rien à signaler")</f>
        <v>Rien à signaler</v>
      </c>
      <c r="N572" s="5" t="e">
        <f>Logs_Reseau6[[#This Row],[Anciennette]]/24</f>
        <v>#VALUE!</v>
      </c>
      <c r="O572" s="5" t="e">
        <f>Logs_Reseau6[[#This Row],[Duree_Cumulée_Panne]]/1440</f>
        <v>#VALUE!</v>
      </c>
      <c r="P57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73" spans="1:16" hidden="1" x14ac:dyDescent="0.25">
      <c r="A573" s="2">
        <v>45214</v>
      </c>
      <c r="B573" s="1">
        <v>0.87013888888888891</v>
      </c>
      <c r="C573" t="s">
        <v>1318</v>
      </c>
      <c r="D573">
        <v>72</v>
      </c>
      <c r="E573" t="s">
        <v>1300</v>
      </c>
      <c r="F573" t="str">
        <f>_xlfn.XLOOKUP(Logs_Reseau6[[#This Row],[Cell_ID]],Registre[ID_Antenne],Registre[Province_RDC],"Non Trouvée")</f>
        <v>Non Trouvée</v>
      </c>
      <c r="G573" t="str">
        <f>_xlfn.XLOOKUP(Logs_Reseau6[[#This Row],[Province]],Clients_Churn[Province_Client],Clients_Churn[ID_Client],"Aucun")</f>
        <v>Aucun</v>
      </c>
      <c r="H573" t="str">
        <f>_xlfn.XLOOKUP(Logs_Reseau6[[#This Row],[Cell_ID]],Registre[ID_Antenne],Registre[Technologie],"Rien à signaler")</f>
        <v>Rien à signaler</v>
      </c>
      <c r="I573" t="str">
        <f>_xlfn.XLOOKUP(Logs_Reseau6[[#This Row],[Cell_ID]],Registre[ID_Antenne],Registre[Equipementier],"Non Trouvée")</f>
        <v>Non Trouvée</v>
      </c>
      <c r="J573" t="str">
        <f>_xlfn.XLOOKUP(Logs_Reseau6[[#This Row],[Id_Client]],Clients_Churn[ID_Client],Clients_Churn[Type_Forfait],"Pas d'information")</f>
        <v>Pas d'information</v>
      </c>
      <c r="K573" s="5" t="str">
        <f>IF(Logs_Reseau6[[#This Row],[Type_Forfait]]="Pro Monde","B2B","B2C")</f>
        <v>B2C</v>
      </c>
      <c r="L573" s="5" t="str">
        <f>_xlfn.XLOOKUP(Logs_Reseau6[[#This Row],[Id_Client]],Clients_Churn[ID_Client],Clients_Churn[Duree_Cumulee_Panne_Min],"Non Trouvée")</f>
        <v>Non Trouvée</v>
      </c>
      <c r="M573" s="5" t="str">
        <f>_xlfn.XLOOKUP(Logs_Reseau6[[#This Row],[Id_Client]],Clients_Churn[ID_Client],Clients_Churn[Anciennete_Mois],"Rien à signaler")</f>
        <v>Rien à signaler</v>
      </c>
      <c r="N573" s="5" t="e">
        <f>Logs_Reseau6[[#This Row],[Anciennette]]/24</f>
        <v>#VALUE!</v>
      </c>
      <c r="O573" s="5" t="e">
        <f>Logs_Reseau6[[#This Row],[Duree_Cumulée_Panne]]/1440</f>
        <v>#VALUE!</v>
      </c>
      <c r="P57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74" spans="1:16" hidden="1" x14ac:dyDescent="0.25">
      <c r="A574" s="2">
        <v>45227</v>
      </c>
      <c r="B574" s="1">
        <v>0.30625000000000002</v>
      </c>
      <c r="C574" t="s">
        <v>1318</v>
      </c>
      <c r="D574">
        <v>71</v>
      </c>
      <c r="E574" t="s">
        <v>1303</v>
      </c>
      <c r="F574" t="str">
        <f>_xlfn.XLOOKUP(Logs_Reseau6[[#This Row],[Cell_ID]],Registre[ID_Antenne],Registre[Province_RDC],"Non Trouvée")</f>
        <v>Non Trouvée</v>
      </c>
      <c r="G574" t="str">
        <f>_xlfn.XLOOKUP(Logs_Reseau6[[#This Row],[Province]],Clients_Churn[Province_Client],Clients_Churn[ID_Client],"Aucun")</f>
        <v>Aucun</v>
      </c>
      <c r="H574" t="str">
        <f>_xlfn.XLOOKUP(Logs_Reseau6[[#This Row],[Cell_ID]],Registre[ID_Antenne],Registre[Technologie],"Rien à signaler")</f>
        <v>Rien à signaler</v>
      </c>
      <c r="I574" t="str">
        <f>_xlfn.XLOOKUP(Logs_Reseau6[[#This Row],[Cell_ID]],Registre[ID_Antenne],Registre[Equipementier],"Non Trouvée")</f>
        <v>Non Trouvée</v>
      </c>
      <c r="J574" t="str">
        <f>_xlfn.XLOOKUP(Logs_Reseau6[[#This Row],[Id_Client]],Clients_Churn[ID_Client],Clients_Churn[Type_Forfait],"Pas d'information")</f>
        <v>Pas d'information</v>
      </c>
      <c r="K574" s="5" t="str">
        <f>IF(Logs_Reseau6[[#This Row],[Type_Forfait]]="Pro Monde","B2B","B2C")</f>
        <v>B2C</v>
      </c>
      <c r="L574" s="5" t="str">
        <f>_xlfn.XLOOKUP(Logs_Reseau6[[#This Row],[Id_Client]],Clients_Churn[ID_Client],Clients_Churn[Duree_Cumulee_Panne_Min],"Non Trouvée")</f>
        <v>Non Trouvée</v>
      </c>
      <c r="M574" s="5" t="str">
        <f>_xlfn.XLOOKUP(Logs_Reseau6[[#This Row],[Id_Client]],Clients_Churn[ID_Client],Clients_Churn[Anciennete_Mois],"Rien à signaler")</f>
        <v>Rien à signaler</v>
      </c>
      <c r="N574" s="5" t="e">
        <f>Logs_Reseau6[[#This Row],[Anciennette]]/24</f>
        <v>#VALUE!</v>
      </c>
      <c r="O574" s="5" t="e">
        <f>Logs_Reseau6[[#This Row],[Duree_Cumulée_Panne]]/1440</f>
        <v>#VALUE!</v>
      </c>
      <c r="P57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75" spans="1:16" x14ac:dyDescent="0.25">
      <c r="A575" s="2">
        <v>45215</v>
      </c>
      <c r="B575" s="1">
        <v>5.6944444444444443E-2</v>
      </c>
      <c r="C575" t="s">
        <v>1042</v>
      </c>
      <c r="D575">
        <v>99</v>
      </c>
      <c r="E575" t="s">
        <v>1303</v>
      </c>
      <c r="F575" t="str">
        <f>_xlfn.XLOOKUP(Logs_Reseau6[[#This Row],[Cell_ID]],Registre[ID_Antenne],Registre[Province_RDC],"Non Trouvée")</f>
        <v>Kinshasa</v>
      </c>
      <c r="G575" t="str">
        <f>_xlfn.XLOOKUP(Logs_Reseau6[[#This Row],[Province]],Clients_Churn[Province_Client],Clients_Churn[ID_Client],"Aucun")</f>
        <v>CLI-00184</v>
      </c>
      <c r="H575" t="str">
        <f>_xlfn.XLOOKUP(Logs_Reseau6[[#This Row],[Cell_ID]],Registre[ID_Antenne],Registre[Technologie],"Rien à signaler")</f>
        <v>3G</v>
      </c>
      <c r="I575" t="str">
        <f>_xlfn.XLOOKUP(Logs_Reseau6[[#This Row],[Cell_ID]],Registre[ID_Antenne],Registre[Equipementier],"Non Trouvée")</f>
        <v>ZTE</v>
      </c>
      <c r="J575" t="str">
        <f>_xlfn.XLOOKUP(Logs_Reseau6[[#This Row],[Id_Client]],Clients_Churn[ID_Client],Clients_Churn[Type_Forfait],"Pas d'information")</f>
        <v>Premium 5G 150Go</v>
      </c>
      <c r="K575" s="5" t="str">
        <f>IF(Logs_Reseau6[[#This Row],[Type_Forfait]]="Pro Monde","B2B","B2C")</f>
        <v>B2C</v>
      </c>
      <c r="L575" s="5">
        <f>_xlfn.XLOOKUP(Logs_Reseau6[[#This Row],[Id_Client]],Clients_Churn[ID_Client],Clients_Churn[Duree_Cumulee_Panne_Min],"Non Trouvée")</f>
        <v>191</v>
      </c>
      <c r="M575" s="5">
        <f>_xlfn.XLOOKUP(Logs_Reseau6[[#This Row],[Id_Client]],Clients_Churn[ID_Client],Clients_Churn[Anciennete_Mois],"Rien à signaler")</f>
        <v>71</v>
      </c>
      <c r="N575" s="11">
        <f>Logs_Reseau6[[#This Row],[Anciennette]]/24</f>
        <v>2.9583333333333335</v>
      </c>
      <c r="O575" s="1">
        <f>Logs_Reseau6[[#This Row],[Duree_Cumulée_Panne]]/1440</f>
        <v>0.13263888888888889</v>
      </c>
      <c r="P57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76" spans="1:16" x14ac:dyDescent="0.25">
      <c r="A576" s="2">
        <v>45221</v>
      </c>
      <c r="B576" s="1">
        <v>0.28333333333333333</v>
      </c>
      <c r="C576" t="s">
        <v>1042</v>
      </c>
      <c r="D576">
        <v>22</v>
      </c>
      <c r="E576" t="s">
        <v>1300</v>
      </c>
      <c r="F576" t="str">
        <f>_xlfn.XLOOKUP(Logs_Reseau6[[#This Row],[Cell_ID]],Registre[ID_Antenne],Registre[Province_RDC],"Non Trouvée")</f>
        <v>Kinshasa</v>
      </c>
      <c r="G576" t="str">
        <f>_xlfn.XLOOKUP(Logs_Reseau6[[#This Row],[Province]],Clients_Churn[Province_Client],Clients_Churn[ID_Client],"Aucun")</f>
        <v>CLI-00184</v>
      </c>
      <c r="H576" t="str">
        <f>_xlfn.XLOOKUP(Logs_Reseau6[[#This Row],[Cell_ID]],Registre[ID_Antenne],Registre[Technologie],"Rien à signaler")</f>
        <v>3G</v>
      </c>
      <c r="I576" t="str">
        <f>_xlfn.XLOOKUP(Logs_Reseau6[[#This Row],[Cell_ID]],Registre[ID_Antenne],Registre[Equipementier],"Non Trouvée")</f>
        <v>ZTE</v>
      </c>
      <c r="J576" t="str">
        <f>_xlfn.XLOOKUP(Logs_Reseau6[[#This Row],[Id_Client]],Clients_Churn[ID_Client],Clients_Churn[Type_Forfait],"Pas d'information")</f>
        <v>Premium 5G 150Go</v>
      </c>
      <c r="K576" s="5" t="str">
        <f>IF(Logs_Reseau6[[#This Row],[Type_Forfait]]="Pro Monde","B2B","B2C")</f>
        <v>B2C</v>
      </c>
      <c r="L576" s="5">
        <f>_xlfn.XLOOKUP(Logs_Reseau6[[#This Row],[Id_Client]],Clients_Churn[ID_Client],Clients_Churn[Duree_Cumulee_Panne_Min],"Non Trouvée")</f>
        <v>191</v>
      </c>
      <c r="M576" s="5">
        <f>_xlfn.XLOOKUP(Logs_Reseau6[[#This Row],[Id_Client]],Clients_Churn[ID_Client],Clients_Churn[Anciennete_Mois],"Rien à signaler")</f>
        <v>71</v>
      </c>
      <c r="N576" s="11">
        <f>Logs_Reseau6[[#This Row],[Anciennette]]/24</f>
        <v>2.9583333333333335</v>
      </c>
      <c r="O576" s="1">
        <f>Logs_Reseau6[[#This Row],[Duree_Cumulée_Panne]]/1440</f>
        <v>0.13263888888888889</v>
      </c>
      <c r="P57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77" spans="1:16" hidden="1" x14ac:dyDescent="0.25">
      <c r="A577" s="2">
        <v>45209</v>
      </c>
      <c r="B577" s="1">
        <v>0.92569444444444449</v>
      </c>
      <c r="C577" t="s">
        <v>1492</v>
      </c>
      <c r="D577">
        <v>35</v>
      </c>
      <c r="E577" t="s">
        <v>1300</v>
      </c>
      <c r="F577" t="str">
        <f>_xlfn.XLOOKUP(Logs_Reseau6[[#This Row],[Cell_ID]],Registre[ID_Antenne],Registre[Province_RDC],"Non Trouvée")</f>
        <v>Non Trouvée</v>
      </c>
      <c r="G577" t="str">
        <f>_xlfn.XLOOKUP(Logs_Reseau6[[#This Row],[Province]],Clients_Churn[Province_Client],Clients_Churn[ID_Client],"Aucun")</f>
        <v>Aucun</v>
      </c>
      <c r="H577" t="str">
        <f>_xlfn.XLOOKUP(Logs_Reseau6[[#This Row],[Cell_ID]],Registre[ID_Antenne],Registre[Technologie],"Rien à signaler")</f>
        <v>Rien à signaler</v>
      </c>
      <c r="I577" t="str">
        <f>_xlfn.XLOOKUP(Logs_Reseau6[[#This Row],[Cell_ID]],Registre[ID_Antenne],Registre[Equipementier],"Non Trouvée")</f>
        <v>Non Trouvée</v>
      </c>
      <c r="J577" t="str">
        <f>_xlfn.XLOOKUP(Logs_Reseau6[[#This Row],[Id_Client]],Clients_Churn[ID_Client],Clients_Churn[Type_Forfait],"Pas d'information")</f>
        <v>Pas d'information</v>
      </c>
      <c r="K577" s="5" t="str">
        <f>IF(Logs_Reseau6[[#This Row],[Type_Forfait]]="Pro Monde","B2B","B2C")</f>
        <v>B2C</v>
      </c>
      <c r="L577" s="5" t="str">
        <f>_xlfn.XLOOKUP(Logs_Reseau6[[#This Row],[Id_Client]],Clients_Churn[ID_Client],Clients_Churn[Duree_Cumulee_Panne_Min],"Non Trouvée")</f>
        <v>Non Trouvée</v>
      </c>
      <c r="M577" s="5" t="str">
        <f>_xlfn.XLOOKUP(Logs_Reseau6[[#This Row],[Id_Client]],Clients_Churn[ID_Client],Clients_Churn[Anciennete_Mois],"Rien à signaler")</f>
        <v>Rien à signaler</v>
      </c>
      <c r="N577" s="5" t="e">
        <f>Logs_Reseau6[[#This Row],[Anciennette]]/24</f>
        <v>#VALUE!</v>
      </c>
      <c r="O577" s="5" t="e">
        <f>Logs_Reseau6[[#This Row],[Duree_Cumulée_Panne]]/1440</f>
        <v>#VALUE!</v>
      </c>
      <c r="P57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78" spans="1:16" x14ac:dyDescent="0.25">
      <c r="A578" s="2">
        <v>45225</v>
      </c>
      <c r="B578" s="1">
        <v>0.62361111111111112</v>
      </c>
      <c r="C578" t="s">
        <v>1103</v>
      </c>
      <c r="D578">
        <v>22</v>
      </c>
      <c r="E578" t="s">
        <v>1300</v>
      </c>
      <c r="F578" t="str">
        <f>_xlfn.XLOOKUP(Logs_Reseau6[[#This Row],[Cell_ID]],Registre[ID_Antenne],Registre[Province_RDC],"Non Trouvée")</f>
        <v>Mai-Ndombe</v>
      </c>
      <c r="G578" t="str">
        <f>_xlfn.XLOOKUP(Logs_Reseau6[[#This Row],[Province]],Clients_Churn[Province_Client],Clients_Churn[ID_Client],"Aucun")</f>
        <v>CLI-00090</v>
      </c>
      <c r="H578" t="str">
        <f>_xlfn.XLOOKUP(Logs_Reseau6[[#This Row],[Cell_ID]],Registre[ID_Antenne],Registre[Technologie],"Rien à signaler")</f>
        <v>5G</v>
      </c>
      <c r="I578" t="str">
        <f>_xlfn.XLOOKUP(Logs_Reseau6[[#This Row],[Cell_ID]],Registre[ID_Antenne],Registre[Equipementier],"Non Trouvée")</f>
        <v>ZTE</v>
      </c>
      <c r="J578" t="str">
        <f>_xlfn.XLOOKUP(Logs_Reseau6[[#This Row],[Id_Client]],Clients_Churn[ID_Client],Clients_Churn[Type_Forfait],"Pas d'information")</f>
        <v>Bloqué 5Go</v>
      </c>
      <c r="K578" s="5" t="str">
        <f>IF(Logs_Reseau6[[#This Row],[Type_Forfait]]="Pro Monde","B2B","B2C")</f>
        <v>B2C</v>
      </c>
      <c r="L578" s="5">
        <f>_xlfn.XLOOKUP(Logs_Reseau6[[#This Row],[Id_Client]],Clients_Churn[ID_Client],Clients_Churn[Duree_Cumulee_Panne_Min],"Non Trouvée")</f>
        <v>400</v>
      </c>
      <c r="M578" s="5">
        <f>_xlfn.XLOOKUP(Logs_Reseau6[[#This Row],[Id_Client]],Clients_Churn[ID_Client],Clients_Churn[Anciennete_Mois],"Rien à signaler")</f>
        <v>15</v>
      </c>
      <c r="N578" s="11">
        <f>Logs_Reseau6[[#This Row],[Anciennette]]/24</f>
        <v>0.625</v>
      </c>
      <c r="O578" s="1">
        <f>Logs_Reseau6[[#This Row],[Duree_Cumulée_Panne]]/1440</f>
        <v>0.27777777777777779</v>
      </c>
      <c r="P57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79" spans="1:16" x14ac:dyDescent="0.25">
      <c r="A579" s="2">
        <v>45227</v>
      </c>
      <c r="B579" s="1">
        <v>0.77847222222222223</v>
      </c>
      <c r="C579" t="s">
        <v>1103</v>
      </c>
      <c r="D579">
        <v>67</v>
      </c>
      <c r="E579" t="s">
        <v>1305</v>
      </c>
      <c r="F579" t="str">
        <f>_xlfn.XLOOKUP(Logs_Reseau6[[#This Row],[Cell_ID]],Registre[ID_Antenne],Registre[Province_RDC],"Non Trouvée")</f>
        <v>Mai-Ndombe</v>
      </c>
      <c r="G579" t="str">
        <f>_xlfn.XLOOKUP(Logs_Reseau6[[#This Row],[Province]],Clients_Churn[Province_Client],Clients_Churn[ID_Client],"Aucun")</f>
        <v>CLI-00090</v>
      </c>
      <c r="H579" t="str">
        <f>_xlfn.XLOOKUP(Logs_Reseau6[[#This Row],[Cell_ID]],Registre[ID_Antenne],Registre[Technologie],"Rien à signaler")</f>
        <v>5G</v>
      </c>
      <c r="I579" t="str">
        <f>_xlfn.XLOOKUP(Logs_Reseau6[[#This Row],[Cell_ID]],Registre[ID_Antenne],Registre[Equipementier],"Non Trouvée")</f>
        <v>ZTE</v>
      </c>
      <c r="J579" t="str">
        <f>_xlfn.XLOOKUP(Logs_Reseau6[[#This Row],[Id_Client]],Clients_Churn[ID_Client],Clients_Churn[Type_Forfait],"Pas d'information")</f>
        <v>Bloqué 5Go</v>
      </c>
      <c r="K579" s="5" t="str">
        <f>IF(Logs_Reseau6[[#This Row],[Type_Forfait]]="Pro Monde","B2B","B2C")</f>
        <v>B2C</v>
      </c>
      <c r="L579" s="5">
        <f>_xlfn.XLOOKUP(Logs_Reseau6[[#This Row],[Id_Client]],Clients_Churn[ID_Client],Clients_Churn[Duree_Cumulee_Panne_Min],"Non Trouvée")</f>
        <v>400</v>
      </c>
      <c r="M579" s="5">
        <f>_xlfn.XLOOKUP(Logs_Reseau6[[#This Row],[Id_Client]],Clients_Churn[ID_Client],Clients_Churn[Anciennete_Mois],"Rien à signaler")</f>
        <v>15</v>
      </c>
      <c r="N579" s="11">
        <f>Logs_Reseau6[[#This Row],[Anciennette]]/24</f>
        <v>0.625</v>
      </c>
      <c r="O579" s="1">
        <f>Logs_Reseau6[[#This Row],[Duree_Cumulée_Panne]]/1440</f>
        <v>0.27777777777777779</v>
      </c>
      <c r="P57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80" spans="1:16" x14ac:dyDescent="0.25">
      <c r="A580" s="2">
        <v>45221</v>
      </c>
      <c r="B580" s="1">
        <v>0.78055555555555556</v>
      </c>
      <c r="C580" t="s">
        <v>1219</v>
      </c>
      <c r="D580">
        <v>67</v>
      </c>
      <c r="E580" t="s">
        <v>1300</v>
      </c>
      <c r="F580" t="str">
        <f>_xlfn.XLOOKUP(Logs_Reseau6[[#This Row],[Cell_ID]],Registre[ID_Antenne],Registre[Province_RDC],"Non Trouvée")</f>
        <v>Tshuapa</v>
      </c>
      <c r="G580" t="str">
        <f>_xlfn.XLOOKUP(Logs_Reseau6[[#This Row],[Province]],Clients_Churn[Province_Client],Clients_Churn[ID_Client],"Aucun")</f>
        <v>CLI-00033</v>
      </c>
      <c r="H580" t="str">
        <f>_xlfn.XLOOKUP(Logs_Reseau6[[#This Row],[Cell_ID]],Registre[ID_Antenne],Registre[Technologie],"Rien à signaler")</f>
        <v>5G</v>
      </c>
      <c r="I580" t="str">
        <f>_xlfn.XLOOKUP(Logs_Reseau6[[#This Row],[Cell_ID]],Registre[ID_Antenne],Registre[Equipementier],"Non Trouvée")</f>
        <v>Nokia</v>
      </c>
      <c r="J580" t="str">
        <f>_xlfn.XLOOKUP(Logs_Reseau6[[#This Row],[Id_Client]],Clients_Churn[ID_Client],Clients_Churn[Type_Forfait],"Pas d'information")</f>
        <v>Premium 5G 150Go</v>
      </c>
      <c r="K580" s="5" t="str">
        <f>IF(Logs_Reseau6[[#This Row],[Type_Forfait]]="Pro Monde","B2B","B2C")</f>
        <v>B2C</v>
      </c>
      <c r="L580" s="5">
        <f>_xlfn.XLOOKUP(Logs_Reseau6[[#This Row],[Id_Client]],Clients_Churn[ID_Client],Clients_Churn[Duree_Cumulee_Panne_Min],"Non Trouvée")</f>
        <v>201</v>
      </c>
      <c r="M580" s="5">
        <f>_xlfn.XLOOKUP(Logs_Reseau6[[#This Row],[Id_Client]],Clients_Churn[ID_Client],Clients_Churn[Anciennete_Mois],"Rien à signaler")</f>
        <v>2</v>
      </c>
      <c r="N580" s="11">
        <f>Logs_Reseau6[[#This Row],[Anciennette]]/24</f>
        <v>8.3333333333333329E-2</v>
      </c>
      <c r="O580" s="1">
        <f>Logs_Reseau6[[#This Row],[Duree_Cumulée_Panne]]/1440</f>
        <v>0.13958333333333334</v>
      </c>
      <c r="P58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81" spans="1:16" x14ac:dyDescent="0.25">
      <c r="A581" s="2">
        <v>45224</v>
      </c>
      <c r="B581" s="1">
        <v>0.34791666666666665</v>
      </c>
      <c r="C581" t="s">
        <v>1219</v>
      </c>
      <c r="D581">
        <v>14</v>
      </c>
      <c r="E581" t="s">
        <v>1300</v>
      </c>
      <c r="F581" t="str">
        <f>_xlfn.XLOOKUP(Logs_Reseau6[[#This Row],[Cell_ID]],Registre[ID_Antenne],Registre[Province_RDC],"Non Trouvée")</f>
        <v>Tshuapa</v>
      </c>
      <c r="G581" t="str">
        <f>_xlfn.XLOOKUP(Logs_Reseau6[[#This Row],[Province]],Clients_Churn[Province_Client],Clients_Churn[ID_Client],"Aucun")</f>
        <v>CLI-00033</v>
      </c>
      <c r="H581" t="str">
        <f>_xlfn.XLOOKUP(Logs_Reseau6[[#This Row],[Cell_ID]],Registre[ID_Antenne],Registre[Technologie],"Rien à signaler")</f>
        <v>5G</v>
      </c>
      <c r="I581" t="str">
        <f>_xlfn.XLOOKUP(Logs_Reseau6[[#This Row],[Cell_ID]],Registre[ID_Antenne],Registre[Equipementier],"Non Trouvée")</f>
        <v>Nokia</v>
      </c>
      <c r="J581" t="str">
        <f>_xlfn.XLOOKUP(Logs_Reseau6[[#This Row],[Id_Client]],Clients_Churn[ID_Client],Clients_Churn[Type_Forfait],"Pas d'information")</f>
        <v>Premium 5G 150Go</v>
      </c>
      <c r="K581" s="5" t="str">
        <f>IF(Logs_Reseau6[[#This Row],[Type_Forfait]]="Pro Monde","B2B","B2C")</f>
        <v>B2C</v>
      </c>
      <c r="L581" s="5">
        <f>_xlfn.XLOOKUP(Logs_Reseau6[[#This Row],[Id_Client]],Clients_Churn[ID_Client],Clients_Churn[Duree_Cumulee_Panne_Min],"Non Trouvée")</f>
        <v>201</v>
      </c>
      <c r="M581" s="5">
        <f>_xlfn.XLOOKUP(Logs_Reseau6[[#This Row],[Id_Client]],Clients_Churn[ID_Client],Clients_Churn[Anciennete_Mois],"Rien à signaler")</f>
        <v>2</v>
      </c>
      <c r="N581" s="11">
        <f>Logs_Reseau6[[#This Row],[Anciennette]]/24</f>
        <v>8.3333333333333329E-2</v>
      </c>
      <c r="O581" s="1">
        <f>Logs_Reseau6[[#This Row],[Duree_Cumulée_Panne]]/1440</f>
        <v>0.13958333333333334</v>
      </c>
      <c r="P58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582" spans="1:16" x14ac:dyDescent="0.25">
      <c r="A582" s="2">
        <v>45201</v>
      </c>
      <c r="B582" s="1">
        <v>0.88472222222222219</v>
      </c>
      <c r="C582" t="s">
        <v>834</v>
      </c>
      <c r="D582">
        <v>54</v>
      </c>
      <c r="E582" t="s">
        <v>1305</v>
      </c>
      <c r="F582" t="str">
        <f>_xlfn.XLOOKUP(Logs_Reseau6[[#This Row],[Cell_ID]],Registre[ID_Antenne],Registre[Province_RDC],"Non Trouvée")</f>
        <v>Nord-Kivu</v>
      </c>
      <c r="G582" t="str">
        <f>_xlfn.XLOOKUP(Logs_Reseau6[[#This Row],[Province]],Clients_Churn[Province_Client],Clients_Churn[ID_Client],"Aucun")</f>
        <v>CLI-00043</v>
      </c>
      <c r="H582" t="str">
        <f>_xlfn.XLOOKUP(Logs_Reseau6[[#This Row],[Cell_ID]],Registre[ID_Antenne],Registre[Technologie],"Rien à signaler")</f>
        <v>4G</v>
      </c>
      <c r="I582" t="str">
        <f>_xlfn.XLOOKUP(Logs_Reseau6[[#This Row],[Cell_ID]],Registre[ID_Antenne],Registre[Equipementier],"Non Trouvée")</f>
        <v>Ericsson</v>
      </c>
      <c r="J582" t="str">
        <f>_xlfn.XLOOKUP(Logs_Reseau6[[#This Row],[Id_Client]],Clients_Churn[ID_Client],Clients_Churn[Type_Forfait],"Pas d'information")</f>
        <v>Pro Monde</v>
      </c>
      <c r="K582" s="5" t="str">
        <f>IF(Logs_Reseau6[[#This Row],[Type_Forfait]]="Pro Monde","B2B","B2C")</f>
        <v>B2B</v>
      </c>
      <c r="L582" s="5">
        <f>_xlfn.XLOOKUP(Logs_Reseau6[[#This Row],[Id_Client]],Clients_Churn[ID_Client],Clients_Churn[Duree_Cumulee_Panne_Min],"Non Trouvée")</f>
        <v>132</v>
      </c>
      <c r="M582" s="5">
        <f>_xlfn.XLOOKUP(Logs_Reseau6[[#This Row],[Id_Client]],Clients_Churn[ID_Client],Clients_Churn[Anciennete_Mois],"Rien à signaler")</f>
        <v>118</v>
      </c>
      <c r="N582" s="11">
        <f>Logs_Reseau6[[#This Row],[Anciennette]]/24</f>
        <v>4.916666666666667</v>
      </c>
      <c r="O582" s="1">
        <f>Logs_Reseau6[[#This Row],[Duree_Cumulée_Panne]]/1440</f>
        <v>9.166666666666666E-2</v>
      </c>
      <c r="P58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83" spans="1:16" x14ac:dyDescent="0.25">
      <c r="A583" s="2">
        <v>45211</v>
      </c>
      <c r="B583" s="1">
        <v>0.47708333333333336</v>
      </c>
      <c r="C583" t="s">
        <v>834</v>
      </c>
      <c r="D583">
        <v>111</v>
      </c>
      <c r="E583" t="s">
        <v>1300</v>
      </c>
      <c r="F583" t="str">
        <f>_xlfn.XLOOKUP(Logs_Reseau6[[#This Row],[Cell_ID]],Registre[ID_Antenne],Registre[Province_RDC],"Non Trouvée")</f>
        <v>Nord-Kivu</v>
      </c>
      <c r="G583" t="str">
        <f>_xlfn.XLOOKUP(Logs_Reseau6[[#This Row],[Province]],Clients_Churn[Province_Client],Clients_Churn[ID_Client],"Aucun")</f>
        <v>CLI-00043</v>
      </c>
      <c r="H583" t="str">
        <f>_xlfn.XLOOKUP(Logs_Reseau6[[#This Row],[Cell_ID]],Registre[ID_Antenne],Registre[Technologie],"Rien à signaler")</f>
        <v>4G</v>
      </c>
      <c r="I583" t="str">
        <f>_xlfn.XLOOKUP(Logs_Reseau6[[#This Row],[Cell_ID]],Registre[ID_Antenne],Registre[Equipementier],"Non Trouvée")</f>
        <v>Ericsson</v>
      </c>
      <c r="J583" t="str">
        <f>_xlfn.XLOOKUP(Logs_Reseau6[[#This Row],[Id_Client]],Clients_Churn[ID_Client],Clients_Churn[Type_Forfait],"Pas d'information")</f>
        <v>Pro Monde</v>
      </c>
      <c r="K583" s="5" t="str">
        <f>IF(Logs_Reseau6[[#This Row],[Type_Forfait]]="Pro Monde","B2B","B2C")</f>
        <v>B2B</v>
      </c>
      <c r="L583" s="5">
        <f>_xlfn.XLOOKUP(Logs_Reseau6[[#This Row],[Id_Client]],Clients_Churn[ID_Client],Clients_Churn[Duree_Cumulee_Panne_Min],"Non Trouvée")</f>
        <v>132</v>
      </c>
      <c r="M583" s="5">
        <f>_xlfn.XLOOKUP(Logs_Reseau6[[#This Row],[Id_Client]],Clients_Churn[ID_Client],Clients_Churn[Anciennete_Mois],"Rien à signaler")</f>
        <v>118</v>
      </c>
      <c r="N583" s="11">
        <f>Logs_Reseau6[[#This Row],[Anciennette]]/24</f>
        <v>4.916666666666667</v>
      </c>
      <c r="O583" s="1">
        <f>Logs_Reseau6[[#This Row],[Duree_Cumulée_Panne]]/1440</f>
        <v>9.166666666666666E-2</v>
      </c>
      <c r="P58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84" spans="1:16" hidden="1" x14ac:dyDescent="0.25">
      <c r="A584" s="2">
        <v>45205</v>
      </c>
      <c r="B584" s="1">
        <v>0.87222222222222223</v>
      </c>
      <c r="C584" t="s">
        <v>1582</v>
      </c>
      <c r="D584">
        <v>17</v>
      </c>
      <c r="E584" t="s">
        <v>1300</v>
      </c>
      <c r="F584" t="str">
        <f>_xlfn.XLOOKUP(Logs_Reseau6[[#This Row],[Cell_ID]],Registre[ID_Antenne],Registre[Province_RDC],"Non Trouvée")</f>
        <v>Non Trouvée</v>
      </c>
      <c r="G584" t="str">
        <f>_xlfn.XLOOKUP(Logs_Reseau6[[#This Row],[Province]],Clients_Churn[Province_Client],Clients_Churn[ID_Client],"Aucun")</f>
        <v>Aucun</v>
      </c>
      <c r="H584" t="str">
        <f>_xlfn.XLOOKUP(Logs_Reseau6[[#This Row],[Cell_ID]],Registre[ID_Antenne],Registre[Technologie],"Rien à signaler")</f>
        <v>Rien à signaler</v>
      </c>
      <c r="I584" t="str">
        <f>_xlfn.XLOOKUP(Logs_Reseau6[[#This Row],[Cell_ID]],Registre[ID_Antenne],Registre[Equipementier],"Non Trouvée")</f>
        <v>Non Trouvée</v>
      </c>
      <c r="J584" t="str">
        <f>_xlfn.XLOOKUP(Logs_Reseau6[[#This Row],[Id_Client]],Clients_Churn[ID_Client],Clients_Churn[Type_Forfait],"Pas d'information")</f>
        <v>Pas d'information</v>
      </c>
      <c r="K584" s="5" t="str">
        <f>IF(Logs_Reseau6[[#This Row],[Type_Forfait]]="Pro Monde","B2B","B2C")</f>
        <v>B2C</v>
      </c>
      <c r="L584" s="5" t="str">
        <f>_xlfn.XLOOKUP(Logs_Reseau6[[#This Row],[Id_Client]],Clients_Churn[ID_Client],Clients_Churn[Duree_Cumulee_Panne_Min],"Non Trouvée")</f>
        <v>Non Trouvée</v>
      </c>
      <c r="M584" s="5" t="str">
        <f>_xlfn.XLOOKUP(Logs_Reseau6[[#This Row],[Id_Client]],Clients_Churn[ID_Client],Clients_Churn[Anciennete_Mois],"Rien à signaler")</f>
        <v>Rien à signaler</v>
      </c>
      <c r="N584" s="5" t="e">
        <f>Logs_Reseau6[[#This Row],[Anciennette]]/24</f>
        <v>#VALUE!</v>
      </c>
      <c r="O584" s="5" t="e">
        <f>Logs_Reseau6[[#This Row],[Duree_Cumulée_Panne]]/1440</f>
        <v>#VALUE!</v>
      </c>
      <c r="P58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85" spans="1:16" hidden="1" x14ac:dyDescent="0.25">
      <c r="A585" s="2">
        <v>45205</v>
      </c>
      <c r="B585" s="1">
        <v>0.2361111111111111</v>
      </c>
      <c r="C585" t="s">
        <v>1382</v>
      </c>
      <c r="D585">
        <v>67</v>
      </c>
      <c r="E585" t="s">
        <v>1303</v>
      </c>
      <c r="F585" t="str">
        <f>_xlfn.XLOOKUP(Logs_Reseau6[[#This Row],[Cell_ID]],Registre[ID_Antenne],Registre[Province_RDC],"Non Trouvée")</f>
        <v>Non Trouvée</v>
      </c>
      <c r="G585" t="str">
        <f>_xlfn.XLOOKUP(Logs_Reseau6[[#This Row],[Province]],Clients_Churn[Province_Client],Clients_Churn[ID_Client],"Aucun")</f>
        <v>Aucun</v>
      </c>
      <c r="H585" t="str">
        <f>_xlfn.XLOOKUP(Logs_Reseau6[[#This Row],[Cell_ID]],Registre[ID_Antenne],Registre[Technologie],"Rien à signaler")</f>
        <v>Rien à signaler</v>
      </c>
      <c r="I585" t="str">
        <f>_xlfn.XLOOKUP(Logs_Reseau6[[#This Row],[Cell_ID]],Registre[ID_Antenne],Registre[Equipementier],"Non Trouvée")</f>
        <v>Non Trouvée</v>
      </c>
      <c r="J585" t="str">
        <f>_xlfn.XLOOKUP(Logs_Reseau6[[#This Row],[Id_Client]],Clients_Churn[ID_Client],Clients_Churn[Type_Forfait],"Pas d'information")</f>
        <v>Pas d'information</v>
      </c>
      <c r="K585" s="5" t="str">
        <f>IF(Logs_Reseau6[[#This Row],[Type_Forfait]]="Pro Monde","B2B","B2C")</f>
        <v>B2C</v>
      </c>
      <c r="L585" s="5" t="str">
        <f>_xlfn.XLOOKUP(Logs_Reseau6[[#This Row],[Id_Client]],Clients_Churn[ID_Client],Clients_Churn[Duree_Cumulee_Panne_Min],"Non Trouvée")</f>
        <v>Non Trouvée</v>
      </c>
      <c r="M585" s="5" t="str">
        <f>_xlfn.XLOOKUP(Logs_Reseau6[[#This Row],[Id_Client]],Clients_Churn[ID_Client],Clients_Churn[Anciennete_Mois],"Rien à signaler")</f>
        <v>Rien à signaler</v>
      </c>
      <c r="N585" s="5" t="e">
        <f>Logs_Reseau6[[#This Row],[Anciennette]]/24</f>
        <v>#VALUE!</v>
      </c>
      <c r="O585" s="5" t="e">
        <f>Logs_Reseau6[[#This Row],[Duree_Cumulée_Panne]]/1440</f>
        <v>#VALUE!</v>
      </c>
      <c r="P58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86" spans="1:16" hidden="1" x14ac:dyDescent="0.25">
      <c r="A586" s="2">
        <v>45214</v>
      </c>
      <c r="B586" s="1">
        <v>0.59652777777777777</v>
      </c>
      <c r="C586" t="s">
        <v>1382</v>
      </c>
      <c r="D586">
        <v>88</v>
      </c>
      <c r="E586" t="s">
        <v>1305</v>
      </c>
      <c r="F586" t="str">
        <f>_xlfn.XLOOKUP(Logs_Reseau6[[#This Row],[Cell_ID]],Registre[ID_Antenne],Registre[Province_RDC],"Non Trouvée")</f>
        <v>Non Trouvée</v>
      </c>
      <c r="G586" t="str">
        <f>_xlfn.XLOOKUP(Logs_Reseau6[[#This Row],[Province]],Clients_Churn[Province_Client],Clients_Churn[ID_Client],"Aucun")</f>
        <v>Aucun</v>
      </c>
      <c r="H586" t="str">
        <f>_xlfn.XLOOKUP(Logs_Reseau6[[#This Row],[Cell_ID]],Registre[ID_Antenne],Registre[Technologie],"Rien à signaler")</f>
        <v>Rien à signaler</v>
      </c>
      <c r="I586" t="str">
        <f>_xlfn.XLOOKUP(Logs_Reseau6[[#This Row],[Cell_ID]],Registre[ID_Antenne],Registre[Equipementier],"Non Trouvée")</f>
        <v>Non Trouvée</v>
      </c>
      <c r="J586" t="str">
        <f>_xlfn.XLOOKUP(Logs_Reseau6[[#This Row],[Id_Client]],Clients_Churn[ID_Client],Clients_Churn[Type_Forfait],"Pas d'information")</f>
        <v>Pas d'information</v>
      </c>
      <c r="K586" s="5" t="str">
        <f>IF(Logs_Reseau6[[#This Row],[Type_Forfait]]="Pro Monde","B2B","B2C")</f>
        <v>B2C</v>
      </c>
      <c r="L586" s="5" t="str">
        <f>_xlfn.XLOOKUP(Logs_Reseau6[[#This Row],[Id_Client]],Clients_Churn[ID_Client],Clients_Churn[Duree_Cumulee_Panne_Min],"Non Trouvée")</f>
        <v>Non Trouvée</v>
      </c>
      <c r="M586" s="5" t="str">
        <f>_xlfn.XLOOKUP(Logs_Reseau6[[#This Row],[Id_Client]],Clients_Churn[ID_Client],Clients_Churn[Anciennete_Mois],"Rien à signaler")</f>
        <v>Rien à signaler</v>
      </c>
      <c r="N586" s="5" t="e">
        <f>Logs_Reseau6[[#This Row],[Anciennette]]/24</f>
        <v>#VALUE!</v>
      </c>
      <c r="O586" s="5" t="e">
        <f>Logs_Reseau6[[#This Row],[Duree_Cumulée_Panne]]/1440</f>
        <v>#VALUE!</v>
      </c>
      <c r="P58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87" spans="1:16" hidden="1" x14ac:dyDescent="0.25">
      <c r="A587" s="2">
        <v>45219</v>
      </c>
      <c r="B587" s="1">
        <v>0.81874999999999998</v>
      </c>
      <c r="C587" t="s">
        <v>1382</v>
      </c>
      <c r="D587">
        <v>99</v>
      </c>
      <c r="E587" t="s">
        <v>1305</v>
      </c>
      <c r="F587" t="str">
        <f>_xlfn.XLOOKUP(Logs_Reseau6[[#This Row],[Cell_ID]],Registre[ID_Antenne],Registre[Province_RDC],"Non Trouvée")</f>
        <v>Non Trouvée</v>
      </c>
      <c r="G587" t="str">
        <f>_xlfn.XLOOKUP(Logs_Reseau6[[#This Row],[Province]],Clients_Churn[Province_Client],Clients_Churn[ID_Client],"Aucun")</f>
        <v>Aucun</v>
      </c>
      <c r="H587" t="str">
        <f>_xlfn.XLOOKUP(Logs_Reseau6[[#This Row],[Cell_ID]],Registre[ID_Antenne],Registre[Technologie],"Rien à signaler")</f>
        <v>Rien à signaler</v>
      </c>
      <c r="I587" t="str">
        <f>_xlfn.XLOOKUP(Logs_Reseau6[[#This Row],[Cell_ID]],Registre[ID_Antenne],Registre[Equipementier],"Non Trouvée")</f>
        <v>Non Trouvée</v>
      </c>
      <c r="J587" t="str">
        <f>_xlfn.XLOOKUP(Logs_Reseau6[[#This Row],[Id_Client]],Clients_Churn[ID_Client],Clients_Churn[Type_Forfait],"Pas d'information")</f>
        <v>Pas d'information</v>
      </c>
      <c r="K587" s="5" t="str">
        <f>IF(Logs_Reseau6[[#This Row],[Type_Forfait]]="Pro Monde","B2B","B2C")</f>
        <v>B2C</v>
      </c>
      <c r="L587" s="5" t="str">
        <f>_xlfn.XLOOKUP(Logs_Reseau6[[#This Row],[Id_Client]],Clients_Churn[ID_Client],Clients_Churn[Duree_Cumulee_Panne_Min],"Non Trouvée")</f>
        <v>Non Trouvée</v>
      </c>
      <c r="M587" s="5" t="str">
        <f>_xlfn.XLOOKUP(Logs_Reseau6[[#This Row],[Id_Client]],Clients_Churn[ID_Client],Clients_Churn[Anciennete_Mois],"Rien à signaler")</f>
        <v>Rien à signaler</v>
      </c>
      <c r="N587" s="5" t="e">
        <f>Logs_Reseau6[[#This Row],[Anciennette]]/24</f>
        <v>#VALUE!</v>
      </c>
      <c r="O587" s="5" t="e">
        <f>Logs_Reseau6[[#This Row],[Duree_Cumulée_Panne]]/1440</f>
        <v>#VALUE!</v>
      </c>
      <c r="P58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88" spans="1:16" x14ac:dyDescent="0.25">
      <c r="A588" s="2">
        <v>45205</v>
      </c>
      <c r="B588" s="1">
        <v>0.44097222222222221</v>
      </c>
      <c r="C588" t="s">
        <v>832</v>
      </c>
      <c r="D588">
        <v>115</v>
      </c>
      <c r="E588" t="s">
        <v>1303</v>
      </c>
      <c r="F588" t="str">
        <f>_xlfn.XLOOKUP(Logs_Reseau6[[#This Row],[Cell_ID]],Registre[ID_Antenne],Registre[Province_RDC],"Non Trouvée")</f>
        <v>Sud-Kivu</v>
      </c>
      <c r="G588" t="str">
        <f>_xlfn.XLOOKUP(Logs_Reseau6[[#This Row],[Province]],Clients_Churn[Province_Client],Clients_Churn[ID_Client],"Aucun")</f>
        <v>CLI-00054</v>
      </c>
      <c r="H588" t="str">
        <f>_xlfn.XLOOKUP(Logs_Reseau6[[#This Row],[Cell_ID]],Registre[ID_Antenne],Registre[Technologie],"Rien à signaler")</f>
        <v>3G</v>
      </c>
      <c r="I588" t="str">
        <f>_xlfn.XLOOKUP(Logs_Reseau6[[#This Row],[Cell_ID]],Registre[ID_Antenne],Registre[Equipementier],"Non Trouvée")</f>
        <v>Huawei</v>
      </c>
      <c r="J588" t="str">
        <f>_xlfn.XLOOKUP(Logs_Reseau6[[#This Row],[Id_Client]],Clients_Churn[ID_Client],Clients_Churn[Type_Forfait],"Pas d'information")</f>
        <v>Bloqué 5Go</v>
      </c>
      <c r="K588" s="5" t="str">
        <f>IF(Logs_Reseau6[[#This Row],[Type_Forfait]]="Pro Monde","B2B","B2C")</f>
        <v>B2C</v>
      </c>
      <c r="L588" s="5">
        <f>_xlfn.XLOOKUP(Logs_Reseau6[[#This Row],[Id_Client]],Clients_Churn[ID_Client],Clients_Churn[Duree_Cumulee_Panne_Min],"Non Trouvée")</f>
        <v>40</v>
      </c>
      <c r="M588" s="5">
        <f>_xlfn.XLOOKUP(Logs_Reseau6[[#This Row],[Id_Client]],Clients_Churn[ID_Client],Clients_Churn[Anciennete_Mois],"Rien à signaler")</f>
        <v>34</v>
      </c>
      <c r="N588" s="11">
        <f>Logs_Reseau6[[#This Row],[Anciennette]]/24</f>
        <v>1.4166666666666667</v>
      </c>
      <c r="O588" s="1">
        <f>Logs_Reseau6[[#This Row],[Duree_Cumulée_Panne]]/1440</f>
        <v>2.7777777777777776E-2</v>
      </c>
      <c r="P58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589" spans="1:16" x14ac:dyDescent="0.25">
      <c r="A589" s="2">
        <v>45222</v>
      </c>
      <c r="B589" s="1">
        <v>0.74861111111111112</v>
      </c>
      <c r="C589" t="s">
        <v>911</v>
      </c>
      <c r="D589">
        <v>28</v>
      </c>
      <c r="E589" t="s">
        <v>1303</v>
      </c>
      <c r="F589" t="str">
        <f>_xlfn.XLOOKUP(Logs_Reseau6[[#This Row],[Cell_ID]],Registre[ID_Antenne],Registre[Province_RDC],"Non Trouvée")</f>
        <v>Haut-Katanga</v>
      </c>
      <c r="G589" t="str">
        <f>_xlfn.XLOOKUP(Logs_Reseau6[[#This Row],[Province]],Clients_Churn[Province_Client],Clients_Churn[ID_Client],"Aucun")</f>
        <v>CLI-00059</v>
      </c>
      <c r="H589" t="str">
        <f>_xlfn.XLOOKUP(Logs_Reseau6[[#This Row],[Cell_ID]],Registre[ID_Antenne],Registre[Technologie],"Rien à signaler")</f>
        <v>4G</v>
      </c>
      <c r="I589" t="str">
        <f>_xlfn.XLOOKUP(Logs_Reseau6[[#This Row],[Cell_ID]],Registre[ID_Antenne],Registre[Equipementier],"Non Trouvée")</f>
        <v>Ericsson</v>
      </c>
      <c r="J589" t="str">
        <f>_xlfn.XLOOKUP(Logs_Reseau6[[#This Row],[Id_Client]],Clients_Churn[ID_Client],Clients_Churn[Type_Forfait],"Pas d'information")</f>
        <v>Pro Monde</v>
      </c>
      <c r="K589" s="5" t="str">
        <f>IF(Logs_Reseau6[[#This Row],[Type_Forfait]]="Pro Monde","B2B","B2C")</f>
        <v>B2B</v>
      </c>
      <c r="L589" s="5">
        <f>_xlfn.XLOOKUP(Logs_Reseau6[[#This Row],[Id_Client]],Clients_Churn[ID_Client],Clients_Churn[Duree_Cumulee_Panne_Min],"Non Trouvée")</f>
        <v>76</v>
      </c>
      <c r="M589" s="5">
        <f>_xlfn.XLOOKUP(Logs_Reseau6[[#This Row],[Id_Client]],Clients_Churn[ID_Client],Clients_Churn[Anciennete_Mois],"Rien à signaler")</f>
        <v>69</v>
      </c>
      <c r="N589" s="11">
        <f>Logs_Reseau6[[#This Row],[Anciennette]]/24</f>
        <v>2.875</v>
      </c>
      <c r="O589" s="1">
        <f>Logs_Reseau6[[#This Row],[Duree_Cumulée_Panne]]/1440</f>
        <v>5.2777777777777778E-2</v>
      </c>
      <c r="P58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90" spans="1:16" hidden="1" x14ac:dyDescent="0.25">
      <c r="A590" s="2">
        <v>45218</v>
      </c>
      <c r="B590" s="1">
        <v>0.89166666666666672</v>
      </c>
      <c r="C590" t="s">
        <v>1342</v>
      </c>
      <c r="D590">
        <v>107</v>
      </c>
      <c r="E590" t="s">
        <v>1303</v>
      </c>
      <c r="F590" t="str">
        <f>_xlfn.XLOOKUP(Logs_Reseau6[[#This Row],[Cell_ID]],Registre[ID_Antenne],Registre[Province_RDC],"Non Trouvée")</f>
        <v>Non Trouvée</v>
      </c>
      <c r="G590" t="str">
        <f>_xlfn.XLOOKUP(Logs_Reseau6[[#This Row],[Province]],Clients_Churn[Province_Client],Clients_Churn[ID_Client],"Aucun")</f>
        <v>Aucun</v>
      </c>
      <c r="H590" t="str">
        <f>_xlfn.XLOOKUP(Logs_Reseau6[[#This Row],[Cell_ID]],Registre[ID_Antenne],Registre[Technologie],"Rien à signaler")</f>
        <v>Rien à signaler</v>
      </c>
      <c r="I590" t="str">
        <f>_xlfn.XLOOKUP(Logs_Reseau6[[#This Row],[Cell_ID]],Registre[ID_Antenne],Registre[Equipementier],"Non Trouvée")</f>
        <v>Non Trouvée</v>
      </c>
      <c r="J590" t="str">
        <f>_xlfn.XLOOKUP(Logs_Reseau6[[#This Row],[Id_Client]],Clients_Churn[ID_Client],Clients_Churn[Type_Forfait],"Pas d'information")</f>
        <v>Pas d'information</v>
      </c>
      <c r="K590" s="5" t="str">
        <f>IF(Logs_Reseau6[[#This Row],[Type_Forfait]]="Pro Monde","B2B","B2C")</f>
        <v>B2C</v>
      </c>
      <c r="L590" s="5" t="str">
        <f>_xlfn.XLOOKUP(Logs_Reseau6[[#This Row],[Id_Client]],Clients_Churn[ID_Client],Clients_Churn[Duree_Cumulee_Panne_Min],"Non Trouvée")</f>
        <v>Non Trouvée</v>
      </c>
      <c r="M590" s="5" t="str">
        <f>_xlfn.XLOOKUP(Logs_Reseau6[[#This Row],[Id_Client]],Clients_Churn[ID_Client],Clients_Churn[Anciennete_Mois],"Rien à signaler")</f>
        <v>Rien à signaler</v>
      </c>
      <c r="N590" s="5" t="e">
        <f>Logs_Reseau6[[#This Row],[Anciennette]]/24</f>
        <v>#VALUE!</v>
      </c>
      <c r="O590" s="5" t="e">
        <f>Logs_Reseau6[[#This Row],[Duree_Cumulée_Panne]]/1440</f>
        <v>#VALUE!</v>
      </c>
      <c r="P59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91" spans="1:16" hidden="1" x14ac:dyDescent="0.25">
      <c r="A591" s="2">
        <v>45218</v>
      </c>
      <c r="B591" s="1">
        <v>0.79305555555555551</v>
      </c>
      <c r="C591" t="s">
        <v>1342</v>
      </c>
      <c r="D591">
        <v>100</v>
      </c>
      <c r="E591" t="s">
        <v>1305</v>
      </c>
      <c r="F591" t="str">
        <f>_xlfn.XLOOKUP(Logs_Reseau6[[#This Row],[Cell_ID]],Registre[ID_Antenne],Registre[Province_RDC],"Non Trouvée")</f>
        <v>Non Trouvée</v>
      </c>
      <c r="G591" t="str">
        <f>_xlfn.XLOOKUP(Logs_Reseau6[[#This Row],[Province]],Clients_Churn[Province_Client],Clients_Churn[ID_Client],"Aucun")</f>
        <v>Aucun</v>
      </c>
      <c r="H591" t="str">
        <f>_xlfn.XLOOKUP(Logs_Reseau6[[#This Row],[Cell_ID]],Registre[ID_Antenne],Registre[Technologie],"Rien à signaler")</f>
        <v>Rien à signaler</v>
      </c>
      <c r="I591" t="str">
        <f>_xlfn.XLOOKUP(Logs_Reseau6[[#This Row],[Cell_ID]],Registre[ID_Antenne],Registre[Equipementier],"Non Trouvée")</f>
        <v>Non Trouvée</v>
      </c>
      <c r="J591" t="str">
        <f>_xlfn.XLOOKUP(Logs_Reseau6[[#This Row],[Id_Client]],Clients_Churn[ID_Client],Clients_Churn[Type_Forfait],"Pas d'information")</f>
        <v>Pas d'information</v>
      </c>
      <c r="K591" s="5" t="str">
        <f>IF(Logs_Reseau6[[#This Row],[Type_Forfait]]="Pro Monde","B2B","B2C")</f>
        <v>B2C</v>
      </c>
      <c r="L591" s="5" t="str">
        <f>_xlfn.XLOOKUP(Logs_Reseau6[[#This Row],[Id_Client]],Clients_Churn[ID_Client],Clients_Churn[Duree_Cumulee_Panne_Min],"Non Trouvée")</f>
        <v>Non Trouvée</v>
      </c>
      <c r="M591" s="5" t="str">
        <f>_xlfn.XLOOKUP(Logs_Reseau6[[#This Row],[Id_Client]],Clients_Churn[ID_Client],Clients_Churn[Anciennete_Mois],"Rien à signaler")</f>
        <v>Rien à signaler</v>
      </c>
      <c r="N591" s="5" t="e">
        <f>Logs_Reseau6[[#This Row],[Anciennette]]/24</f>
        <v>#VALUE!</v>
      </c>
      <c r="O591" s="5" t="e">
        <f>Logs_Reseau6[[#This Row],[Duree_Cumulée_Panne]]/1440</f>
        <v>#VALUE!</v>
      </c>
      <c r="P59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92" spans="1:16" hidden="1" x14ac:dyDescent="0.25">
      <c r="A592" s="2">
        <v>45222</v>
      </c>
      <c r="B592" s="1">
        <v>0.10833333333333334</v>
      </c>
      <c r="C592" t="s">
        <v>1536</v>
      </c>
      <c r="D592">
        <v>88</v>
      </c>
      <c r="E592" t="s">
        <v>1305</v>
      </c>
      <c r="F592" t="str">
        <f>_xlfn.XLOOKUP(Logs_Reseau6[[#This Row],[Cell_ID]],Registre[ID_Antenne],Registre[Province_RDC],"Non Trouvée")</f>
        <v>Non Trouvée</v>
      </c>
      <c r="G592" t="str">
        <f>_xlfn.XLOOKUP(Logs_Reseau6[[#This Row],[Province]],Clients_Churn[Province_Client],Clients_Churn[ID_Client],"Aucun")</f>
        <v>Aucun</v>
      </c>
      <c r="H592" t="str">
        <f>_xlfn.XLOOKUP(Logs_Reseau6[[#This Row],[Cell_ID]],Registre[ID_Antenne],Registre[Technologie],"Rien à signaler")</f>
        <v>Rien à signaler</v>
      </c>
      <c r="I592" t="str">
        <f>_xlfn.XLOOKUP(Logs_Reseau6[[#This Row],[Cell_ID]],Registre[ID_Antenne],Registre[Equipementier],"Non Trouvée")</f>
        <v>Non Trouvée</v>
      </c>
      <c r="J592" t="str">
        <f>_xlfn.XLOOKUP(Logs_Reseau6[[#This Row],[Id_Client]],Clients_Churn[ID_Client],Clients_Churn[Type_Forfait],"Pas d'information")</f>
        <v>Pas d'information</v>
      </c>
      <c r="K592" s="5" t="str">
        <f>IF(Logs_Reseau6[[#This Row],[Type_Forfait]]="Pro Monde","B2B","B2C")</f>
        <v>B2C</v>
      </c>
      <c r="L592" s="5" t="str">
        <f>_xlfn.XLOOKUP(Logs_Reseau6[[#This Row],[Id_Client]],Clients_Churn[ID_Client],Clients_Churn[Duree_Cumulee_Panne_Min],"Non Trouvée")</f>
        <v>Non Trouvée</v>
      </c>
      <c r="M592" s="5" t="str">
        <f>_xlfn.XLOOKUP(Logs_Reseau6[[#This Row],[Id_Client]],Clients_Churn[ID_Client],Clients_Churn[Anciennete_Mois],"Rien à signaler")</f>
        <v>Rien à signaler</v>
      </c>
      <c r="N592" s="5" t="e">
        <f>Logs_Reseau6[[#This Row],[Anciennette]]/24</f>
        <v>#VALUE!</v>
      </c>
      <c r="O592" s="5" t="e">
        <f>Logs_Reseau6[[#This Row],[Duree_Cumulée_Panne]]/1440</f>
        <v>#VALUE!</v>
      </c>
      <c r="P59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93" spans="1:16" hidden="1" x14ac:dyDescent="0.25">
      <c r="A593" s="2">
        <v>45215</v>
      </c>
      <c r="B593" s="1">
        <v>0.2722222222222222</v>
      </c>
      <c r="C593" t="s">
        <v>1604</v>
      </c>
      <c r="D593">
        <v>56</v>
      </c>
      <c r="E593" t="s">
        <v>1305</v>
      </c>
      <c r="F593" t="str">
        <f>_xlfn.XLOOKUP(Logs_Reseau6[[#This Row],[Cell_ID]],Registre[ID_Antenne],Registre[Province_RDC],"Non Trouvée")</f>
        <v>Non Trouvée</v>
      </c>
      <c r="G593" t="str">
        <f>_xlfn.XLOOKUP(Logs_Reseau6[[#This Row],[Province]],Clients_Churn[Province_Client],Clients_Churn[ID_Client],"Aucun")</f>
        <v>Aucun</v>
      </c>
      <c r="H593" t="str">
        <f>_xlfn.XLOOKUP(Logs_Reseau6[[#This Row],[Cell_ID]],Registre[ID_Antenne],Registre[Technologie],"Rien à signaler")</f>
        <v>Rien à signaler</v>
      </c>
      <c r="I593" t="str">
        <f>_xlfn.XLOOKUP(Logs_Reseau6[[#This Row],[Cell_ID]],Registre[ID_Antenne],Registre[Equipementier],"Non Trouvée")</f>
        <v>Non Trouvée</v>
      </c>
      <c r="J593" t="str">
        <f>_xlfn.XLOOKUP(Logs_Reseau6[[#This Row],[Id_Client]],Clients_Churn[ID_Client],Clients_Churn[Type_Forfait],"Pas d'information")</f>
        <v>Pas d'information</v>
      </c>
      <c r="K593" s="5" t="str">
        <f>IF(Logs_Reseau6[[#This Row],[Type_Forfait]]="Pro Monde","B2B","B2C")</f>
        <v>B2C</v>
      </c>
      <c r="L593" s="5" t="str">
        <f>_xlfn.XLOOKUP(Logs_Reseau6[[#This Row],[Id_Client]],Clients_Churn[ID_Client],Clients_Churn[Duree_Cumulee_Panne_Min],"Non Trouvée")</f>
        <v>Non Trouvée</v>
      </c>
      <c r="M593" s="5" t="str">
        <f>_xlfn.XLOOKUP(Logs_Reseau6[[#This Row],[Id_Client]],Clients_Churn[ID_Client],Clients_Churn[Anciennete_Mois],"Rien à signaler")</f>
        <v>Rien à signaler</v>
      </c>
      <c r="N593" s="5" t="e">
        <f>Logs_Reseau6[[#This Row],[Anciennette]]/24</f>
        <v>#VALUE!</v>
      </c>
      <c r="O593" s="5" t="e">
        <f>Logs_Reseau6[[#This Row],[Duree_Cumulée_Panne]]/1440</f>
        <v>#VALUE!</v>
      </c>
      <c r="P59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94" spans="1:16" hidden="1" x14ac:dyDescent="0.25">
      <c r="A594" s="2">
        <v>45210</v>
      </c>
      <c r="B594" s="1">
        <v>0.91249999999999998</v>
      </c>
      <c r="C594" t="s">
        <v>1352</v>
      </c>
      <c r="D594">
        <v>119</v>
      </c>
      <c r="E594" t="s">
        <v>1305</v>
      </c>
      <c r="F594" t="str">
        <f>_xlfn.XLOOKUP(Logs_Reseau6[[#This Row],[Cell_ID]],Registre[ID_Antenne],Registre[Province_RDC],"Non Trouvée")</f>
        <v>Non Trouvée</v>
      </c>
      <c r="G594" t="str">
        <f>_xlfn.XLOOKUP(Logs_Reseau6[[#This Row],[Province]],Clients_Churn[Province_Client],Clients_Churn[ID_Client],"Aucun")</f>
        <v>Aucun</v>
      </c>
      <c r="H594" t="str">
        <f>_xlfn.XLOOKUP(Logs_Reseau6[[#This Row],[Cell_ID]],Registre[ID_Antenne],Registre[Technologie],"Rien à signaler")</f>
        <v>Rien à signaler</v>
      </c>
      <c r="I594" t="str">
        <f>_xlfn.XLOOKUP(Logs_Reseau6[[#This Row],[Cell_ID]],Registre[ID_Antenne],Registre[Equipementier],"Non Trouvée")</f>
        <v>Non Trouvée</v>
      </c>
      <c r="J594" t="str">
        <f>_xlfn.XLOOKUP(Logs_Reseau6[[#This Row],[Id_Client]],Clients_Churn[ID_Client],Clients_Churn[Type_Forfait],"Pas d'information")</f>
        <v>Pas d'information</v>
      </c>
      <c r="K594" s="5" t="str">
        <f>IF(Logs_Reseau6[[#This Row],[Type_Forfait]]="Pro Monde","B2B","B2C")</f>
        <v>B2C</v>
      </c>
      <c r="L594" s="5" t="str">
        <f>_xlfn.XLOOKUP(Logs_Reseau6[[#This Row],[Id_Client]],Clients_Churn[ID_Client],Clients_Churn[Duree_Cumulee_Panne_Min],"Non Trouvée")</f>
        <v>Non Trouvée</v>
      </c>
      <c r="M594" s="5" t="str">
        <f>_xlfn.XLOOKUP(Logs_Reseau6[[#This Row],[Id_Client]],Clients_Churn[ID_Client],Clients_Churn[Anciennete_Mois],"Rien à signaler")</f>
        <v>Rien à signaler</v>
      </c>
      <c r="N594" s="5" t="e">
        <f>Logs_Reseau6[[#This Row],[Anciennette]]/24</f>
        <v>#VALUE!</v>
      </c>
      <c r="O594" s="5" t="e">
        <f>Logs_Reseau6[[#This Row],[Duree_Cumulée_Panne]]/1440</f>
        <v>#VALUE!</v>
      </c>
      <c r="P59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95" spans="1:16" hidden="1" x14ac:dyDescent="0.25">
      <c r="A595" s="2">
        <v>45220</v>
      </c>
      <c r="B595" s="1">
        <v>0.79236111111111107</v>
      </c>
      <c r="C595" t="s">
        <v>1352</v>
      </c>
      <c r="D595">
        <v>10</v>
      </c>
      <c r="E595" t="s">
        <v>1305</v>
      </c>
      <c r="F595" t="str">
        <f>_xlfn.XLOOKUP(Logs_Reseau6[[#This Row],[Cell_ID]],Registre[ID_Antenne],Registre[Province_RDC],"Non Trouvée")</f>
        <v>Non Trouvée</v>
      </c>
      <c r="G595" t="str">
        <f>_xlfn.XLOOKUP(Logs_Reseau6[[#This Row],[Province]],Clients_Churn[Province_Client],Clients_Churn[ID_Client],"Aucun")</f>
        <v>Aucun</v>
      </c>
      <c r="H595" t="str">
        <f>_xlfn.XLOOKUP(Logs_Reseau6[[#This Row],[Cell_ID]],Registre[ID_Antenne],Registre[Technologie],"Rien à signaler")</f>
        <v>Rien à signaler</v>
      </c>
      <c r="I595" t="str">
        <f>_xlfn.XLOOKUP(Logs_Reseau6[[#This Row],[Cell_ID]],Registre[ID_Antenne],Registre[Equipementier],"Non Trouvée")</f>
        <v>Non Trouvée</v>
      </c>
      <c r="J595" t="str">
        <f>_xlfn.XLOOKUP(Logs_Reseau6[[#This Row],[Id_Client]],Clients_Churn[ID_Client],Clients_Churn[Type_Forfait],"Pas d'information")</f>
        <v>Pas d'information</v>
      </c>
      <c r="K595" s="5" t="str">
        <f>IF(Logs_Reseau6[[#This Row],[Type_Forfait]]="Pro Monde","B2B","B2C")</f>
        <v>B2C</v>
      </c>
      <c r="L595" s="5" t="str">
        <f>_xlfn.XLOOKUP(Logs_Reseau6[[#This Row],[Id_Client]],Clients_Churn[ID_Client],Clients_Churn[Duree_Cumulee_Panne_Min],"Non Trouvée")</f>
        <v>Non Trouvée</v>
      </c>
      <c r="M595" s="5" t="str">
        <f>_xlfn.XLOOKUP(Logs_Reseau6[[#This Row],[Id_Client]],Clients_Churn[ID_Client],Clients_Churn[Anciennete_Mois],"Rien à signaler")</f>
        <v>Rien à signaler</v>
      </c>
      <c r="N595" s="5" t="e">
        <f>Logs_Reseau6[[#This Row],[Anciennette]]/24</f>
        <v>#VALUE!</v>
      </c>
      <c r="O595" s="5" t="e">
        <f>Logs_Reseau6[[#This Row],[Duree_Cumulée_Panne]]/1440</f>
        <v>#VALUE!</v>
      </c>
      <c r="P59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596" spans="1:16" x14ac:dyDescent="0.25">
      <c r="A596" s="2">
        <v>45201</v>
      </c>
      <c r="B596" s="1">
        <v>8.611111111111111E-2</v>
      </c>
      <c r="C596" t="s">
        <v>1193</v>
      </c>
      <c r="D596">
        <v>55</v>
      </c>
      <c r="E596" t="s">
        <v>1300</v>
      </c>
      <c r="F596" t="str">
        <f>_xlfn.XLOOKUP(Logs_Reseau6[[#This Row],[Cell_ID]],Registre[ID_Antenne],Registre[Province_RDC],"Non Trouvée")</f>
        <v>Nord-Kivu</v>
      </c>
      <c r="G596" t="str">
        <f>_xlfn.XLOOKUP(Logs_Reseau6[[#This Row],[Province]],Clients_Churn[Province_Client],Clients_Churn[ID_Client],"Aucun")</f>
        <v>CLI-00043</v>
      </c>
      <c r="H596" t="str">
        <f>_xlfn.XLOOKUP(Logs_Reseau6[[#This Row],[Cell_ID]],Registre[ID_Antenne],Registre[Technologie],"Rien à signaler")</f>
        <v>3G</v>
      </c>
      <c r="I596" t="str">
        <f>_xlfn.XLOOKUP(Logs_Reseau6[[#This Row],[Cell_ID]],Registre[ID_Antenne],Registre[Equipementier],"Non Trouvée")</f>
        <v>ZTE</v>
      </c>
      <c r="J596" t="str">
        <f>_xlfn.XLOOKUP(Logs_Reseau6[[#This Row],[Id_Client]],Clients_Churn[ID_Client],Clients_Churn[Type_Forfait],"Pas d'information")</f>
        <v>Pro Monde</v>
      </c>
      <c r="K596" s="5" t="str">
        <f>IF(Logs_Reseau6[[#This Row],[Type_Forfait]]="Pro Monde","B2B","B2C")</f>
        <v>B2B</v>
      </c>
      <c r="L596" s="5">
        <f>_xlfn.XLOOKUP(Logs_Reseau6[[#This Row],[Id_Client]],Clients_Churn[ID_Client],Clients_Churn[Duree_Cumulee_Panne_Min],"Non Trouvée")</f>
        <v>132</v>
      </c>
      <c r="M596" s="5">
        <f>_xlfn.XLOOKUP(Logs_Reseau6[[#This Row],[Id_Client]],Clients_Churn[ID_Client],Clients_Churn[Anciennete_Mois],"Rien à signaler")</f>
        <v>118</v>
      </c>
      <c r="N596" s="11">
        <f>Logs_Reseau6[[#This Row],[Anciennette]]/24</f>
        <v>4.916666666666667</v>
      </c>
      <c r="O596" s="1">
        <f>Logs_Reseau6[[#This Row],[Duree_Cumulée_Panne]]/1440</f>
        <v>9.166666666666666E-2</v>
      </c>
      <c r="P59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97" spans="1:16" x14ac:dyDescent="0.25">
      <c r="A597" s="2">
        <v>45211</v>
      </c>
      <c r="B597" s="1">
        <v>0.42430555555555555</v>
      </c>
      <c r="C597" t="s">
        <v>1193</v>
      </c>
      <c r="D597">
        <v>116</v>
      </c>
      <c r="E597" t="s">
        <v>1303</v>
      </c>
      <c r="F597" t="str">
        <f>_xlfn.XLOOKUP(Logs_Reseau6[[#This Row],[Cell_ID]],Registre[ID_Antenne],Registre[Province_RDC],"Non Trouvée")</f>
        <v>Nord-Kivu</v>
      </c>
      <c r="G597" t="str">
        <f>_xlfn.XLOOKUP(Logs_Reseau6[[#This Row],[Province]],Clients_Churn[Province_Client],Clients_Churn[ID_Client],"Aucun")</f>
        <v>CLI-00043</v>
      </c>
      <c r="H597" t="str">
        <f>_xlfn.XLOOKUP(Logs_Reseau6[[#This Row],[Cell_ID]],Registre[ID_Antenne],Registre[Technologie],"Rien à signaler")</f>
        <v>3G</v>
      </c>
      <c r="I597" t="str">
        <f>_xlfn.XLOOKUP(Logs_Reseau6[[#This Row],[Cell_ID]],Registre[ID_Antenne],Registre[Equipementier],"Non Trouvée")</f>
        <v>ZTE</v>
      </c>
      <c r="J597" t="str">
        <f>_xlfn.XLOOKUP(Logs_Reseau6[[#This Row],[Id_Client]],Clients_Churn[ID_Client],Clients_Churn[Type_Forfait],"Pas d'information")</f>
        <v>Pro Monde</v>
      </c>
      <c r="K597" s="5" t="str">
        <f>IF(Logs_Reseau6[[#This Row],[Type_Forfait]]="Pro Monde","B2B","B2C")</f>
        <v>B2B</v>
      </c>
      <c r="L597" s="5">
        <f>_xlfn.XLOOKUP(Logs_Reseau6[[#This Row],[Id_Client]],Clients_Churn[ID_Client],Clients_Churn[Duree_Cumulee_Panne_Min],"Non Trouvée")</f>
        <v>132</v>
      </c>
      <c r="M597" s="5">
        <f>_xlfn.XLOOKUP(Logs_Reseau6[[#This Row],[Id_Client]],Clients_Churn[ID_Client],Clients_Churn[Anciennete_Mois],"Rien à signaler")</f>
        <v>118</v>
      </c>
      <c r="N597" s="11">
        <f>Logs_Reseau6[[#This Row],[Anciennette]]/24</f>
        <v>4.916666666666667</v>
      </c>
      <c r="O597" s="1">
        <f>Logs_Reseau6[[#This Row],[Duree_Cumulée_Panne]]/1440</f>
        <v>9.166666666666666E-2</v>
      </c>
      <c r="P59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98" spans="1:16" x14ac:dyDescent="0.25">
      <c r="A598" s="2">
        <v>45218</v>
      </c>
      <c r="B598" s="1">
        <v>0.33194444444444443</v>
      </c>
      <c r="C598" t="s">
        <v>1193</v>
      </c>
      <c r="D598">
        <v>15</v>
      </c>
      <c r="E598" t="s">
        <v>1305</v>
      </c>
      <c r="F598" t="str">
        <f>_xlfn.XLOOKUP(Logs_Reseau6[[#This Row],[Cell_ID]],Registre[ID_Antenne],Registre[Province_RDC],"Non Trouvée")</f>
        <v>Nord-Kivu</v>
      </c>
      <c r="G598" t="str">
        <f>_xlfn.XLOOKUP(Logs_Reseau6[[#This Row],[Province]],Clients_Churn[Province_Client],Clients_Churn[ID_Client],"Aucun")</f>
        <v>CLI-00043</v>
      </c>
      <c r="H598" t="str">
        <f>_xlfn.XLOOKUP(Logs_Reseau6[[#This Row],[Cell_ID]],Registre[ID_Antenne],Registre[Technologie],"Rien à signaler")</f>
        <v>3G</v>
      </c>
      <c r="I598" t="str">
        <f>_xlfn.XLOOKUP(Logs_Reseau6[[#This Row],[Cell_ID]],Registre[ID_Antenne],Registre[Equipementier],"Non Trouvée")</f>
        <v>ZTE</v>
      </c>
      <c r="J598" t="str">
        <f>_xlfn.XLOOKUP(Logs_Reseau6[[#This Row],[Id_Client]],Clients_Churn[ID_Client],Clients_Churn[Type_Forfait],"Pas d'information")</f>
        <v>Pro Monde</v>
      </c>
      <c r="K598" s="5" t="str">
        <f>IF(Logs_Reseau6[[#This Row],[Type_Forfait]]="Pro Monde","B2B","B2C")</f>
        <v>B2B</v>
      </c>
      <c r="L598" s="5">
        <f>_xlfn.XLOOKUP(Logs_Reseau6[[#This Row],[Id_Client]],Clients_Churn[ID_Client],Clients_Churn[Duree_Cumulee_Panne_Min],"Non Trouvée")</f>
        <v>132</v>
      </c>
      <c r="M598" s="5">
        <f>_xlfn.XLOOKUP(Logs_Reseau6[[#This Row],[Id_Client]],Clients_Churn[ID_Client],Clients_Churn[Anciennete_Mois],"Rien à signaler")</f>
        <v>118</v>
      </c>
      <c r="N598" s="11">
        <f>Logs_Reseau6[[#This Row],[Anciennette]]/24</f>
        <v>4.916666666666667</v>
      </c>
      <c r="O598" s="1">
        <f>Logs_Reseau6[[#This Row],[Duree_Cumulée_Panne]]/1440</f>
        <v>9.166666666666666E-2</v>
      </c>
      <c r="P59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599" spans="1:16" x14ac:dyDescent="0.25">
      <c r="A599" s="2">
        <v>45221</v>
      </c>
      <c r="B599" s="1">
        <v>0.26874999999999999</v>
      </c>
      <c r="C599" t="s">
        <v>1193</v>
      </c>
      <c r="D599">
        <v>18</v>
      </c>
      <c r="E599" t="s">
        <v>1303</v>
      </c>
      <c r="F599" t="str">
        <f>_xlfn.XLOOKUP(Logs_Reseau6[[#This Row],[Cell_ID]],Registre[ID_Antenne],Registre[Province_RDC],"Non Trouvée")</f>
        <v>Nord-Kivu</v>
      </c>
      <c r="G599" t="str">
        <f>_xlfn.XLOOKUP(Logs_Reseau6[[#This Row],[Province]],Clients_Churn[Province_Client],Clients_Churn[ID_Client],"Aucun")</f>
        <v>CLI-00043</v>
      </c>
      <c r="H599" t="str">
        <f>_xlfn.XLOOKUP(Logs_Reseau6[[#This Row],[Cell_ID]],Registre[ID_Antenne],Registre[Technologie],"Rien à signaler")</f>
        <v>3G</v>
      </c>
      <c r="I599" t="str">
        <f>_xlfn.XLOOKUP(Logs_Reseau6[[#This Row],[Cell_ID]],Registre[ID_Antenne],Registre[Equipementier],"Non Trouvée")</f>
        <v>ZTE</v>
      </c>
      <c r="J599" t="str">
        <f>_xlfn.XLOOKUP(Logs_Reseau6[[#This Row],[Id_Client]],Clients_Churn[ID_Client],Clients_Churn[Type_Forfait],"Pas d'information")</f>
        <v>Pro Monde</v>
      </c>
      <c r="K599" s="5" t="str">
        <f>IF(Logs_Reseau6[[#This Row],[Type_Forfait]]="Pro Monde","B2B","B2C")</f>
        <v>B2B</v>
      </c>
      <c r="L599" s="5">
        <f>_xlfn.XLOOKUP(Logs_Reseau6[[#This Row],[Id_Client]],Clients_Churn[ID_Client],Clients_Churn[Duree_Cumulee_Panne_Min],"Non Trouvée")</f>
        <v>132</v>
      </c>
      <c r="M599" s="5">
        <f>_xlfn.XLOOKUP(Logs_Reseau6[[#This Row],[Id_Client]],Clients_Churn[ID_Client],Clients_Churn[Anciennete_Mois],"Rien à signaler")</f>
        <v>118</v>
      </c>
      <c r="N599" s="11">
        <f>Logs_Reseau6[[#This Row],[Anciennette]]/24</f>
        <v>4.916666666666667</v>
      </c>
      <c r="O599" s="1">
        <f>Logs_Reseau6[[#This Row],[Duree_Cumulée_Panne]]/1440</f>
        <v>9.166666666666666E-2</v>
      </c>
      <c r="P59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00" spans="1:16" x14ac:dyDescent="0.25">
      <c r="A600" s="2">
        <v>45222</v>
      </c>
      <c r="B600" s="1">
        <v>0.59722222222222221</v>
      </c>
      <c r="C600" t="s">
        <v>1193</v>
      </c>
      <c r="D600">
        <v>22</v>
      </c>
      <c r="E600" t="s">
        <v>1303</v>
      </c>
      <c r="F600" t="str">
        <f>_xlfn.XLOOKUP(Logs_Reseau6[[#This Row],[Cell_ID]],Registre[ID_Antenne],Registre[Province_RDC],"Non Trouvée")</f>
        <v>Nord-Kivu</v>
      </c>
      <c r="G600" t="str">
        <f>_xlfn.XLOOKUP(Logs_Reseau6[[#This Row],[Province]],Clients_Churn[Province_Client],Clients_Churn[ID_Client],"Aucun")</f>
        <v>CLI-00043</v>
      </c>
      <c r="H600" t="str">
        <f>_xlfn.XLOOKUP(Logs_Reseau6[[#This Row],[Cell_ID]],Registre[ID_Antenne],Registre[Technologie],"Rien à signaler")</f>
        <v>3G</v>
      </c>
      <c r="I600" t="str">
        <f>_xlfn.XLOOKUP(Logs_Reseau6[[#This Row],[Cell_ID]],Registre[ID_Antenne],Registre[Equipementier],"Non Trouvée")</f>
        <v>ZTE</v>
      </c>
      <c r="J600" t="str">
        <f>_xlfn.XLOOKUP(Logs_Reseau6[[#This Row],[Id_Client]],Clients_Churn[ID_Client],Clients_Churn[Type_Forfait],"Pas d'information")</f>
        <v>Pro Monde</v>
      </c>
      <c r="K600" s="5" t="str">
        <f>IF(Logs_Reseau6[[#This Row],[Type_Forfait]]="Pro Monde","B2B","B2C")</f>
        <v>B2B</v>
      </c>
      <c r="L600" s="5">
        <f>_xlfn.XLOOKUP(Logs_Reseau6[[#This Row],[Id_Client]],Clients_Churn[ID_Client],Clients_Churn[Duree_Cumulee_Panne_Min],"Non Trouvée")</f>
        <v>132</v>
      </c>
      <c r="M600" s="5">
        <f>_xlfn.XLOOKUP(Logs_Reseau6[[#This Row],[Id_Client]],Clients_Churn[ID_Client],Clients_Churn[Anciennete_Mois],"Rien à signaler")</f>
        <v>118</v>
      </c>
      <c r="N600" s="11">
        <f>Logs_Reseau6[[#This Row],[Anciennette]]/24</f>
        <v>4.916666666666667</v>
      </c>
      <c r="O600" s="1">
        <f>Logs_Reseau6[[#This Row],[Duree_Cumulée_Panne]]/1440</f>
        <v>9.166666666666666E-2</v>
      </c>
      <c r="P60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01" spans="1:16" x14ac:dyDescent="0.25">
      <c r="A601" s="2">
        <v>45201</v>
      </c>
      <c r="B601" s="1">
        <v>0.87708333333333333</v>
      </c>
      <c r="C601" t="s">
        <v>1135</v>
      </c>
      <c r="D601">
        <v>82</v>
      </c>
      <c r="E601" t="s">
        <v>1305</v>
      </c>
      <c r="F601" t="str">
        <f>_xlfn.XLOOKUP(Logs_Reseau6[[#This Row],[Cell_ID]],Registre[ID_Antenne],Registre[Province_RDC],"Non Trouvée")</f>
        <v>Nord-Kivu</v>
      </c>
      <c r="G601" t="str">
        <f>_xlfn.XLOOKUP(Logs_Reseau6[[#This Row],[Province]],Clients_Churn[Province_Client],Clients_Churn[ID_Client],"Aucun")</f>
        <v>CLI-00043</v>
      </c>
      <c r="H601" t="str">
        <f>_xlfn.XLOOKUP(Logs_Reseau6[[#This Row],[Cell_ID]],Registre[ID_Antenne],Registre[Technologie],"Rien à signaler")</f>
        <v>5G</v>
      </c>
      <c r="I601" t="str">
        <f>_xlfn.XLOOKUP(Logs_Reseau6[[#This Row],[Cell_ID]],Registre[ID_Antenne],Registre[Equipementier],"Non Trouvée")</f>
        <v>Huawei</v>
      </c>
      <c r="J601" t="str">
        <f>_xlfn.XLOOKUP(Logs_Reseau6[[#This Row],[Id_Client]],Clients_Churn[ID_Client],Clients_Churn[Type_Forfait],"Pas d'information")</f>
        <v>Pro Monde</v>
      </c>
      <c r="K601" s="5" t="str">
        <f>IF(Logs_Reseau6[[#This Row],[Type_Forfait]]="Pro Monde","B2B","B2C")</f>
        <v>B2B</v>
      </c>
      <c r="L601" s="5">
        <f>_xlfn.XLOOKUP(Logs_Reseau6[[#This Row],[Id_Client]],Clients_Churn[ID_Client],Clients_Churn[Duree_Cumulee_Panne_Min],"Non Trouvée")</f>
        <v>132</v>
      </c>
      <c r="M601" s="5">
        <f>_xlfn.XLOOKUP(Logs_Reseau6[[#This Row],[Id_Client]],Clients_Churn[ID_Client],Clients_Churn[Anciennete_Mois],"Rien à signaler")</f>
        <v>118</v>
      </c>
      <c r="N601" s="11">
        <f>Logs_Reseau6[[#This Row],[Anciennette]]/24</f>
        <v>4.916666666666667</v>
      </c>
      <c r="O601" s="1">
        <f>Logs_Reseau6[[#This Row],[Duree_Cumulée_Panne]]/1440</f>
        <v>9.166666666666666E-2</v>
      </c>
      <c r="P60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02" spans="1:16" x14ac:dyDescent="0.25">
      <c r="A602" s="2">
        <v>45204</v>
      </c>
      <c r="B602" s="1">
        <v>0.53125</v>
      </c>
      <c r="C602" t="s">
        <v>1135</v>
      </c>
      <c r="D602">
        <v>47</v>
      </c>
      <c r="E602" t="s">
        <v>1300</v>
      </c>
      <c r="F602" t="str">
        <f>_xlfn.XLOOKUP(Logs_Reseau6[[#This Row],[Cell_ID]],Registre[ID_Antenne],Registre[Province_RDC],"Non Trouvée")</f>
        <v>Nord-Kivu</v>
      </c>
      <c r="G602" t="str">
        <f>_xlfn.XLOOKUP(Logs_Reseau6[[#This Row],[Province]],Clients_Churn[Province_Client],Clients_Churn[ID_Client],"Aucun")</f>
        <v>CLI-00043</v>
      </c>
      <c r="H602" t="str">
        <f>_xlfn.XLOOKUP(Logs_Reseau6[[#This Row],[Cell_ID]],Registre[ID_Antenne],Registre[Technologie],"Rien à signaler")</f>
        <v>5G</v>
      </c>
      <c r="I602" t="str">
        <f>_xlfn.XLOOKUP(Logs_Reseau6[[#This Row],[Cell_ID]],Registre[ID_Antenne],Registre[Equipementier],"Non Trouvée")</f>
        <v>Huawei</v>
      </c>
      <c r="J602" t="str">
        <f>_xlfn.XLOOKUP(Logs_Reseau6[[#This Row],[Id_Client]],Clients_Churn[ID_Client],Clients_Churn[Type_Forfait],"Pas d'information")</f>
        <v>Pro Monde</v>
      </c>
      <c r="K602" s="5" t="str">
        <f>IF(Logs_Reseau6[[#This Row],[Type_Forfait]]="Pro Monde","B2B","B2C")</f>
        <v>B2B</v>
      </c>
      <c r="L602" s="5">
        <f>_xlfn.XLOOKUP(Logs_Reseau6[[#This Row],[Id_Client]],Clients_Churn[ID_Client],Clients_Churn[Duree_Cumulee_Panne_Min],"Non Trouvée")</f>
        <v>132</v>
      </c>
      <c r="M602" s="5">
        <f>_xlfn.XLOOKUP(Logs_Reseau6[[#This Row],[Id_Client]],Clients_Churn[ID_Client],Clients_Churn[Anciennete_Mois],"Rien à signaler")</f>
        <v>118</v>
      </c>
      <c r="N602" s="11">
        <f>Logs_Reseau6[[#This Row],[Anciennette]]/24</f>
        <v>4.916666666666667</v>
      </c>
      <c r="O602" s="1">
        <f>Logs_Reseau6[[#This Row],[Duree_Cumulée_Panne]]/1440</f>
        <v>9.166666666666666E-2</v>
      </c>
      <c r="P60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03" spans="1:16" x14ac:dyDescent="0.25">
      <c r="A603" s="2">
        <v>45207</v>
      </c>
      <c r="B603" s="1">
        <v>0.9604166666666667</v>
      </c>
      <c r="C603" t="s">
        <v>1135</v>
      </c>
      <c r="D603">
        <v>23</v>
      </c>
      <c r="E603" t="s">
        <v>1305</v>
      </c>
      <c r="F603" t="str">
        <f>_xlfn.XLOOKUP(Logs_Reseau6[[#This Row],[Cell_ID]],Registre[ID_Antenne],Registre[Province_RDC],"Non Trouvée")</f>
        <v>Nord-Kivu</v>
      </c>
      <c r="G603" t="str">
        <f>_xlfn.XLOOKUP(Logs_Reseau6[[#This Row],[Province]],Clients_Churn[Province_Client],Clients_Churn[ID_Client],"Aucun")</f>
        <v>CLI-00043</v>
      </c>
      <c r="H603" t="str">
        <f>_xlfn.XLOOKUP(Logs_Reseau6[[#This Row],[Cell_ID]],Registre[ID_Antenne],Registre[Technologie],"Rien à signaler")</f>
        <v>5G</v>
      </c>
      <c r="I603" t="str">
        <f>_xlfn.XLOOKUP(Logs_Reseau6[[#This Row],[Cell_ID]],Registre[ID_Antenne],Registre[Equipementier],"Non Trouvée")</f>
        <v>Huawei</v>
      </c>
      <c r="J603" t="str">
        <f>_xlfn.XLOOKUP(Logs_Reseau6[[#This Row],[Id_Client]],Clients_Churn[ID_Client],Clients_Churn[Type_Forfait],"Pas d'information")</f>
        <v>Pro Monde</v>
      </c>
      <c r="K603" s="5" t="str">
        <f>IF(Logs_Reseau6[[#This Row],[Type_Forfait]]="Pro Monde","B2B","B2C")</f>
        <v>B2B</v>
      </c>
      <c r="L603" s="5">
        <f>_xlfn.XLOOKUP(Logs_Reseau6[[#This Row],[Id_Client]],Clients_Churn[ID_Client],Clients_Churn[Duree_Cumulee_Panne_Min],"Non Trouvée")</f>
        <v>132</v>
      </c>
      <c r="M603" s="5">
        <f>_xlfn.XLOOKUP(Logs_Reseau6[[#This Row],[Id_Client]],Clients_Churn[ID_Client],Clients_Churn[Anciennete_Mois],"Rien à signaler")</f>
        <v>118</v>
      </c>
      <c r="N603" s="11">
        <f>Logs_Reseau6[[#This Row],[Anciennette]]/24</f>
        <v>4.916666666666667</v>
      </c>
      <c r="O603" s="1">
        <f>Logs_Reseau6[[#This Row],[Duree_Cumulée_Panne]]/1440</f>
        <v>9.166666666666666E-2</v>
      </c>
      <c r="P60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04" spans="1:16" x14ac:dyDescent="0.25">
      <c r="A604" s="2">
        <v>45230</v>
      </c>
      <c r="B604" s="1">
        <v>0.4861111111111111</v>
      </c>
      <c r="C604" t="s">
        <v>1135</v>
      </c>
      <c r="D604">
        <v>38</v>
      </c>
      <c r="E604" t="s">
        <v>1300</v>
      </c>
      <c r="F604" t="str">
        <f>_xlfn.XLOOKUP(Logs_Reseau6[[#This Row],[Cell_ID]],Registre[ID_Antenne],Registre[Province_RDC],"Non Trouvée")</f>
        <v>Nord-Kivu</v>
      </c>
      <c r="G604" t="str">
        <f>_xlfn.XLOOKUP(Logs_Reseau6[[#This Row],[Province]],Clients_Churn[Province_Client],Clients_Churn[ID_Client],"Aucun")</f>
        <v>CLI-00043</v>
      </c>
      <c r="H604" t="str">
        <f>_xlfn.XLOOKUP(Logs_Reseau6[[#This Row],[Cell_ID]],Registre[ID_Antenne],Registre[Technologie],"Rien à signaler")</f>
        <v>5G</v>
      </c>
      <c r="I604" t="str">
        <f>_xlfn.XLOOKUP(Logs_Reseau6[[#This Row],[Cell_ID]],Registre[ID_Antenne],Registre[Equipementier],"Non Trouvée")</f>
        <v>Huawei</v>
      </c>
      <c r="J604" t="str">
        <f>_xlfn.XLOOKUP(Logs_Reseau6[[#This Row],[Id_Client]],Clients_Churn[ID_Client],Clients_Churn[Type_Forfait],"Pas d'information")</f>
        <v>Pro Monde</v>
      </c>
      <c r="K604" s="5" t="str">
        <f>IF(Logs_Reseau6[[#This Row],[Type_Forfait]]="Pro Monde","B2B","B2C")</f>
        <v>B2B</v>
      </c>
      <c r="L604" s="5">
        <f>_xlfn.XLOOKUP(Logs_Reseau6[[#This Row],[Id_Client]],Clients_Churn[ID_Client],Clients_Churn[Duree_Cumulee_Panne_Min],"Non Trouvée")</f>
        <v>132</v>
      </c>
      <c r="M604" s="5">
        <f>_xlfn.XLOOKUP(Logs_Reseau6[[#This Row],[Id_Client]],Clients_Churn[ID_Client],Clients_Churn[Anciennete_Mois],"Rien à signaler")</f>
        <v>118</v>
      </c>
      <c r="N604" s="11">
        <f>Logs_Reseau6[[#This Row],[Anciennette]]/24</f>
        <v>4.916666666666667</v>
      </c>
      <c r="O604" s="1">
        <f>Logs_Reseau6[[#This Row],[Duree_Cumulée_Panne]]/1440</f>
        <v>9.166666666666666E-2</v>
      </c>
      <c r="P60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05" spans="1:16" x14ac:dyDescent="0.25">
      <c r="A605" s="2">
        <v>45222</v>
      </c>
      <c r="B605" s="1">
        <v>0.63124999999999998</v>
      </c>
      <c r="C605" t="s">
        <v>830</v>
      </c>
      <c r="D605">
        <v>90</v>
      </c>
      <c r="E605" t="s">
        <v>1300</v>
      </c>
      <c r="F605" t="str">
        <f>_xlfn.XLOOKUP(Logs_Reseau6[[#This Row],[Cell_ID]],Registre[ID_Antenne],Registre[Province_RDC],"Non Trouvée")</f>
        <v>Tanganyika</v>
      </c>
      <c r="G605" t="str">
        <f>_xlfn.XLOOKUP(Logs_Reseau6[[#This Row],[Province]],Clients_Churn[Province_Client],Clients_Churn[ID_Client],"Aucun")</f>
        <v>CLI-00007</v>
      </c>
      <c r="H605" t="str">
        <f>_xlfn.XLOOKUP(Logs_Reseau6[[#This Row],[Cell_ID]],Registre[ID_Antenne],Registre[Technologie],"Rien à signaler")</f>
        <v>3G</v>
      </c>
      <c r="I605" t="str">
        <f>_xlfn.XLOOKUP(Logs_Reseau6[[#This Row],[Cell_ID]],Registre[ID_Antenne],Registre[Equipementier],"Non Trouvée")</f>
        <v>Nokia</v>
      </c>
      <c r="J605" t="str">
        <f>_xlfn.XLOOKUP(Logs_Reseau6[[#This Row],[Id_Client]],Clients_Churn[ID_Client],Clients_Churn[Type_Forfait],"Pas d'information")</f>
        <v>Bloqué 5Go</v>
      </c>
      <c r="K605" s="5" t="str">
        <f>IF(Logs_Reseau6[[#This Row],[Type_Forfait]]="Pro Monde","B2B","B2C")</f>
        <v>B2C</v>
      </c>
      <c r="L605" s="5">
        <f>_xlfn.XLOOKUP(Logs_Reseau6[[#This Row],[Id_Client]],Clients_Churn[ID_Client],Clients_Churn[Duree_Cumulee_Panne_Min],"Non Trouvée")</f>
        <v>112</v>
      </c>
      <c r="M605" s="5">
        <f>_xlfn.XLOOKUP(Logs_Reseau6[[#This Row],[Id_Client]],Clients_Churn[ID_Client],Clients_Churn[Anciennete_Mois],"Rien à signaler")</f>
        <v>110</v>
      </c>
      <c r="N605" s="11">
        <f>Logs_Reseau6[[#This Row],[Anciennette]]/24</f>
        <v>4.583333333333333</v>
      </c>
      <c r="O605" s="1">
        <f>Logs_Reseau6[[#This Row],[Duree_Cumulée_Panne]]/1440</f>
        <v>7.7777777777777779E-2</v>
      </c>
      <c r="P60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06" spans="1:16" x14ac:dyDescent="0.25">
      <c r="A606" s="2">
        <v>45230</v>
      </c>
      <c r="B606" s="1">
        <v>0.86250000000000004</v>
      </c>
      <c r="C606" t="s">
        <v>830</v>
      </c>
      <c r="D606">
        <v>67</v>
      </c>
      <c r="E606" t="s">
        <v>1300</v>
      </c>
      <c r="F606" t="str">
        <f>_xlfn.XLOOKUP(Logs_Reseau6[[#This Row],[Cell_ID]],Registre[ID_Antenne],Registre[Province_RDC],"Non Trouvée")</f>
        <v>Tanganyika</v>
      </c>
      <c r="G606" t="str">
        <f>_xlfn.XLOOKUP(Logs_Reseau6[[#This Row],[Province]],Clients_Churn[Province_Client],Clients_Churn[ID_Client],"Aucun")</f>
        <v>CLI-00007</v>
      </c>
      <c r="H606" t="str">
        <f>_xlfn.XLOOKUP(Logs_Reseau6[[#This Row],[Cell_ID]],Registre[ID_Antenne],Registre[Technologie],"Rien à signaler")</f>
        <v>3G</v>
      </c>
      <c r="I606" t="str">
        <f>_xlfn.XLOOKUP(Logs_Reseau6[[#This Row],[Cell_ID]],Registre[ID_Antenne],Registre[Equipementier],"Non Trouvée")</f>
        <v>Nokia</v>
      </c>
      <c r="J606" t="str">
        <f>_xlfn.XLOOKUP(Logs_Reseau6[[#This Row],[Id_Client]],Clients_Churn[ID_Client],Clients_Churn[Type_Forfait],"Pas d'information")</f>
        <v>Bloqué 5Go</v>
      </c>
      <c r="K606" s="5" t="str">
        <f>IF(Logs_Reseau6[[#This Row],[Type_Forfait]]="Pro Monde","B2B","B2C")</f>
        <v>B2C</v>
      </c>
      <c r="L606" s="5">
        <f>_xlfn.XLOOKUP(Logs_Reseau6[[#This Row],[Id_Client]],Clients_Churn[ID_Client],Clients_Churn[Duree_Cumulee_Panne_Min],"Non Trouvée")</f>
        <v>112</v>
      </c>
      <c r="M606" s="5">
        <f>_xlfn.XLOOKUP(Logs_Reseau6[[#This Row],[Id_Client]],Clients_Churn[ID_Client],Clients_Churn[Anciennete_Mois],"Rien à signaler")</f>
        <v>110</v>
      </c>
      <c r="N606" s="11">
        <f>Logs_Reseau6[[#This Row],[Anciennette]]/24</f>
        <v>4.583333333333333</v>
      </c>
      <c r="O606" s="1">
        <f>Logs_Reseau6[[#This Row],[Duree_Cumulée_Panne]]/1440</f>
        <v>7.7777777777777779E-2</v>
      </c>
      <c r="P60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07" spans="1:16" x14ac:dyDescent="0.25">
      <c r="A607" s="2">
        <v>45222</v>
      </c>
      <c r="B607" s="1">
        <v>0.42708333333333331</v>
      </c>
      <c r="C607" t="s">
        <v>1112</v>
      </c>
      <c r="D607">
        <v>82</v>
      </c>
      <c r="E607" t="s">
        <v>1300</v>
      </c>
      <c r="F607" t="str">
        <f>_xlfn.XLOOKUP(Logs_Reseau6[[#This Row],[Cell_ID]],Registre[ID_Antenne],Registre[Province_RDC],"Non Trouvée")</f>
        <v>Bas-Uele</v>
      </c>
      <c r="G607" t="str">
        <f>_xlfn.XLOOKUP(Logs_Reseau6[[#This Row],[Province]],Clients_Churn[Province_Client],Clients_Churn[ID_Client],"Aucun")</f>
        <v>CLI-00029</v>
      </c>
      <c r="H607" t="str">
        <f>_xlfn.XLOOKUP(Logs_Reseau6[[#This Row],[Cell_ID]],Registre[ID_Antenne],Registre[Technologie],"Rien à signaler")</f>
        <v>3G</v>
      </c>
      <c r="I607" t="str">
        <f>_xlfn.XLOOKUP(Logs_Reseau6[[#This Row],[Cell_ID]],Registre[ID_Antenne],Registre[Equipementier],"Non Trouvée")</f>
        <v>Huawei</v>
      </c>
      <c r="J607" t="str">
        <f>_xlfn.XLOOKUP(Logs_Reseau6[[#This Row],[Id_Client]],Clients_Churn[ID_Client],Clients_Churn[Type_Forfait],"Pas d'information")</f>
        <v>Pro Monde</v>
      </c>
      <c r="K607" s="5" t="str">
        <f>IF(Logs_Reseau6[[#This Row],[Type_Forfait]]="Pro Monde","B2B","B2C")</f>
        <v>B2B</v>
      </c>
      <c r="L607" s="5">
        <f>_xlfn.XLOOKUP(Logs_Reseau6[[#This Row],[Id_Client]],Clients_Churn[ID_Client],Clients_Churn[Duree_Cumulee_Panne_Min],"Non Trouvée")</f>
        <v>344</v>
      </c>
      <c r="M607" s="5">
        <f>_xlfn.XLOOKUP(Logs_Reseau6[[#This Row],[Id_Client]],Clients_Churn[ID_Client],Clients_Churn[Anciennete_Mois],"Rien à signaler")</f>
        <v>119</v>
      </c>
      <c r="N607" s="11">
        <f>Logs_Reseau6[[#This Row],[Anciennette]]/24</f>
        <v>4.958333333333333</v>
      </c>
      <c r="O607" s="1">
        <f>Logs_Reseau6[[#This Row],[Duree_Cumulée_Panne]]/1440</f>
        <v>0.2388888888888889</v>
      </c>
      <c r="P60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08" spans="1:16" hidden="1" x14ac:dyDescent="0.25">
      <c r="A608" s="2">
        <v>45211</v>
      </c>
      <c r="B608" s="1">
        <v>0.36805555555555558</v>
      </c>
      <c r="C608" t="s">
        <v>1375</v>
      </c>
      <c r="D608">
        <v>15</v>
      </c>
      <c r="E608" t="s">
        <v>1303</v>
      </c>
      <c r="F608" t="str">
        <f>_xlfn.XLOOKUP(Logs_Reseau6[[#This Row],[Cell_ID]],Registre[ID_Antenne],Registre[Province_RDC],"Non Trouvée")</f>
        <v>Non Trouvée</v>
      </c>
      <c r="G608" t="str">
        <f>_xlfn.XLOOKUP(Logs_Reseau6[[#This Row],[Province]],Clients_Churn[Province_Client],Clients_Churn[ID_Client],"Aucun")</f>
        <v>Aucun</v>
      </c>
      <c r="H608" t="str">
        <f>_xlfn.XLOOKUP(Logs_Reseau6[[#This Row],[Cell_ID]],Registre[ID_Antenne],Registre[Technologie],"Rien à signaler")</f>
        <v>Rien à signaler</v>
      </c>
      <c r="I608" t="str">
        <f>_xlfn.XLOOKUP(Logs_Reseau6[[#This Row],[Cell_ID]],Registre[ID_Antenne],Registre[Equipementier],"Non Trouvée")</f>
        <v>Non Trouvée</v>
      </c>
      <c r="J608" t="str">
        <f>_xlfn.XLOOKUP(Logs_Reseau6[[#This Row],[Id_Client]],Clients_Churn[ID_Client],Clients_Churn[Type_Forfait],"Pas d'information")</f>
        <v>Pas d'information</v>
      </c>
      <c r="K608" s="5" t="str">
        <f>IF(Logs_Reseau6[[#This Row],[Type_Forfait]]="Pro Monde","B2B","B2C")</f>
        <v>B2C</v>
      </c>
      <c r="L608" s="5" t="str">
        <f>_xlfn.XLOOKUP(Logs_Reseau6[[#This Row],[Id_Client]],Clients_Churn[ID_Client],Clients_Churn[Duree_Cumulee_Panne_Min],"Non Trouvée")</f>
        <v>Non Trouvée</v>
      </c>
      <c r="M608" s="5" t="str">
        <f>_xlfn.XLOOKUP(Logs_Reseau6[[#This Row],[Id_Client]],Clients_Churn[ID_Client],Clients_Churn[Anciennete_Mois],"Rien à signaler")</f>
        <v>Rien à signaler</v>
      </c>
      <c r="N608" s="5" t="e">
        <f>Logs_Reseau6[[#This Row],[Anciennette]]/24</f>
        <v>#VALUE!</v>
      </c>
      <c r="O608" s="5" t="e">
        <f>Logs_Reseau6[[#This Row],[Duree_Cumulée_Panne]]/1440</f>
        <v>#VALUE!</v>
      </c>
      <c r="P60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09" spans="1:16" hidden="1" x14ac:dyDescent="0.25">
      <c r="A609" s="2">
        <v>45217</v>
      </c>
      <c r="B609" s="1">
        <v>0.5708333333333333</v>
      </c>
      <c r="C609" t="s">
        <v>1375</v>
      </c>
      <c r="D609">
        <v>28</v>
      </c>
      <c r="E609" t="s">
        <v>1300</v>
      </c>
      <c r="F609" t="str">
        <f>_xlfn.XLOOKUP(Logs_Reseau6[[#This Row],[Cell_ID]],Registre[ID_Antenne],Registre[Province_RDC],"Non Trouvée")</f>
        <v>Non Trouvée</v>
      </c>
      <c r="G609" t="str">
        <f>_xlfn.XLOOKUP(Logs_Reseau6[[#This Row],[Province]],Clients_Churn[Province_Client],Clients_Churn[ID_Client],"Aucun")</f>
        <v>Aucun</v>
      </c>
      <c r="H609" t="str">
        <f>_xlfn.XLOOKUP(Logs_Reseau6[[#This Row],[Cell_ID]],Registre[ID_Antenne],Registre[Technologie],"Rien à signaler")</f>
        <v>Rien à signaler</v>
      </c>
      <c r="I609" t="str">
        <f>_xlfn.XLOOKUP(Logs_Reseau6[[#This Row],[Cell_ID]],Registre[ID_Antenne],Registre[Equipementier],"Non Trouvée")</f>
        <v>Non Trouvée</v>
      </c>
      <c r="J609" t="str">
        <f>_xlfn.XLOOKUP(Logs_Reseau6[[#This Row],[Id_Client]],Clients_Churn[ID_Client],Clients_Churn[Type_Forfait],"Pas d'information")</f>
        <v>Pas d'information</v>
      </c>
      <c r="K609" s="5" t="str">
        <f>IF(Logs_Reseau6[[#This Row],[Type_Forfait]]="Pro Monde","B2B","B2C")</f>
        <v>B2C</v>
      </c>
      <c r="L609" s="5" t="str">
        <f>_xlfn.XLOOKUP(Logs_Reseau6[[#This Row],[Id_Client]],Clients_Churn[ID_Client],Clients_Churn[Duree_Cumulee_Panne_Min],"Non Trouvée")</f>
        <v>Non Trouvée</v>
      </c>
      <c r="M609" s="5" t="str">
        <f>_xlfn.XLOOKUP(Logs_Reseau6[[#This Row],[Id_Client]],Clients_Churn[ID_Client],Clients_Churn[Anciennete_Mois],"Rien à signaler")</f>
        <v>Rien à signaler</v>
      </c>
      <c r="N609" s="5" t="e">
        <f>Logs_Reseau6[[#This Row],[Anciennette]]/24</f>
        <v>#VALUE!</v>
      </c>
      <c r="O609" s="5" t="e">
        <f>Logs_Reseau6[[#This Row],[Duree_Cumulée_Panne]]/1440</f>
        <v>#VALUE!</v>
      </c>
      <c r="P60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10" spans="1:16" hidden="1" x14ac:dyDescent="0.25">
      <c r="A610" s="2">
        <v>45226</v>
      </c>
      <c r="B610" s="1">
        <v>0.98819444444444449</v>
      </c>
      <c r="C610" t="s">
        <v>1452</v>
      </c>
      <c r="D610">
        <v>83</v>
      </c>
      <c r="E610" t="s">
        <v>1303</v>
      </c>
      <c r="F610" t="str">
        <f>_xlfn.XLOOKUP(Logs_Reseau6[[#This Row],[Cell_ID]],Registre[ID_Antenne],Registre[Province_RDC],"Non Trouvée")</f>
        <v>Non Trouvée</v>
      </c>
      <c r="G610" t="str">
        <f>_xlfn.XLOOKUP(Logs_Reseau6[[#This Row],[Province]],Clients_Churn[Province_Client],Clients_Churn[ID_Client],"Aucun")</f>
        <v>Aucun</v>
      </c>
      <c r="H610" t="str">
        <f>_xlfn.XLOOKUP(Logs_Reseau6[[#This Row],[Cell_ID]],Registre[ID_Antenne],Registre[Technologie],"Rien à signaler")</f>
        <v>Rien à signaler</v>
      </c>
      <c r="I610" t="str">
        <f>_xlfn.XLOOKUP(Logs_Reseau6[[#This Row],[Cell_ID]],Registre[ID_Antenne],Registre[Equipementier],"Non Trouvée")</f>
        <v>Non Trouvée</v>
      </c>
      <c r="J610" t="str">
        <f>_xlfn.XLOOKUP(Logs_Reseau6[[#This Row],[Id_Client]],Clients_Churn[ID_Client],Clients_Churn[Type_Forfait],"Pas d'information")</f>
        <v>Pas d'information</v>
      </c>
      <c r="K610" s="5" t="str">
        <f>IF(Logs_Reseau6[[#This Row],[Type_Forfait]]="Pro Monde","B2B","B2C")</f>
        <v>B2C</v>
      </c>
      <c r="L610" s="5" t="str">
        <f>_xlfn.XLOOKUP(Logs_Reseau6[[#This Row],[Id_Client]],Clients_Churn[ID_Client],Clients_Churn[Duree_Cumulee_Panne_Min],"Non Trouvée")</f>
        <v>Non Trouvée</v>
      </c>
      <c r="M610" s="5" t="str">
        <f>_xlfn.XLOOKUP(Logs_Reseau6[[#This Row],[Id_Client]],Clients_Churn[ID_Client],Clients_Churn[Anciennete_Mois],"Rien à signaler")</f>
        <v>Rien à signaler</v>
      </c>
      <c r="N610" s="5" t="e">
        <f>Logs_Reseau6[[#This Row],[Anciennette]]/24</f>
        <v>#VALUE!</v>
      </c>
      <c r="O610" s="5" t="e">
        <f>Logs_Reseau6[[#This Row],[Duree_Cumulée_Panne]]/1440</f>
        <v>#VALUE!</v>
      </c>
      <c r="P61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11" spans="1:16" x14ac:dyDescent="0.25">
      <c r="A611" s="2">
        <v>45201</v>
      </c>
      <c r="B611" s="1">
        <v>0.46805555555555556</v>
      </c>
      <c r="C611" t="s">
        <v>1118</v>
      </c>
      <c r="D611">
        <v>80</v>
      </c>
      <c r="E611" t="s">
        <v>1300</v>
      </c>
      <c r="F611" t="str">
        <f>_xlfn.XLOOKUP(Logs_Reseau6[[#This Row],[Cell_ID]],Registre[ID_Antenne],Registre[Province_RDC],"Non Trouvée")</f>
        <v>Haut-Katanga</v>
      </c>
      <c r="G611" t="str">
        <f>_xlfn.XLOOKUP(Logs_Reseau6[[#This Row],[Province]],Clients_Churn[Province_Client],Clients_Churn[ID_Client],"Aucun")</f>
        <v>CLI-00059</v>
      </c>
      <c r="H611" t="str">
        <f>_xlfn.XLOOKUP(Logs_Reseau6[[#This Row],[Cell_ID]],Registre[ID_Antenne],Registre[Technologie],"Rien à signaler")</f>
        <v>5G</v>
      </c>
      <c r="I611" t="str">
        <f>_xlfn.XLOOKUP(Logs_Reseau6[[#This Row],[Cell_ID]],Registre[ID_Antenne],Registre[Equipementier],"Non Trouvée")</f>
        <v>ZTE</v>
      </c>
      <c r="J611" t="str">
        <f>_xlfn.XLOOKUP(Logs_Reseau6[[#This Row],[Id_Client]],Clients_Churn[ID_Client],Clients_Churn[Type_Forfait],"Pas d'information")</f>
        <v>Pro Monde</v>
      </c>
      <c r="K611" s="5" t="str">
        <f>IF(Logs_Reseau6[[#This Row],[Type_Forfait]]="Pro Monde","B2B","B2C")</f>
        <v>B2B</v>
      </c>
      <c r="L611" s="5">
        <f>_xlfn.XLOOKUP(Logs_Reseau6[[#This Row],[Id_Client]],Clients_Churn[ID_Client],Clients_Churn[Duree_Cumulee_Panne_Min],"Non Trouvée")</f>
        <v>76</v>
      </c>
      <c r="M611" s="5">
        <f>_xlfn.XLOOKUP(Logs_Reseau6[[#This Row],[Id_Client]],Clients_Churn[ID_Client],Clients_Churn[Anciennete_Mois],"Rien à signaler")</f>
        <v>69</v>
      </c>
      <c r="N611" s="11">
        <f>Logs_Reseau6[[#This Row],[Anciennette]]/24</f>
        <v>2.875</v>
      </c>
      <c r="O611" s="1">
        <f>Logs_Reseau6[[#This Row],[Duree_Cumulée_Panne]]/1440</f>
        <v>5.2777777777777778E-2</v>
      </c>
      <c r="P61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12" spans="1:16" hidden="1" x14ac:dyDescent="0.25">
      <c r="A612" s="2">
        <v>45218</v>
      </c>
      <c r="B612" s="1">
        <v>0.87569444444444444</v>
      </c>
      <c r="C612" t="s">
        <v>1363</v>
      </c>
      <c r="D612">
        <v>39</v>
      </c>
      <c r="E612" t="s">
        <v>1300</v>
      </c>
      <c r="F612" t="str">
        <f>_xlfn.XLOOKUP(Logs_Reseau6[[#This Row],[Cell_ID]],Registre[ID_Antenne],Registre[Province_RDC],"Non Trouvée")</f>
        <v>Non Trouvée</v>
      </c>
      <c r="G612" t="str">
        <f>_xlfn.XLOOKUP(Logs_Reseau6[[#This Row],[Province]],Clients_Churn[Province_Client],Clients_Churn[ID_Client],"Aucun")</f>
        <v>Aucun</v>
      </c>
      <c r="H612" t="str">
        <f>_xlfn.XLOOKUP(Logs_Reseau6[[#This Row],[Cell_ID]],Registre[ID_Antenne],Registre[Technologie],"Rien à signaler")</f>
        <v>Rien à signaler</v>
      </c>
      <c r="I612" t="str">
        <f>_xlfn.XLOOKUP(Logs_Reseau6[[#This Row],[Cell_ID]],Registre[ID_Antenne],Registre[Equipementier],"Non Trouvée")</f>
        <v>Non Trouvée</v>
      </c>
      <c r="J612" t="str">
        <f>_xlfn.XLOOKUP(Logs_Reseau6[[#This Row],[Id_Client]],Clients_Churn[ID_Client],Clients_Churn[Type_Forfait],"Pas d'information")</f>
        <v>Pas d'information</v>
      </c>
      <c r="K612" s="5" t="str">
        <f>IF(Logs_Reseau6[[#This Row],[Type_Forfait]]="Pro Monde","B2B","B2C")</f>
        <v>B2C</v>
      </c>
      <c r="L612" s="5" t="str">
        <f>_xlfn.XLOOKUP(Logs_Reseau6[[#This Row],[Id_Client]],Clients_Churn[ID_Client],Clients_Churn[Duree_Cumulee_Panne_Min],"Non Trouvée")</f>
        <v>Non Trouvée</v>
      </c>
      <c r="M612" s="5" t="str">
        <f>_xlfn.XLOOKUP(Logs_Reseau6[[#This Row],[Id_Client]],Clients_Churn[ID_Client],Clients_Churn[Anciennete_Mois],"Rien à signaler")</f>
        <v>Rien à signaler</v>
      </c>
      <c r="N612" s="5" t="e">
        <f>Logs_Reseau6[[#This Row],[Anciennette]]/24</f>
        <v>#VALUE!</v>
      </c>
      <c r="O612" s="5" t="e">
        <f>Logs_Reseau6[[#This Row],[Duree_Cumulée_Panne]]/1440</f>
        <v>#VALUE!</v>
      </c>
      <c r="P61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13" spans="1:16" hidden="1" x14ac:dyDescent="0.25">
      <c r="A613" s="2">
        <v>45218</v>
      </c>
      <c r="B613" s="1">
        <v>0.24027777777777778</v>
      </c>
      <c r="C613" t="s">
        <v>1363</v>
      </c>
      <c r="D613">
        <v>53</v>
      </c>
      <c r="E613" t="s">
        <v>1305</v>
      </c>
      <c r="F613" t="str">
        <f>_xlfn.XLOOKUP(Logs_Reseau6[[#This Row],[Cell_ID]],Registre[ID_Antenne],Registre[Province_RDC],"Non Trouvée")</f>
        <v>Non Trouvée</v>
      </c>
      <c r="G613" t="str">
        <f>_xlfn.XLOOKUP(Logs_Reseau6[[#This Row],[Province]],Clients_Churn[Province_Client],Clients_Churn[ID_Client],"Aucun")</f>
        <v>Aucun</v>
      </c>
      <c r="H613" t="str">
        <f>_xlfn.XLOOKUP(Logs_Reseau6[[#This Row],[Cell_ID]],Registre[ID_Antenne],Registre[Technologie],"Rien à signaler")</f>
        <v>Rien à signaler</v>
      </c>
      <c r="I613" t="str">
        <f>_xlfn.XLOOKUP(Logs_Reseau6[[#This Row],[Cell_ID]],Registre[ID_Antenne],Registre[Equipementier],"Non Trouvée")</f>
        <v>Non Trouvée</v>
      </c>
      <c r="J613" t="str">
        <f>_xlfn.XLOOKUP(Logs_Reseau6[[#This Row],[Id_Client]],Clients_Churn[ID_Client],Clients_Churn[Type_Forfait],"Pas d'information")</f>
        <v>Pas d'information</v>
      </c>
      <c r="K613" s="5" t="str">
        <f>IF(Logs_Reseau6[[#This Row],[Type_Forfait]]="Pro Monde","B2B","B2C")</f>
        <v>B2C</v>
      </c>
      <c r="L613" s="5" t="str">
        <f>_xlfn.XLOOKUP(Logs_Reseau6[[#This Row],[Id_Client]],Clients_Churn[ID_Client],Clients_Churn[Duree_Cumulee_Panne_Min],"Non Trouvée")</f>
        <v>Non Trouvée</v>
      </c>
      <c r="M613" s="5" t="str">
        <f>_xlfn.XLOOKUP(Logs_Reseau6[[#This Row],[Id_Client]],Clients_Churn[ID_Client],Clients_Churn[Anciennete_Mois],"Rien à signaler")</f>
        <v>Rien à signaler</v>
      </c>
      <c r="N613" s="5" t="e">
        <f>Logs_Reseau6[[#This Row],[Anciennette]]/24</f>
        <v>#VALUE!</v>
      </c>
      <c r="O613" s="5" t="e">
        <f>Logs_Reseau6[[#This Row],[Duree_Cumulée_Panne]]/1440</f>
        <v>#VALUE!</v>
      </c>
      <c r="P61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14" spans="1:16" x14ac:dyDescent="0.25">
      <c r="A614" s="2">
        <v>45208</v>
      </c>
      <c r="B614" s="1">
        <v>0.96180555555555558</v>
      </c>
      <c r="C614" t="s">
        <v>1113</v>
      </c>
      <c r="D614">
        <v>68</v>
      </c>
      <c r="E614" t="s">
        <v>1300</v>
      </c>
      <c r="F614" t="str">
        <f>_xlfn.XLOOKUP(Logs_Reseau6[[#This Row],[Cell_ID]],Registre[ID_Antenne],Registre[Province_RDC],"Non Trouvée")</f>
        <v>Bas-Uele</v>
      </c>
      <c r="G614" t="str">
        <f>_xlfn.XLOOKUP(Logs_Reseau6[[#This Row],[Province]],Clients_Churn[Province_Client],Clients_Churn[ID_Client],"Aucun")</f>
        <v>CLI-00029</v>
      </c>
      <c r="H614" t="str">
        <f>_xlfn.XLOOKUP(Logs_Reseau6[[#This Row],[Cell_ID]],Registre[ID_Antenne],Registre[Technologie],"Rien à signaler")</f>
        <v>3G</v>
      </c>
      <c r="I614" t="str">
        <f>_xlfn.XLOOKUP(Logs_Reseau6[[#This Row],[Cell_ID]],Registre[ID_Antenne],Registre[Equipementier],"Non Trouvée")</f>
        <v>Nokia</v>
      </c>
      <c r="J614" t="str">
        <f>_xlfn.XLOOKUP(Logs_Reseau6[[#This Row],[Id_Client]],Clients_Churn[ID_Client],Clients_Churn[Type_Forfait],"Pas d'information")</f>
        <v>Pro Monde</v>
      </c>
      <c r="K614" s="5" t="str">
        <f>IF(Logs_Reseau6[[#This Row],[Type_Forfait]]="Pro Monde","B2B","B2C")</f>
        <v>B2B</v>
      </c>
      <c r="L614" s="5">
        <f>_xlfn.XLOOKUP(Logs_Reseau6[[#This Row],[Id_Client]],Clients_Churn[ID_Client],Clients_Churn[Duree_Cumulee_Panne_Min],"Non Trouvée")</f>
        <v>344</v>
      </c>
      <c r="M614" s="5">
        <f>_xlfn.XLOOKUP(Logs_Reseau6[[#This Row],[Id_Client]],Clients_Churn[ID_Client],Clients_Churn[Anciennete_Mois],"Rien à signaler")</f>
        <v>119</v>
      </c>
      <c r="N614" s="11">
        <f>Logs_Reseau6[[#This Row],[Anciennette]]/24</f>
        <v>4.958333333333333</v>
      </c>
      <c r="O614" s="1">
        <f>Logs_Reseau6[[#This Row],[Duree_Cumulée_Panne]]/1440</f>
        <v>0.2388888888888889</v>
      </c>
      <c r="P61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15" spans="1:16" x14ac:dyDescent="0.25">
      <c r="A615" s="2">
        <v>45230</v>
      </c>
      <c r="B615" s="1">
        <v>4.8611111111111112E-3</v>
      </c>
      <c r="C615" t="s">
        <v>1117</v>
      </c>
      <c r="D615">
        <v>58</v>
      </c>
      <c r="E615" t="s">
        <v>1300</v>
      </c>
      <c r="F615" t="str">
        <f>_xlfn.XLOOKUP(Logs_Reseau6[[#This Row],[Cell_ID]],Registre[ID_Antenne],Registre[Province_RDC],"Non Trouvée")</f>
        <v>Lualaba</v>
      </c>
      <c r="G615" t="str">
        <f>_xlfn.XLOOKUP(Logs_Reseau6[[#This Row],[Province]],Clients_Churn[Province_Client],Clients_Churn[ID_Client],"Aucun")</f>
        <v>CLI-00334</v>
      </c>
      <c r="H615" t="str">
        <f>_xlfn.XLOOKUP(Logs_Reseau6[[#This Row],[Cell_ID]],Registre[ID_Antenne],Registre[Technologie],"Rien à signaler")</f>
        <v>4G</v>
      </c>
      <c r="I615" t="str">
        <f>_xlfn.XLOOKUP(Logs_Reseau6[[#This Row],[Cell_ID]],Registre[ID_Antenne],Registre[Equipementier],"Non Trouvée")</f>
        <v>Huawei</v>
      </c>
      <c r="J615" t="str">
        <f>_xlfn.XLOOKUP(Logs_Reseau6[[#This Row],[Id_Client]],Clients_Churn[ID_Client],Clients_Churn[Type_Forfait],"Pas d'information")</f>
        <v>Pro Monde</v>
      </c>
      <c r="K615" s="5" t="str">
        <f>IF(Logs_Reseau6[[#This Row],[Type_Forfait]]="Pro Monde","B2B","B2C")</f>
        <v>B2B</v>
      </c>
      <c r="L615" s="5">
        <f>_xlfn.XLOOKUP(Logs_Reseau6[[#This Row],[Id_Client]],Clients_Churn[ID_Client],Clients_Churn[Duree_Cumulee_Panne_Min],"Non Trouvée")</f>
        <v>214</v>
      </c>
      <c r="M615" s="5">
        <f>_xlfn.XLOOKUP(Logs_Reseau6[[#This Row],[Id_Client]],Clients_Churn[ID_Client],Clients_Churn[Anciennete_Mois],"Rien à signaler")</f>
        <v>16</v>
      </c>
      <c r="N615" s="11">
        <f>Logs_Reseau6[[#This Row],[Anciennette]]/24</f>
        <v>0.66666666666666663</v>
      </c>
      <c r="O615" s="1">
        <f>Logs_Reseau6[[#This Row],[Duree_Cumulée_Panne]]/1440</f>
        <v>0.14861111111111111</v>
      </c>
      <c r="P61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16" spans="1:16" hidden="1" x14ac:dyDescent="0.25">
      <c r="A616" s="2">
        <v>45223</v>
      </c>
      <c r="B616" s="1">
        <v>0.3125</v>
      </c>
      <c r="C616" t="s">
        <v>1619</v>
      </c>
      <c r="D616">
        <v>62</v>
      </c>
      <c r="E616" t="s">
        <v>1300</v>
      </c>
      <c r="F616" t="str">
        <f>_xlfn.XLOOKUP(Logs_Reseau6[[#This Row],[Cell_ID]],Registre[ID_Antenne],Registre[Province_RDC],"Non Trouvée")</f>
        <v>Non Trouvée</v>
      </c>
      <c r="G616" t="str">
        <f>_xlfn.XLOOKUP(Logs_Reseau6[[#This Row],[Province]],Clients_Churn[Province_Client],Clients_Churn[ID_Client],"Aucun")</f>
        <v>Aucun</v>
      </c>
      <c r="H616" t="str">
        <f>_xlfn.XLOOKUP(Logs_Reseau6[[#This Row],[Cell_ID]],Registre[ID_Antenne],Registre[Technologie],"Rien à signaler")</f>
        <v>Rien à signaler</v>
      </c>
      <c r="I616" t="str">
        <f>_xlfn.XLOOKUP(Logs_Reseau6[[#This Row],[Cell_ID]],Registre[ID_Antenne],Registre[Equipementier],"Non Trouvée")</f>
        <v>Non Trouvée</v>
      </c>
      <c r="J616" t="str">
        <f>_xlfn.XLOOKUP(Logs_Reseau6[[#This Row],[Id_Client]],Clients_Churn[ID_Client],Clients_Churn[Type_Forfait],"Pas d'information")</f>
        <v>Pas d'information</v>
      </c>
      <c r="K616" s="5" t="str">
        <f>IF(Logs_Reseau6[[#This Row],[Type_Forfait]]="Pro Monde","B2B","B2C")</f>
        <v>B2C</v>
      </c>
      <c r="L616" s="5" t="str">
        <f>_xlfn.XLOOKUP(Logs_Reseau6[[#This Row],[Id_Client]],Clients_Churn[ID_Client],Clients_Churn[Duree_Cumulee_Panne_Min],"Non Trouvée")</f>
        <v>Non Trouvée</v>
      </c>
      <c r="M616" s="5" t="str">
        <f>_xlfn.XLOOKUP(Logs_Reseau6[[#This Row],[Id_Client]],Clients_Churn[ID_Client],Clients_Churn[Anciennete_Mois],"Rien à signaler")</f>
        <v>Rien à signaler</v>
      </c>
      <c r="N616" s="5" t="e">
        <f>Logs_Reseau6[[#This Row],[Anciennette]]/24</f>
        <v>#VALUE!</v>
      </c>
      <c r="O616" s="5" t="e">
        <f>Logs_Reseau6[[#This Row],[Duree_Cumulée_Panne]]/1440</f>
        <v>#VALUE!</v>
      </c>
      <c r="P61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17" spans="1:16" hidden="1" x14ac:dyDescent="0.25">
      <c r="A617" s="2">
        <v>45222</v>
      </c>
      <c r="B617" s="1">
        <v>0.87916666666666665</v>
      </c>
      <c r="C617" t="s">
        <v>1339</v>
      </c>
      <c r="D617">
        <v>103</v>
      </c>
      <c r="E617" t="s">
        <v>1305</v>
      </c>
      <c r="F617" t="str">
        <f>_xlfn.XLOOKUP(Logs_Reseau6[[#This Row],[Cell_ID]],Registre[ID_Antenne],Registre[Province_RDC],"Non Trouvée")</f>
        <v>Non Trouvée</v>
      </c>
      <c r="G617" t="str">
        <f>_xlfn.XLOOKUP(Logs_Reseau6[[#This Row],[Province]],Clients_Churn[Province_Client],Clients_Churn[ID_Client],"Aucun")</f>
        <v>Aucun</v>
      </c>
      <c r="H617" t="str">
        <f>_xlfn.XLOOKUP(Logs_Reseau6[[#This Row],[Cell_ID]],Registre[ID_Antenne],Registre[Technologie],"Rien à signaler")</f>
        <v>Rien à signaler</v>
      </c>
      <c r="I617" t="str">
        <f>_xlfn.XLOOKUP(Logs_Reseau6[[#This Row],[Cell_ID]],Registre[ID_Antenne],Registre[Equipementier],"Non Trouvée")</f>
        <v>Non Trouvée</v>
      </c>
      <c r="J617" t="str">
        <f>_xlfn.XLOOKUP(Logs_Reseau6[[#This Row],[Id_Client]],Clients_Churn[ID_Client],Clients_Churn[Type_Forfait],"Pas d'information")</f>
        <v>Pas d'information</v>
      </c>
      <c r="K617" s="5" t="str">
        <f>IF(Logs_Reseau6[[#This Row],[Type_Forfait]]="Pro Monde","B2B","B2C")</f>
        <v>B2C</v>
      </c>
      <c r="L617" s="5" t="str">
        <f>_xlfn.XLOOKUP(Logs_Reseau6[[#This Row],[Id_Client]],Clients_Churn[ID_Client],Clients_Churn[Duree_Cumulee_Panne_Min],"Non Trouvée")</f>
        <v>Non Trouvée</v>
      </c>
      <c r="M617" s="5" t="str">
        <f>_xlfn.XLOOKUP(Logs_Reseau6[[#This Row],[Id_Client]],Clients_Churn[ID_Client],Clients_Churn[Anciennete_Mois],"Rien à signaler")</f>
        <v>Rien à signaler</v>
      </c>
      <c r="N617" s="5" t="e">
        <f>Logs_Reseau6[[#This Row],[Anciennette]]/24</f>
        <v>#VALUE!</v>
      </c>
      <c r="O617" s="5" t="e">
        <f>Logs_Reseau6[[#This Row],[Duree_Cumulée_Panne]]/1440</f>
        <v>#VALUE!</v>
      </c>
      <c r="P61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18" spans="1:16" hidden="1" x14ac:dyDescent="0.25">
      <c r="A618" s="2">
        <v>45223</v>
      </c>
      <c r="B618" s="1">
        <v>0.7104166666666667</v>
      </c>
      <c r="C618" t="s">
        <v>1339</v>
      </c>
      <c r="D618">
        <v>43</v>
      </c>
      <c r="E618" t="s">
        <v>1303</v>
      </c>
      <c r="F618" t="str">
        <f>_xlfn.XLOOKUP(Logs_Reseau6[[#This Row],[Cell_ID]],Registre[ID_Antenne],Registre[Province_RDC],"Non Trouvée")</f>
        <v>Non Trouvée</v>
      </c>
      <c r="G618" t="str">
        <f>_xlfn.XLOOKUP(Logs_Reseau6[[#This Row],[Province]],Clients_Churn[Province_Client],Clients_Churn[ID_Client],"Aucun")</f>
        <v>Aucun</v>
      </c>
      <c r="H618" t="str">
        <f>_xlfn.XLOOKUP(Logs_Reseau6[[#This Row],[Cell_ID]],Registre[ID_Antenne],Registre[Technologie],"Rien à signaler")</f>
        <v>Rien à signaler</v>
      </c>
      <c r="I618" t="str">
        <f>_xlfn.XLOOKUP(Logs_Reseau6[[#This Row],[Cell_ID]],Registre[ID_Antenne],Registre[Equipementier],"Non Trouvée")</f>
        <v>Non Trouvée</v>
      </c>
      <c r="J618" t="str">
        <f>_xlfn.XLOOKUP(Logs_Reseau6[[#This Row],[Id_Client]],Clients_Churn[ID_Client],Clients_Churn[Type_Forfait],"Pas d'information")</f>
        <v>Pas d'information</v>
      </c>
      <c r="K618" s="5" t="str">
        <f>IF(Logs_Reseau6[[#This Row],[Type_Forfait]]="Pro Monde","B2B","B2C")</f>
        <v>B2C</v>
      </c>
      <c r="L618" s="5" t="str">
        <f>_xlfn.XLOOKUP(Logs_Reseau6[[#This Row],[Id_Client]],Clients_Churn[ID_Client],Clients_Churn[Duree_Cumulee_Panne_Min],"Non Trouvée")</f>
        <v>Non Trouvée</v>
      </c>
      <c r="M618" s="5" t="str">
        <f>_xlfn.XLOOKUP(Logs_Reseau6[[#This Row],[Id_Client]],Clients_Churn[ID_Client],Clients_Churn[Anciennete_Mois],"Rien à signaler")</f>
        <v>Rien à signaler</v>
      </c>
      <c r="N618" s="5" t="e">
        <f>Logs_Reseau6[[#This Row],[Anciennette]]/24</f>
        <v>#VALUE!</v>
      </c>
      <c r="O618" s="5" t="e">
        <f>Logs_Reseau6[[#This Row],[Duree_Cumulée_Panne]]/1440</f>
        <v>#VALUE!</v>
      </c>
      <c r="P61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19" spans="1:16" hidden="1" x14ac:dyDescent="0.25">
      <c r="A619" s="2">
        <v>45212</v>
      </c>
      <c r="B619" s="1">
        <v>0.48541666666666666</v>
      </c>
      <c r="C619" t="s">
        <v>1614</v>
      </c>
      <c r="D619">
        <v>75</v>
      </c>
      <c r="E619" t="s">
        <v>1300</v>
      </c>
      <c r="F619" t="str">
        <f>_xlfn.XLOOKUP(Logs_Reseau6[[#This Row],[Cell_ID]],Registre[ID_Antenne],Registre[Province_RDC],"Non Trouvée")</f>
        <v>Non Trouvée</v>
      </c>
      <c r="G619" t="str">
        <f>_xlfn.XLOOKUP(Logs_Reseau6[[#This Row],[Province]],Clients_Churn[Province_Client],Clients_Churn[ID_Client],"Aucun")</f>
        <v>Aucun</v>
      </c>
      <c r="H619" t="str">
        <f>_xlfn.XLOOKUP(Logs_Reseau6[[#This Row],[Cell_ID]],Registre[ID_Antenne],Registre[Technologie],"Rien à signaler")</f>
        <v>Rien à signaler</v>
      </c>
      <c r="I619" t="str">
        <f>_xlfn.XLOOKUP(Logs_Reseau6[[#This Row],[Cell_ID]],Registre[ID_Antenne],Registre[Equipementier],"Non Trouvée")</f>
        <v>Non Trouvée</v>
      </c>
      <c r="J619" t="str">
        <f>_xlfn.XLOOKUP(Logs_Reseau6[[#This Row],[Id_Client]],Clients_Churn[ID_Client],Clients_Churn[Type_Forfait],"Pas d'information")</f>
        <v>Pas d'information</v>
      </c>
      <c r="K619" s="5" t="str">
        <f>IF(Logs_Reseau6[[#This Row],[Type_Forfait]]="Pro Monde","B2B","B2C")</f>
        <v>B2C</v>
      </c>
      <c r="L619" s="5" t="str">
        <f>_xlfn.XLOOKUP(Logs_Reseau6[[#This Row],[Id_Client]],Clients_Churn[ID_Client],Clients_Churn[Duree_Cumulee_Panne_Min],"Non Trouvée")</f>
        <v>Non Trouvée</v>
      </c>
      <c r="M619" s="5" t="str">
        <f>_xlfn.XLOOKUP(Logs_Reseau6[[#This Row],[Id_Client]],Clients_Churn[ID_Client],Clients_Churn[Anciennete_Mois],"Rien à signaler")</f>
        <v>Rien à signaler</v>
      </c>
      <c r="N619" s="5" t="e">
        <f>Logs_Reseau6[[#This Row],[Anciennette]]/24</f>
        <v>#VALUE!</v>
      </c>
      <c r="O619" s="5" t="e">
        <f>Logs_Reseau6[[#This Row],[Duree_Cumulée_Panne]]/1440</f>
        <v>#VALUE!</v>
      </c>
      <c r="P61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20" spans="1:16" hidden="1" x14ac:dyDescent="0.25">
      <c r="A620" s="2">
        <v>45201</v>
      </c>
      <c r="B620" s="1">
        <v>0.5854166666666667</v>
      </c>
      <c r="C620" t="s">
        <v>1572</v>
      </c>
      <c r="D620">
        <v>17</v>
      </c>
      <c r="E620" t="s">
        <v>1305</v>
      </c>
      <c r="F620" t="str">
        <f>_xlfn.XLOOKUP(Logs_Reseau6[[#This Row],[Cell_ID]],Registre[ID_Antenne],Registre[Province_RDC],"Non Trouvée")</f>
        <v>Non Trouvée</v>
      </c>
      <c r="G620" t="str">
        <f>_xlfn.XLOOKUP(Logs_Reseau6[[#This Row],[Province]],Clients_Churn[Province_Client],Clients_Churn[ID_Client],"Aucun")</f>
        <v>Aucun</v>
      </c>
      <c r="H620" t="str">
        <f>_xlfn.XLOOKUP(Logs_Reseau6[[#This Row],[Cell_ID]],Registre[ID_Antenne],Registre[Technologie],"Rien à signaler")</f>
        <v>Rien à signaler</v>
      </c>
      <c r="I620" t="str">
        <f>_xlfn.XLOOKUP(Logs_Reseau6[[#This Row],[Cell_ID]],Registre[ID_Antenne],Registre[Equipementier],"Non Trouvée")</f>
        <v>Non Trouvée</v>
      </c>
      <c r="J620" t="str">
        <f>_xlfn.XLOOKUP(Logs_Reseau6[[#This Row],[Id_Client]],Clients_Churn[ID_Client],Clients_Churn[Type_Forfait],"Pas d'information")</f>
        <v>Pas d'information</v>
      </c>
      <c r="K620" s="5" t="str">
        <f>IF(Logs_Reseau6[[#This Row],[Type_Forfait]]="Pro Monde","B2B","B2C")</f>
        <v>B2C</v>
      </c>
      <c r="L620" s="5" t="str">
        <f>_xlfn.XLOOKUP(Logs_Reseau6[[#This Row],[Id_Client]],Clients_Churn[ID_Client],Clients_Churn[Duree_Cumulee_Panne_Min],"Non Trouvée")</f>
        <v>Non Trouvée</v>
      </c>
      <c r="M620" s="5" t="str">
        <f>_xlfn.XLOOKUP(Logs_Reseau6[[#This Row],[Id_Client]],Clients_Churn[ID_Client],Clients_Churn[Anciennete_Mois],"Rien à signaler")</f>
        <v>Rien à signaler</v>
      </c>
      <c r="N620" s="5" t="e">
        <f>Logs_Reseau6[[#This Row],[Anciennette]]/24</f>
        <v>#VALUE!</v>
      </c>
      <c r="O620" s="5" t="e">
        <f>Logs_Reseau6[[#This Row],[Duree_Cumulée_Panne]]/1440</f>
        <v>#VALUE!</v>
      </c>
      <c r="P62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21" spans="1:16" x14ac:dyDescent="0.25">
      <c r="A621" s="2">
        <v>45204</v>
      </c>
      <c r="B621" s="1">
        <v>0.12291666666666666</v>
      </c>
      <c r="C621" t="s">
        <v>990</v>
      </c>
      <c r="D621">
        <v>34</v>
      </c>
      <c r="E621" t="s">
        <v>1300</v>
      </c>
      <c r="F621" t="str">
        <f>_xlfn.XLOOKUP(Logs_Reseau6[[#This Row],[Cell_ID]],Registre[ID_Antenne],Registre[Province_RDC],"Non Trouvée")</f>
        <v>Equateur</v>
      </c>
      <c r="G621" t="str">
        <f>_xlfn.XLOOKUP(Logs_Reseau6[[#This Row],[Province]],Clients_Churn[Province_Client],Clients_Churn[ID_Client],"Aucun")</f>
        <v>CLI-00091</v>
      </c>
      <c r="H621" t="str">
        <f>_xlfn.XLOOKUP(Logs_Reseau6[[#This Row],[Cell_ID]],Registre[ID_Antenne],Registre[Technologie],"Rien à signaler")</f>
        <v>5G</v>
      </c>
      <c r="I621" t="str">
        <f>_xlfn.XLOOKUP(Logs_Reseau6[[#This Row],[Cell_ID]],Registre[ID_Antenne],Registre[Equipementier],"Non Trouvée")</f>
        <v>ZTE</v>
      </c>
      <c r="J621" t="str">
        <f>_xlfn.XLOOKUP(Logs_Reseau6[[#This Row],[Id_Client]],Clients_Churn[ID_Client],Clients_Churn[Type_Forfait],"Pas d'information")</f>
        <v>Bloqué 5Go</v>
      </c>
      <c r="K621" s="5" t="str">
        <f>IF(Logs_Reseau6[[#This Row],[Type_Forfait]]="Pro Monde","B2B","B2C")</f>
        <v>B2C</v>
      </c>
      <c r="L621" s="5">
        <f>_xlfn.XLOOKUP(Logs_Reseau6[[#This Row],[Id_Client]],Clients_Churn[ID_Client],Clients_Churn[Duree_Cumulee_Panne_Min],"Non Trouvée")</f>
        <v>435</v>
      </c>
      <c r="M621" s="5">
        <f>_xlfn.XLOOKUP(Logs_Reseau6[[#This Row],[Id_Client]],Clients_Churn[ID_Client],Clients_Churn[Anciennete_Mois],"Rien à signaler")</f>
        <v>50</v>
      </c>
      <c r="N621" s="11">
        <f>Logs_Reseau6[[#This Row],[Anciennette]]/24</f>
        <v>2.0833333333333335</v>
      </c>
      <c r="O621" s="1">
        <f>Logs_Reseau6[[#This Row],[Duree_Cumulée_Panne]]/1440</f>
        <v>0.30208333333333331</v>
      </c>
      <c r="P62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22" spans="1:16" x14ac:dyDescent="0.25">
      <c r="A622" s="2">
        <v>45209</v>
      </c>
      <c r="B622" s="1">
        <v>0.98888888888888893</v>
      </c>
      <c r="C622" t="s">
        <v>990</v>
      </c>
      <c r="D622">
        <v>51</v>
      </c>
      <c r="E622" t="s">
        <v>1303</v>
      </c>
      <c r="F622" t="str">
        <f>_xlfn.XLOOKUP(Logs_Reseau6[[#This Row],[Cell_ID]],Registre[ID_Antenne],Registre[Province_RDC],"Non Trouvée")</f>
        <v>Equateur</v>
      </c>
      <c r="G622" t="str">
        <f>_xlfn.XLOOKUP(Logs_Reseau6[[#This Row],[Province]],Clients_Churn[Province_Client],Clients_Churn[ID_Client],"Aucun")</f>
        <v>CLI-00091</v>
      </c>
      <c r="H622" t="str">
        <f>_xlfn.XLOOKUP(Logs_Reseau6[[#This Row],[Cell_ID]],Registre[ID_Antenne],Registre[Technologie],"Rien à signaler")</f>
        <v>5G</v>
      </c>
      <c r="I622" t="str">
        <f>_xlfn.XLOOKUP(Logs_Reseau6[[#This Row],[Cell_ID]],Registre[ID_Antenne],Registre[Equipementier],"Non Trouvée")</f>
        <v>ZTE</v>
      </c>
      <c r="J622" t="str">
        <f>_xlfn.XLOOKUP(Logs_Reseau6[[#This Row],[Id_Client]],Clients_Churn[ID_Client],Clients_Churn[Type_Forfait],"Pas d'information")</f>
        <v>Bloqué 5Go</v>
      </c>
      <c r="K622" s="5" t="str">
        <f>IF(Logs_Reseau6[[#This Row],[Type_Forfait]]="Pro Monde","B2B","B2C")</f>
        <v>B2C</v>
      </c>
      <c r="L622" s="5">
        <f>_xlfn.XLOOKUP(Logs_Reseau6[[#This Row],[Id_Client]],Clients_Churn[ID_Client],Clients_Churn[Duree_Cumulee_Panne_Min],"Non Trouvée")</f>
        <v>435</v>
      </c>
      <c r="M622" s="5">
        <f>_xlfn.XLOOKUP(Logs_Reseau6[[#This Row],[Id_Client]],Clients_Churn[ID_Client],Clients_Churn[Anciennete_Mois],"Rien à signaler")</f>
        <v>50</v>
      </c>
      <c r="N622" s="11">
        <f>Logs_Reseau6[[#This Row],[Anciennette]]/24</f>
        <v>2.0833333333333335</v>
      </c>
      <c r="O622" s="1">
        <f>Logs_Reseau6[[#This Row],[Duree_Cumulée_Panne]]/1440</f>
        <v>0.30208333333333331</v>
      </c>
      <c r="P62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23" spans="1:16" x14ac:dyDescent="0.25">
      <c r="A623" s="2">
        <v>45214</v>
      </c>
      <c r="B623" s="1">
        <v>0.63472222222222219</v>
      </c>
      <c r="C623" t="s">
        <v>990</v>
      </c>
      <c r="D623">
        <v>112</v>
      </c>
      <c r="E623" t="s">
        <v>1303</v>
      </c>
      <c r="F623" t="str">
        <f>_xlfn.XLOOKUP(Logs_Reseau6[[#This Row],[Cell_ID]],Registre[ID_Antenne],Registre[Province_RDC],"Non Trouvée")</f>
        <v>Equateur</v>
      </c>
      <c r="G623" t="str">
        <f>_xlfn.XLOOKUP(Logs_Reseau6[[#This Row],[Province]],Clients_Churn[Province_Client],Clients_Churn[ID_Client],"Aucun")</f>
        <v>CLI-00091</v>
      </c>
      <c r="H623" t="str">
        <f>_xlfn.XLOOKUP(Logs_Reseau6[[#This Row],[Cell_ID]],Registre[ID_Antenne],Registre[Technologie],"Rien à signaler")</f>
        <v>5G</v>
      </c>
      <c r="I623" t="str">
        <f>_xlfn.XLOOKUP(Logs_Reseau6[[#This Row],[Cell_ID]],Registre[ID_Antenne],Registre[Equipementier],"Non Trouvée")</f>
        <v>ZTE</v>
      </c>
      <c r="J623" t="str">
        <f>_xlfn.XLOOKUP(Logs_Reseau6[[#This Row],[Id_Client]],Clients_Churn[ID_Client],Clients_Churn[Type_Forfait],"Pas d'information")</f>
        <v>Bloqué 5Go</v>
      </c>
      <c r="K623" s="5" t="str">
        <f>IF(Logs_Reseau6[[#This Row],[Type_Forfait]]="Pro Monde","B2B","B2C")</f>
        <v>B2C</v>
      </c>
      <c r="L623" s="5">
        <f>_xlfn.XLOOKUP(Logs_Reseau6[[#This Row],[Id_Client]],Clients_Churn[ID_Client],Clients_Churn[Duree_Cumulee_Panne_Min],"Non Trouvée")</f>
        <v>435</v>
      </c>
      <c r="M623" s="5">
        <f>_xlfn.XLOOKUP(Logs_Reseau6[[#This Row],[Id_Client]],Clients_Churn[ID_Client],Clients_Churn[Anciennete_Mois],"Rien à signaler")</f>
        <v>50</v>
      </c>
      <c r="N623" s="11">
        <f>Logs_Reseau6[[#This Row],[Anciennette]]/24</f>
        <v>2.0833333333333335</v>
      </c>
      <c r="O623" s="1">
        <f>Logs_Reseau6[[#This Row],[Duree_Cumulée_Panne]]/1440</f>
        <v>0.30208333333333331</v>
      </c>
      <c r="P62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24" spans="1:16" x14ac:dyDescent="0.25">
      <c r="A624" s="2">
        <v>45204</v>
      </c>
      <c r="B624" s="1">
        <v>1.1111111111111112E-2</v>
      </c>
      <c r="C624" t="s">
        <v>1105</v>
      </c>
      <c r="D624">
        <v>12</v>
      </c>
      <c r="E624" t="s">
        <v>1303</v>
      </c>
      <c r="F624" t="str">
        <f>_xlfn.XLOOKUP(Logs_Reseau6[[#This Row],[Cell_ID]],Registre[ID_Antenne],Registre[Province_RDC],"Non Trouvée")</f>
        <v>Maniema</v>
      </c>
      <c r="G624" t="str">
        <f>_xlfn.XLOOKUP(Logs_Reseau6[[#This Row],[Province]],Clients_Churn[Province_Client],Clients_Churn[ID_Client],"Aucun")</f>
        <v>CLI-00039</v>
      </c>
      <c r="H624" t="str">
        <f>_xlfn.XLOOKUP(Logs_Reseau6[[#This Row],[Cell_ID]],Registre[ID_Antenne],Registre[Technologie],"Rien à signaler")</f>
        <v>5G</v>
      </c>
      <c r="I624" t="str">
        <f>_xlfn.XLOOKUP(Logs_Reseau6[[#This Row],[Cell_ID]],Registre[ID_Antenne],Registre[Equipementier],"Non Trouvée")</f>
        <v>Nokia</v>
      </c>
      <c r="J624" t="str">
        <f>_xlfn.XLOOKUP(Logs_Reseau6[[#This Row],[Id_Client]],Clients_Churn[ID_Client],Clients_Churn[Type_Forfait],"Pas d'information")</f>
        <v>Pro Monde</v>
      </c>
      <c r="K624" s="5" t="str">
        <f>IF(Logs_Reseau6[[#This Row],[Type_Forfait]]="Pro Monde","B2B","B2C")</f>
        <v>B2B</v>
      </c>
      <c r="L624" s="5">
        <f>_xlfn.XLOOKUP(Logs_Reseau6[[#This Row],[Id_Client]],Clients_Churn[ID_Client],Clients_Churn[Duree_Cumulee_Panne_Min],"Non Trouvée")</f>
        <v>31</v>
      </c>
      <c r="M624" s="5">
        <f>_xlfn.XLOOKUP(Logs_Reseau6[[#This Row],[Id_Client]],Clients_Churn[ID_Client],Clients_Churn[Anciennete_Mois],"Rien à signaler")</f>
        <v>119</v>
      </c>
      <c r="N624" s="11">
        <f>Logs_Reseau6[[#This Row],[Anciennette]]/24</f>
        <v>4.958333333333333</v>
      </c>
      <c r="O624" s="1">
        <f>Logs_Reseau6[[#This Row],[Duree_Cumulée_Panne]]/1440</f>
        <v>2.1527777777777778E-2</v>
      </c>
      <c r="P62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25" spans="1:16" x14ac:dyDescent="0.25">
      <c r="A625" s="2">
        <v>45226</v>
      </c>
      <c r="B625" s="1">
        <v>0.96458333333333335</v>
      </c>
      <c r="C625" t="s">
        <v>870</v>
      </c>
      <c r="D625">
        <v>27</v>
      </c>
      <c r="E625" t="s">
        <v>1303</v>
      </c>
      <c r="F625" t="str">
        <f>_xlfn.XLOOKUP(Logs_Reseau6[[#This Row],[Cell_ID]],Registre[ID_Antenne],Registre[Province_RDC],"Non Trouvée")</f>
        <v>Lualaba</v>
      </c>
      <c r="G625" t="str">
        <f>_xlfn.XLOOKUP(Logs_Reseau6[[#This Row],[Province]],Clients_Churn[Province_Client],Clients_Churn[ID_Client],"Aucun")</f>
        <v>CLI-00334</v>
      </c>
      <c r="H625" t="str">
        <f>_xlfn.XLOOKUP(Logs_Reseau6[[#This Row],[Cell_ID]],Registre[ID_Antenne],Registre[Technologie],"Rien à signaler")</f>
        <v>3G</v>
      </c>
      <c r="I625" t="str">
        <f>_xlfn.XLOOKUP(Logs_Reseau6[[#This Row],[Cell_ID]],Registre[ID_Antenne],Registre[Equipementier],"Non Trouvée")</f>
        <v>Nokia</v>
      </c>
      <c r="J625" t="str">
        <f>_xlfn.XLOOKUP(Logs_Reseau6[[#This Row],[Id_Client]],Clients_Churn[ID_Client],Clients_Churn[Type_Forfait],"Pas d'information")</f>
        <v>Pro Monde</v>
      </c>
      <c r="K625" s="5" t="str">
        <f>IF(Logs_Reseau6[[#This Row],[Type_Forfait]]="Pro Monde","B2B","B2C")</f>
        <v>B2B</v>
      </c>
      <c r="L625" s="5">
        <f>_xlfn.XLOOKUP(Logs_Reseau6[[#This Row],[Id_Client]],Clients_Churn[ID_Client],Clients_Churn[Duree_Cumulee_Panne_Min],"Non Trouvée")</f>
        <v>214</v>
      </c>
      <c r="M625" s="5">
        <f>_xlfn.XLOOKUP(Logs_Reseau6[[#This Row],[Id_Client]],Clients_Churn[ID_Client],Clients_Churn[Anciennete_Mois],"Rien à signaler")</f>
        <v>16</v>
      </c>
      <c r="N625" s="11">
        <f>Logs_Reseau6[[#This Row],[Anciennette]]/24</f>
        <v>0.66666666666666663</v>
      </c>
      <c r="O625" s="1">
        <f>Logs_Reseau6[[#This Row],[Duree_Cumulée_Panne]]/1440</f>
        <v>0.14861111111111111</v>
      </c>
      <c r="P62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26" spans="1:16" hidden="1" x14ac:dyDescent="0.25">
      <c r="A626" s="2">
        <v>45203</v>
      </c>
      <c r="B626" s="1">
        <v>0.27361111111111114</v>
      </c>
      <c r="C626" t="s">
        <v>1325</v>
      </c>
      <c r="D626">
        <v>23</v>
      </c>
      <c r="E626" t="s">
        <v>1305</v>
      </c>
      <c r="F626" t="str">
        <f>_xlfn.XLOOKUP(Logs_Reseau6[[#This Row],[Cell_ID]],Registre[ID_Antenne],Registre[Province_RDC],"Non Trouvée")</f>
        <v>Non Trouvée</v>
      </c>
      <c r="G626" t="str">
        <f>_xlfn.XLOOKUP(Logs_Reseau6[[#This Row],[Province]],Clients_Churn[Province_Client],Clients_Churn[ID_Client],"Aucun")</f>
        <v>Aucun</v>
      </c>
      <c r="H626" t="str">
        <f>_xlfn.XLOOKUP(Logs_Reseau6[[#This Row],[Cell_ID]],Registre[ID_Antenne],Registre[Technologie],"Rien à signaler")</f>
        <v>Rien à signaler</v>
      </c>
      <c r="I626" t="str">
        <f>_xlfn.XLOOKUP(Logs_Reseau6[[#This Row],[Cell_ID]],Registre[ID_Antenne],Registre[Equipementier],"Non Trouvée")</f>
        <v>Non Trouvée</v>
      </c>
      <c r="J626" t="str">
        <f>_xlfn.XLOOKUP(Logs_Reseau6[[#This Row],[Id_Client]],Clients_Churn[ID_Client],Clients_Churn[Type_Forfait],"Pas d'information")</f>
        <v>Pas d'information</v>
      </c>
      <c r="K626" s="5" t="str">
        <f>IF(Logs_Reseau6[[#This Row],[Type_Forfait]]="Pro Monde","B2B","B2C")</f>
        <v>B2C</v>
      </c>
      <c r="L626" s="5" t="str">
        <f>_xlfn.XLOOKUP(Logs_Reseau6[[#This Row],[Id_Client]],Clients_Churn[ID_Client],Clients_Churn[Duree_Cumulee_Panne_Min],"Non Trouvée")</f>
        <v>Non Trouvée</v>
      </c>
      <c r="M626" s="5" t="str">
        <f>_xlfn.XLOOKUP(Logs_Reseau6[[#This Row],[Id_Client]],Clients_Churn[ID_Client],Clients_Churn[Anciennete_Mois],"Rien à signaler")</f>
        <v>Rien à signaler</v>
      </c>
      <c r="N626" s="5" t="e">
        <f>Logs_Reseau6[[#This Row],[Anciennette]]/24</f>
        <v>#VALUE!</v>
      </c>
      <c r="O626" s="5" t="e">
        <f>Logs_Reseau6[[#This Row],[Duree_Cumulée_Panne]]/1440</f>
        <v>#VALUE!</v>
      </c>
      <c r="P62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27" spans="1:16" hidden="1" x14ac:dyDescent="0.25">
      <c r="A627" s="2">
        <v>45204</v>
      </c>
      <c r="B627" s="1">
        <v>0.33888888888888891</v>
      </c>
      <c r="C627" t="s">
        <v>1325</v>
      </c>
      <c r="D627">
        <v>60</v>
      </c>
      <c r="E627" t="s">
        <v>1300</v>
      </c>
      <c r="F627" t="str">
        <f>_xlfn.XLOOKUP(Logs_Reseau6[[#This Row],[Cell_ID]],Registre[ID_Antenne],Registre[Province_RDC],"Non Trouvée")</f>
        <v>Non Trouvée</v>
      </c>
      <c r="G627" t="str">
        <f>_xlfn.XLOOKUP(Logs_Reseau6[[#This Row],[Province]],Clients_Churn[Province_Client],Clients_Churn[ID_Client],"Aucun")</f>
        <v>Aucun</v>
      </c>
      <c r="H627" t="str">
        <f>_xlfn.XLOOKUP(Logs_Reseau6[[#This Row],[Cell_ID]],Registre[ID_Antenne],Registre[Technologie],"Rien à signaler")</f>
        <v>Rien à signaler</v>
      </c>
      <c r="I627" t="str">
        <f>_xlfn.XLOOKUP(Logs_Reseau6[[#This Row],[Cell_ID]],Registre[ID_Antenne],Registre[Equipementier],"Non Trouvée")</f>
        <v>Non Trouvée</v>
      </c>
      <c r="J627" t="str">
        <f>_xlfn.XLOOKUP(Logs_Reseau6[[#This Row],[Id_Client]],Clients_Churn[ID_Client],Clients_Churn[Type_Forfait],"Pas d'information")</f>
        <v>Pas d'information</v>
      </c>
      <c r="K627" s="5" t="str">
        <f>IF(Logs_Reseau6[[#This Row],[Type_Forfait]]="Pro Monde","B2B","B2C")</f>
        <v>B2C</v>
      </c>
      <c r="L627" s="5" t="str">
        <f>_xlfn.XLOOKUP(Logs_Reseau6[[#This Row],[Id_Client]],Clients_Churn[ID_Client],Clients_Churn[Duree_Cumulee_Panne_Min],"Non Trouvée")</f>
        <v>Non Trouvée</v>
      </c>
      <c r="M627" s="5" t="str">
        <f>_xlfn.XLOOKUP(Logs_Reseau6[[#This Row],[Id_Client]],Clients_Churn[ID_Client],Clients_Churn[Anciennete_Mois],"Rien à signaler")</f>
        <v>Rien à signaler</v>
      </c>
      <c r="N627" s="5" t="e">
        <f>Logs_Reseau6[[#This Row],[Anciennette]]/24</f>
        <v>#VALUE!</v>
      </c>
      <c r="O627" s="5" t="e">
        <f>Logs_Reseau6[[#This Row],[Duree_Cumulée_Panne]]/1440</f>
        <v>#VALUE!</v>
      </c>
      <c r="P62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28" spans="1:16" x14ac:dyDescent="0.25">
      <c r="A628" s="2">
        <v>45208</v>
      </c>
      <c r="B628" s="1">
        <v>0.10833333333333334</v>
      </c>
      <c r="C628" t="s">
        <v>1230</v>
      </c>
      <c r="D628">
        <v>102</v>
      </c>
      <c r="E628" t="s">
        <v>1303</v>
      </c>
      <c r="F628" t="str">
        <f>_xlfn.XLOOKUP(Logs_Reseau6[[#This Row],[Cell_ID]],Registre[ID_Antenne],Registre[Province_RDC],"Non Trouvée")</f>
        <v>Sud-Kivu</v>
      </c>
      <c r="G628" t="str">
        <f>_xlfn.XLOOKUP(Logs_Reseau6[[#This Row],[Province]],Clients_Churn[Province_Client],Clients_Churn[ID_Client],"Aucun")</f>
        <v>CLI-00054</v>
      </c>
      <c r="H628" t="str">
        <f>_xlfn.XLOOKUP(Logs_Reseau6[[#This Row],[Cell_ID]],Registre[ID_Antenne],Registre[Technologie],"Rien à signaler")</f>
        <v>3G</v>
      </c>
      <c r="I628" t="str">
        <f>_xlfn.XLOOKUP(Logs_Reseau6[[#This Row],[Cell_ID]],Registre[ID_Antenne],Registre[Equipementier],"Non Trouvée")</f>
        <v>Huawei</v>
      </c>
      <c r="J628" t="str">
        <f>_xlfn.XLOOKUP(Logs_Reseau6[[#This Row],[Id_Client]],Clients_Churn[ID_Client],Clients_Churn[Type_Forfait],"Pas d'information")</f>
        <v>Bloqué 5Go</v>
      </c>
      <c r="K628" s="5" t="str">
        <f>IF(Logs_Reseau6[[#This Row],[Type_Forfait]]="Pro Monde","B2B","B2C")</f>
        <v>B2C</v>
      </c>
      <c r="L628" s="5">
        <f>_xlfn.XLOOKUP(Logs_Reseau6[[#This Row],[Id_Client]],Clients_Churn[ID_Client],Clients_Churn[Duree_Cumulee_Panne_Min],"Non Trouvée")</f>
        <v>40</v>
      </c>
      <c r="M628" s="5">
        <f>_xlfn.XLOOKUP(Logs_Reseau6[[#This Row],[Id_Client]],Clients_Churn[ID_Client],Clients_Churn[Anciennete_Mois],"Rien à signaler")</f>
        <v>34</v>
      </c>
      <c r="N628" s="11">
        <f>Logs_Reseau6[[#This Row],[Anciennette]]/24</f>
        <v>1.4166666666666667</v>
      </c>
      <c r="O628" s="1">
        <f>Logs_Reseau6[[#This Row],[Duree_Cumulée_Panne]]/1440</f>
        <v>2.7777777777777776E-2</v>
      </c>
      <c r="P62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29" spans="1:16" x14ac:dyDescent="0.25">
      <c r="A629" s="2">
        <v>45220</v>
      </c>
      <c r="B629" s="1">
        <v>0.61875000000000002</v>
      </c>
      <c r="C629" t="s">
        <v>1230</v>
      </c>
      <c r="D629">
        <v>79</v>
      </c>
      <c r="E629" t="s">
        <v>1300</v>
      </c>
      <c r="F629" t="str">
        <f>_xlfn.XLOOKUP(Logs_Reseau6[[#This Row],[Cell_ID]],Registre[ID_Antenne],Registre[Province_RDC],"Non Trouvée")</f>
        <v>Sud-Kivu</v>
      </c>
      <c r="G629" t="str">
        <f>_xlfn.XLOOKUP(Logs_Reseau6[[#This Row],[Province]],Clients_Churn[Province_Client],Clients_Churn[ID_Client],"Aucun")</f>
        <v>CLI-00054</v>
      </c>
      <c r="H629" t="str">
        <f>_xlfn.XLOOKUP(Logs_Reseau6[[#This Row],[Cell_ID]],Registre[ID_Antenne],Registre[Technologie],"Rien à signaler")</f>
        <v>3G</v>
      </c>
      <c r="I629" t="str">
        <f>_xlfn.XLOOKUP(Logs_Reseau6[[#This Row],[Cell_ID]],Registre[ID_Antenne],Registre[Equipementier],"Non Trouvée")</f>
        <v>Huawei</v>
      </c>
      <c r="J629" t="str">
        <f>_xlfn.XLOOKUP(Logs_Reseau6[[#This Row],[Id_Client]],Clients_Churn[ID_Client],Clients_Churn[Type_Forfait],"Pas d'information")</f>
        <v>Bloqué 5Go</v>
      </c>
      <c r="K629" s="5" t="str">
        <f>IF(Logs_Reseau6[[#This Row],[Type_Forfait]]="Pro Monde","B2B","B2C")</f>
        <v>B2C</v>
      </c>
      <c r="L629" s="5">
        <f>_xlfn.XLOOKUP(Logs_Reseau6[[#This Row],[Id_Client]],Clients_Churn[ID_Client],Clients_Churn[Duree_Cumulee_Panne_Min],"Non Trouvée")</f>
        <v>40</v>
      </c>
      <c r="M629" s="5">
        <f>_xlfn.XLOOKUP(Logs_Reseau6[[#This Row],[Id_Client]],Clients_Churn[ID_Client],Clients_Churn[Anciennete_Mois],"Rien à signaler")</f>
        <v>34</v>
      </c>
      <c r="N629" s="11">
        <f>Logs_Reseau6[[#This Row],[Anciennette]]/24</f>
        <v>1.4166666666666667</v>
      </c>
      <c r="O629" s="1">
        <f>Logs_Reseau6[[#This Row],[Duree_Cumulée_Panne]]/1440</f>
        <v>2.7777777777777776E-2</v>
      </c>
      <c r="P62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30" spans="1:16" hidden="1" x14ac:dyDescent="0.25">
      <c r="A630" s="2">
        <v>45223</v>
      </c>
      <c r="B630" s="1">
        <v>0.71944444444444444</v>
      </c>
      <c r="C630" t="s">
        <v>1444</v>
      </c>
      <c r="D630">
        <v>61</v>
      </c>
      <c r="E630" t="s">
        <v>1303</v>
      </c>
      <c r="F630" t="str">
        <f>_xlfn.XLOOKUP(Logs_Reseau6[[#This Row],[Cell_ID]],Registre[ID_Antenne],Registre[Province_RDC],"Non Trouvée")</f>
        <v>Non Trouvée</v>
      </c>
      <c r="G630" t="str">
        <f>_xlfn.XLOOKUP(Logs_Reseau6[[#This Row],[Province]],Clients_Churn[Province_Client],Clients_Churn[ID_Client],"Aucun")</f>
        <v>Aucun</v>
      </c>
      <c r="H630" t="str">
        <f>_xlfn.XLOOKUP(Logs_Reseau6[[#This Row],[Cell_ID]],Registre[ID_Antenne],Registre[Technologie],"Rien à signaler")</f>
        <v>Rien à signaler</v>
      </c>
      <c r="I630" t="str">
        <f>_xlfn.XLOOKUP(Logs_Reseau6[[#This Row],[Cell_ID]],Registre[ID_Antenne],Registre[Equipementier],"Non Trouvée")</f>
        <v>Non Trouvée</v>
      </c>
      <c r="J630" t="str">
        <f>_xlfn.XLOOKUP(Logs_Reseau6[[#This Row],[Id_Client]],Clients_Churn[ID_Client],Clients_Churn[Type_Forfait],"Pas d'information")</f>
        <v>Pas d'information</v>
      </c>
      <c r="K630" s="5" t="str">
        <f>IF(Logs_Reseau6[[#This Row],[Type_Forfait]]="Pro Monde","B2B","B2C")</f>
        <v>B2C</v>
      </c>
      <c r="L630" s="5" t="str">
        <f>_xlfn.XLOOKUP(Logs_Reseau6[[#This Row],[Id_Client]],Clients_Churn[ID_Client],Clients_Churn[Duree_Cumulee_Panne_Min],"Non Trouvée")</f>
        <v>Non Trouvée</v>
      </c>
      <c r="M630" s="5" t="str">
        <f>_xlfn.XLOOKUP(Logs_Reseau6[[#This Row],[Id_Client]],Clients_Churn[ID_Client],Clients_Churn[Anciennete_Mois],"Rien à signaler")</f>
        <v>Rien à signaler</v>
      </c>
      <c r="N630" s="5" t="e">
        <f>Logs_Reseau6[[#This Row],[Anciennette]]/24</f>
        <v>#VALUE!</v>
      </c>
      <c r="O630" s="5" t="e">
        <f>Logs_Reseau6[[#This Row],[Duree_Cumulée_Panne]]/1440</f>
        <v>#VALUE!</v>
      </c>
      <c r="P63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31" spans="1:16" hidden="1" x14ac:dyDescent="0.25">
      <c r="A631" s="2">
        <v>45230</v>
      </c>
      <c r="B631" s="1">
        <v>6.1111111111111109E-2</v>
      </c>
      <c r="C631" t="s">
        <v>1444</v>
      </c>
      <c r="D631">
        <v>103</v>
      </c>
      <c r="E631" t="s">
        <v>1300</v>
      </c>
      <c r="F631" t="str">
        <f>_xlfn.XLOOKUP(Logs_Reseau6[[#This Row],[Cell_ID]],Registre[ID_Antenne],Registre[Province_RDC],"Non Trouvée")</f>
        <v>Non Trouvée</v>
      </c>
      <c r="G631" t="str">
        <f>_xlfn.XLOOKUP(Logs_Reseau6[[#This Row],[Province]],Clients_Churn[Province_Client],Clients_Churn[ID_Client],"Aucun")</f>
        <v>Aucun</v>
      </c>
      <c r="H631" t="str">
        <f>_xlfn.XLOOKUP(Logs_Reseau6[[#This Row],[Cell_ID]],Registre[ID_Antenne],Registre[Technologie],"Rien à signaler")</f>
        <v>Rien à signaler</v>
      </c>
      <c r="I631" t="str">
        <f>_xlfn.XLOOKUP(Logs_Reseau6[[#This Row],[Cell_ID]],Registre[ID_Antenne],Registre[Equipementier],"Non Trouvée")</f>
        <v>Non Trouvée</v>
      </c>
      <c r="J631" t="str">
        <f>_xlfn.XLOOKUP(Logs_Reseau6[[#This Row],[Id_Client]],Clients_Churn[ID_Client],Clients_Churn[Type_Forfait],"Pas d'information")</f>
        <v>Pas d'information</v>
      </c>
      <c r="K631" s="5" t="str">
        <f>IF(Logs_Reseau6[[#This Row],[Type_Forfait]]="Pro Monde","B2B","B2C")</f>
        <v>B2C</v>
      </c>
      <c r="L631" s="5" t="str">
        <f>_xlfn.XLOOKUP(Logs_Reseau6[[#This Row],[Id_Client]],Clients_Churn[ID_Client],Clients_Churn[Duree_Cumulee_Panne_Min],"Non Trouvée")</f>
        <v>Non Trouvée</v>
      </c>
      <c r="M631" s="5" t="str">
        <f>_xlfn.XLOOKUP(Logs_Reseau6[[#This Row],[Id_Client]],Clients_Churn[ID_Client],Clients_Churn[Anciennete_Mois],"Rien à signaler")</f>
        <v>Rien à signaler</v>
      </c>
      <c r="N631" s="5" t="e">
        <f>Logs_Reseau6[[#This Row],[Anciennette]]/24</f>
        <v>#VALUE!</v>
      </c>
      <c r="O631" s="5" t="e">
        <f>Logs_Reseau6[[#This Row],[Duree_Cumulée_Panne]]/1440</f>
        <v>#VALUE!</v>
      </c>
      <c r="P63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32" spans="1:16" hidden="1" x14ac:dyDescent="0.25">
      <c r="A632" s="2">
        <v>45226</v>
      </c>
      <c r="B632" s="1">
        <v>0.63124999999999998</v>
      </c>
      <c r="C632" t="s">
        <v>1590</v>
      </c>
      <c r="D632">
        <v>112</v>
      </c>
      <c r="E632" t="s">
        <v>1303</v>
      </c>
      <c r="F632" t="str">
        <f>_xlfn.XLOOKUP(Logs_Reseau6[[#This Row],[Cell_ID]],Registre[ID_Antenne],Registre[Province_RDC],"Non Trouvée")</f>
        <v>Non Trouvée</v>
      </c>
      <c r="G632" t="str">
        <f>_xlfn.XLOOKUP(Logs_Reseau6[[#This Row],[Province]],Clients_Churn[Province_Client],Clients_Churn[ID_Client],"Aucun")</f>
        <v>Aucun</v>
      </c>
      <c r="H632" t="str">
        <f>_xlfn.XLOOKUP(Logs_Reseau6[[#This Row],[Cell_ID]],Registre[ID_Antenne],Registre[Technologie],"Rien à signaler")</f>
        <v>Rien à signaler</v>
      </c>
      <c r="I632" t="str">
        <f>_xlfn.XLOOKUP(Logs_Reseau6[[#This Row],[Cell_ID]],Registre[ID_Antenne],Registre[Equipementier],"Non Trouvée")</f>
        <v>Non Trouvée</v>
      </c>
      <c r="J632" t="str">
        <f>_xlfn.XLOOKUP(Logs_Reseau6[[#This Row],[Id_Client]],Clients_Churn[ID_Client],Clients_Churn[Type_Forfait],"Pas d'information")</f>
        <v>Pas d'information</v>
      </c>
      <c r="K632" s="5" t="str">
        <f>IF(Logs_Reseau6[[#This Row],[Type_Forfait]]="Pro Monde","B2B","B2C")</f>
        <v>B2C</v>
      </c>
      <c r="L632" s="5" t="str">
        <f>_xlfn.XLOOKUP(Logs_Reseau6[[#This Row],[Id_Client]],Clients_Churn[ID_Client],Clients_Churn[Duree_Cumulee_Panne_Min],"Non Trouvée")</f>
        <v>Non Trouvée</v>
      </c>
      <c r="M632" s="5" t="str">
        <f>_xlfn.XLOOKUP(Logs_Reseau6[[#This Row],[Id_Client]],Clients_Churn[ID_Client],Clients_Churn[Anciennete_Mois],"Rien à signaler")</f>
        <v>Rien à signaler</v>
      </c>
      <c r="N632" s="5" t="e">
        <f>Logs_Reseau6[[#This Row],[Anciennette]]/24</f>
        <v>#VALUE!</v>
      </c>
      <c r="O632" s="5" t="e">
        <f>Logs_Reseau6[[#This Row],[Duree_Cumulée_Panne]]/1440</f>
        <v>#VALUE!</v>
      </c>
      <c r="P63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33" spans="1:16" x14ac:dyDescent="0.25">
      <c r="A633" s="2">
        <v>45200</v>
      </c>
      <c r="B633" s="1">
        <v>0.44513888888888886</v>
      </c>
      <c r="C633" t="s">
        <v>981</v>
      </c>
      <c r="D633">
        <v>112</v>
      </c>
      <c r="E633" t="s">
        <v>1300</v>
      </c>
      <c r="F633" t="str">
        <f>_xlfn.XLOOKUP(Logs_Reseau6[[#This Row],[Cell_ID]],Registre[ID_Antenne],Registre[Province_RDC],"Non Trouvée")</f>
        <v>Haut-Katanga</v>
      </c>
      <c r="G633" t="str">
        <f>_xlfn.XLOOKUP(Logs_Reseau6[[#This Row],[Province]],Clients_Churn[Province_Client],Clients_Churn[ID_Client],"Aucun")</f>
        <v>CLI-00059</v>
      </c>
      <c r="H633" t="str">
        <f>_xlfn.XLOOKUP(Logs_Reseau6[[#This Row],[Cell_ID]],Registre[ID_Antenne],Registre[Technologie],"Rien à signaler")</f>
        <v>4G</v>
      </c>
      <c r="I633" t="str">
        <f>_xlfn.XLOOKUP(Logs_Reseau6[[#This Row],[Cell_ID]],Registre[ID_Antenne],Registre[Equipementier],"Non Trouvée")</f>
        <v>Ericsson</v>
      </c>
      <c r="J633" t="str">
        <f>_xlfn.XLOOKUP(Logs_Reseau6[[#This Row],[Id_Client]],Clients_Churn[ID_Client],Clients_Churn[Type_Forfait],"Pas d'information")</f>
        <v>Pro Monde</v>
      </c>
      <c r="K633" s="5" t="str">
        <f>IF(Logs_Reseau6[[#This Row],[Type_Forfait]]="Pro Monde","B2B","B2C")</f>
        <v>B2B</v>
      </c>
      <c r="L633" s="5">
        <f>_xlfn.XLOOKUP(Logs_Reseau6[[#This Row],[Id_Client]],Clients_Churn[ID_Client],Clients_Churn[Duree_Cumulee_Panne_Min],"Non Trouvée")</f>
        <v>76</v>
      </c>
      <c r="M633" s="5">
        <f>_xlfn.XLOOKUP(Logs_Reseau6[[#This Row],[Id_Client]],Clients_Churn[ID_Client],Clients_Churn[Anciennete_Mois],"Rien à signaler")</f>
        <v>69</v>
      </c>
      <c r="N633" s="11">
        <f>Logs_Reseau6[[#This Row],[Anciennette]]/24</f>
        <v>2.875</v>
      </c>
      <c r="O633" s="1">
        <f>Logs_Reseau6[[#This Row],[Duree_Cumulée_Panne]]/1440</f>
        <v>5.2777777777777778E-2</v>
      </c>
      <c r="P63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34" spans="1:16" x14ac:dyDescent="0.25">
      <c r="A634" s="2">
        <v>45200</v>
      </c>
      <c r="B634" s="1">
        <v>0.50624999999999998</v>
      </c>
      <c r="C634" t="s">
        <v>981</v>
      </c>
      <c r="D634">
        <v>99</v>
      </c>
      <c r="E634" t="s">
        <v>1300</v>
      </c>
      <c r="F634" t="str">
        <f>_xlfn.XLOOKUP(Logs_Reseau6[[#This Row],[Cell_ID]],Registre[ID_Antenne],Registre[Province_RDC],"Non Trouvée")</f>
        <v>Haut-Katanga</v>
      </c>
      <c r="G634" t="str">
        <f>_xlfn.XLOOKUP(Logs_Reseau6[[#This Row],[Province]],Clients_Churn[Province_Client],Clients_Churn[ID_Client],"Aucun")</f>
        <v>CLI-00059</v>
      </c>
      <c r="H634" t="str">
        <f>_xlfn.XLOOKUP(Logs_Reseau6[[#This Row],[Cell_ID]],Registre[ID_Antenne],Registre[Technologie],"Rien à signaler")</f>
        <v>4G</v>
      </c>
      <c r="I634" t="str">
        <f>_xlfn.XLOOKUP(Logs_Reseau6[[#This Row],[Cell_ID]],Registre[ID_Antenne],Registre[Equipementier],"Non Trouvée")</f>
        <v>Ericsson</v>
      </c>
      <c r="J634" t="str">
        <f>_xlfn.XLOOKUP(Logs_Reseau6[[#This Row],[Id_Client]],Clients_Churn[ID_Client],Clients_Churn[Type_Forfait],"Pas d'information")</f>
        <v>Pro Monde</v>
      </c>
      <c r="K634" s="5" t="str">
        <f>IF(Logs_Reseau6[[#This Row],[Type_Forfait]]="Pro Monde","B2B","B2C")</f>
        <v>B2B</v>
      </c>
      <c r="L634" s="5">
        <f>_xlfn.XLOOKUP(Logs_Reseau6[[#This Row],[Id_Client]],Clients_Churn[ID_Client],Clients_Churn[Duree_Cumulee_Panne_Min],"Non Trouvée")</f>
        <v>76</v>
      </c>
      <c r="M634" s="5">
        <f>_xlfn.XLOOKUP(Logs_Reseau6[[#This Row],[Id_Client]],Clients_Churn[ID_Client],Clients_Churn[Anciennete_Mois],"Rien à signaler")</f>
        <v>69</v>
      </c>
      <c r="N634" s="11">
        <f>Logs_Reseau6[[#This Row],[Anciennette]]/24</f>
        <v>2.875</v>
      </c>
      <c r="O634" s="1">
        <f>Logs_Reseau6[[#This Row],[Duree_Cumulée_Panne]]/1440</f>
        <v>5.2777777777777778E-2</v>
      </c>
      <c r="P63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35" spans="1:16" x14ac:dyDescent="0.25">
      <c r="A635" s="2">
        <v>45230</v>
      </c>
      <c r="B635" s="1">
        <v>0.12777777777777777</v>
      </c>
      <c r="C635" t="s">
        <v>981</v>
      </c>
      <c r="D635">
        <v>87</v>
      </c>
      <c r="E635" t="s">
        <v>1305</v>
      </c>
      <c r="F635" t="str">
        <f>_xlfn.XLOOKUP(Logs_Reseau6[[#This Row],[Cell_ID]],Registre[ID_Antenne],Registre[Province_RDC],"Non Trouvée")</f>
        <v>Haut-Katanga</v>
      </c>
      <c r="G635" t="str">
        <f>_xlfn.XLOOKUP(Logs_Reseau6[[#This Row],[Province]],Clients_Churn[Province_Client],Clients_Churn[ID_Client],"Aucun")</f>
        <v>CLI-00059</v>
      </c>
      <c r="H635" t="str">
        <f>_xlfn.XLOOKUP(Logs_Reseau6[[#This Row],[Cell_ID]],Registre[ID_Antenne],Registre[Technologie],"Rien à signaler")</f>
        <v>4G</v>
      </c>
      <c r="I635" t="str">
        <f>_xlfn.XLOOKUP(Logs_Reseau6[[#This Row],[Cell_ID]],Registre[ID_Antenne],Registre[Equipementier],"Non Trouvée")</f>
        <v>Ericsson</v>
      </c>
      <c r="J635" t="str">
        <f>_xlfn.XLOOKUP(Logs_Reseau6[[#This Row],[Id_Client]],Clients_Churn[ID_Client],Clients_Churn[Type_Forfait],"Pas d'information")</f>
        <v>Pro Monde</v>
      </c>
      <c r="K635" s="5" t="str">
        <f>IF(Logs_Reseau6[[#This Row],[Type_Forfait]]="Pro Monde","B2B","B2C")</f>
        <v>B2B</v>
      </c>
      <c r="L635" s="5">
        <f>_xlfn.XLOOKUP(Logs_Reseau6[[#This Row],[Id_Client]],Clients_Churn[ID_Client],Clients_Churn[Duree_Cumulee_Panne_Min],"Non Trouvée")</f>
        <v>76</v>
      </c>
      <c r="M635" s="5">
        <f>_xlfn.XLOOKUP(Logs_Reseau6[[#This Row],[Id_Client]],Clients_Churn[ID_Client],Clients_Churn[Anciennete_Mois],"Rien à signaler")</f>
        <v>69</v>
      </c>
      <c r="N635" s="11">
        <f>Logs_Reseau6[[#This Row],[Anciennette]]/24</f>
        <v>2.875</v>
      </c>
      <c r="O635" s="1">
        <f>Logs_Reseau6[[#This Row],[Duree_Cumulée_Panne]]/1440</f>
        <v>5.2777777777777778E-2</v>
      </c>
      <c r="P63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36" spans="1:16" x14ac:dyDescent="0.25">
      <c r="A636" s="2">
        <v>45217</v>
      </c>
      <c r="B636" s="1">
        <v>0.38472222222222224</v>
      </c>
      <c r="C636" t="s">
        <v>974</v>
      </c>
      <c r="D636">
        <v>99</v>
      </c>
      <c r="E636" t="s">
        <v>1303</v>
      </c>
      <c r="F636" t="str">
        <f>_xlfn.XLOOKUP(Logs_Reseau6[[#This Row],[Cell_ID]],Registre[ID_Antenne],Registre[Province_RDC],"Non Trouvée")</f>
        <v>Haut-Lomami</v>
      </c>
      <c r="G636" t="str">
        <f>_xlfn.XLOOKUP(Logs_Reseau6[[#This Row],[Province]],Clients_Churn[Province_Client],Clients_Churn[ID_Client],"Aucun")</f>
        <v>CLI-00022</v>
      </c>
      <c r="H636" t="str">
        <f>_xlfn.XLOOKUP(Logs_Reseau6[[#This Row],[Cell_ID]],Registre[ID_Antenne],Registre[Technologie],"Rien à signaler")</f>
        <v>3G</v>
      </c>
      <c r="I636" t="str">
        <f>_xlfn.XLOOKUP(Logs_Reseau6[[#This Row],[Cell_ID]],Registre[ID_Antenne],Registre[Equipementier],"Non Trouvée")</f>
        <v>Ericsson</v>
      </c>
      <c r="J636" t="str">
        <f>_xlfn.XLOOKUP(Logs_Reseau6[[#This Row],[Id_Client]],Clients_Churn[ID_Client],Clients_Churn[Type_Forfait],"Pas d'information")</f>
        <v>Premium 5G 150Go</v>
      </c>
      <c r="K636" s="5" t="str">
        <f>IF(Logs_Reseau6[[#This Row],[Type_Forfait]]="Pro Monde","B2B","B2C")</f>
        <v>B2C</v>
      </c>
      <c r="L636" s="5">
        <f>_xlfn.XLOOKUP(Logs_Reseau6[[#This Row],[Id_Client]],Clients_Churn[ID_Client],Clients_Churn[Duree_Cumulee_Panne_Min],"Non Trouvée")</f>
        <v>488</v>
      </c>
      <c r="M636" s="5">
        <f>_xlfn.XLOOKUP(Logs_Reseau6[[#This Row],[Id_Client]],Clients_Churn[ID_Client],Clients_Churn[Anciennete_Mois],"Rien à signaler")</f>
        <v>77</v>
      </c>
      <c r="N636" s="11">
        <f>Logs_Reseau6[[#This Row],[Anciennette]]/24</f>
        <v>3.2083333333333335</v>
      </c>
      <c r="O636" s="1">
        <f>Logs_Reseau6[[#This Row],[Duree_Cumulée_Panne]]/1440</f>
        <v>0.33888888888888891</v>
      </c>
      <c r="P63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37" spans="1:16" x14ac:dyDescent="0.25">
      <c r="A637" s="2">
        <v>45228</v>
      </c>
      <c r="B637" s="1">
        <v>0.73611111111111116</v>
      </c>
      <c r="C637" t="s">
        <v>1084</v>
      </c>
      <c r="D637">
        <v>66</v>
      </c>
      <c r="E637" t="s">
        <v>1305</v>
      </c>
      <c r="F637" t="str">
        <f>_xlfn.XLOOKUP(Logs_Reseau6[[#This Row],[Cell_ID]],Registre[ID_Antenne],Registre[Province_RDC],"Non Trouvée")</f>
        <v>Kasai-Oriental</v>
      </c>
      <c r="G637" t="str">
        <f>_xlfn.XLOOKUP(Logs_Reseau6[[#This Row],[Province]],Clients_Churn[Province_Client],Clients_Churn[ID_Client],"Aucun")</f>
        <v>CLI-00107</v>
      </c>
      <c r="H637" t="str">
        <f>_xlfn.XLOOKUP(Logs_Reseau6[[#This Row],[Cell_ID]],Registre[ID_Antenne],Registre[Technologie],"Rien à signaler")</f>
        <v>5G</v>
      </c>
      <c r="I637" t="str">
        <f>_xlfn.XLOOKUP(Logs_Reseau6[[#This Row],[Cell_ID]],Registre[ID_Antenne],Registre[Equipementier],"Non Trouvée")</f>
        <v>Nokia</v>
      </c>
      <c r="J637" t="str">
        <f>_xlfn.XLOOKUP(Logs_Reseau6[[#This Row],[Id_Client]],Clients_Churn[ID_Client],Clients_Churn[Type_Forfait],"Pas d'information")</f>
        <v>Premium 5G 150Go</v>
      </c>
      <c r="K637" s="5" t="str">
        <f>IF(Logs_Reseau6[[#This Row],[Type_Forfait]]="Pro Monde","B2B","B2C")</f>
        <v>B2C</v>
      </c>
      <c r="L637" s="5">
        <f>_xlfn.XLOOKUP(Logs_Reseau6[[#This Row],[Id_Client]],Clients_Churn[ID_Client],Clients_Churn[Duree_Cumulee_Panne_Min],"Non Trouvée")</f>
        <v>88</v>
      </c>
      <c r="M637" s="5">
        <f>_xlfn.XLOOKUP(Logs_Reseau6[[#This Row],[Id_Client]],Clients_Churn[ID_Client],Clients_Churn[Anciennete_Mois],"Rien à signaler")</f>
        <v>82</v>
      </c>
      <c r="N637" s="11">
        <f>Logs_Reseau6[[#This Row],[Anciennette]]/24</f>
        <v>3.4166666666666665</v>
      </c>
      <c r="O637" s="1">
        <f>Logs_Reseau6[[#This Row],[Duree_Cumulée_Panne]]/1440</f>
        <v>6.1111111111111109E-2</v>
      </c>
      <c r="P63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38" spans="1:16" hidden="1" x14ac:dyDescent="0.25">
      <c r="A638" s="2">
        <v>45222</v>
      </c>
      <c r="B638" s="1">
        <v>0.52847222222222223</v>
      </c>
      <c r="C638" t="s">
        <v>1405</v>
      </c>
      <c r="D638">
        <v>111</v>
      </c>
      <c r="E638" t="s">
        <v>1300</v>
      </c>
      <c r="F638" t="str">
        <f>_xlfn.XLOOKUP(Logs_Reseau6[[#This Row],[Cell_ID]],Registre[ID_Antenne],Registre[Province_RDC],"Non Trouvée")</f>
        <v>Non Trouvée</v>
      </c>
      <c r="G638" t="str">
        <f>_xlfn.XLOOKUP(Logs_Reseau6[[#This Row],[Province]],Clients_Churn[Province_Client],Clients_Churn[ID_Client],"Aucun")</f>
        <v>Aucun</v>
      </c>
      <c r="H638" t="str">
        <f>_xlfn.XLOOKUP(Logs_Reseau6[[#This Row],[Cell_ID]],Registre[ID_Antenne],Registre[Technologie],"Rien à signaler")</f>
        <v>Rien à signaler</v>
      </c>
      <c r="I638" t="str">
        <f>_xlfn.XLOOKUP(Logs_Reseau6[[#This Row],[Cell_ID]],Registre[ID_Antenne],Registre[Equipementier],"Non Trouvée")</f>
        <v>Non Trouvée</v>
      </c>
      <c r="J638" t="str">
        <f>_xlfn.XLOOKUP(Logs_Reseau6[[#This Row],[Id_Client]],Clients_Churn[ID_Client],Clients_Churn[Type_Forfait],"Pas d'information")</f>
        <v>Pas d'information</v>
      </c>
      <c r="K638" s="5" t="str">
        <f>IF(Logs_Reseau6[[#This Row],[Type_Forfait]]="Pro Monde","B2B","B2C")</f>
        <v>B2C</v>
      </c>
      <c r="L638" s="5" t="str">
        <f>_xlfn.XLOOKUP(Logs_Reseau6[[#This Row],[Id_Client]],Clients_Churn[ID_Client],Clients_Churn[Duree_Cumulee_Panne_Min],"Non Trouvée")</f>
        <v>Non Trouvée</v>
      </c>
      <c r="M638" s="5" t="str">
        <f>_xlfn.XLOOKUP(Logs_Reseau6[[#This Row],[Id_Client]],Clients_Churn[ID_Client],Clients_Churn[Anciennete_Mois],"Rien à signaler")</f>
        <v>Rien à signaler</v>
      </c>
      <c r="N638" s="5" t="e">
        <f>Logs_Reseau6[[#This Row],[Anciennette]]/24</f>
        <v>#VALUE!</v>
      </c>
      <c r="O638" s="5" t="e">
        <f>Logs_Reseau6[[#This Row],[Duree_Cumulée_Panne]]/1440</f>
        <v>#VALUE!</v>
      </c>
      <c r="P63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39" spans="1:16" hidden="1" x14ac:dyDescent="0.25">
      <c r="A639" s="2">
        <v>45202</v>
      </c>
      <c r="B639" s="1">
        <v>0.49930555555555556</v>
      </c>
      <c r="C639" t="s">
        <v>1561</v>
      </c>
      <c r="D639">
        <v>57</v>
      </c>
      <c r="E639" t="s">
        <v>1303</v>
      </c>
      <c r="F639" t="str">
        <f>_xlfn.XLOOKUP(Logs_Reseau6[[#This Row],[Cell_ID]],Registre[ID_Antenne],Registre[Province_RDC],"Non Trouvée")</f>
        <v>Non Trouvée</v>
      </c>
      <c r="G639" t="str">
        <f>_xlfn.XLOOKUP(Logs_Reseau6[[#This Row],[Province]],Clients_Churn[Province_Client],Clients_Churn[ID_Client],"Aucun")</f>
        <v>Aucun</v>
      </c>
      <c r="H639" t="str">
        <f>_xlfn.XLOOKUP(Logs_Reseau6[[#This Row],[Cell_ID]],Registre[ID_Antenne],Registre[Technologie],"Rien à signaler")</f>
        <v>Rien à signaler</v>
      </c>
      <c r="I639" t="str">
        <f>_xlfn.XLOOKUP(Logs_Reseau6[[#This Row],[Cell_ID]],Registre[ID_Antenne],Registre[Equipementier],"Non Trouvée")</f>
        <v>Non Trouvée</v>
      </c>
      <c r="J639" t="str">
        <f>_xlfn.XLOOKUP(Logs_Reseau6[[#This Row],[Id_Client]],Clients_Churn[ID_Client],Clients_Churn[Type_Forfait],"Pas d'information")</f>
        <v>Pas d'information</v>
      </c>
      <c r="K639" s="5" t="str">
        <f>IF(Logs_Reseau6[[#This Row],[Type_Forfait]]="Pro Monde","B2B","B2C")</f>
        <v>B2C</v>
      </c>
      <c r="L639" s="5" t="str">
        <f>_xlfn.XLOOKUP(Logs_Reseau6[[#This Row],[Id_Client]],Clients_Churn[ID_Client],Clients_Churn[Duree_Cumulee_Panne_Min],"Non Trouvée")</f>
        <v>Non Trouvée</v>
      </c>
      <c r="M639" s="5" t="str">
        <f>_xlfn.XLOOKUP(Logs_Reseau6[[#This Row],[Id_Client]],Clients_Churn[ID_Client],Clients_Churn[Anciennete_Mois],"Rien à signaler")</f>
        <v>Rien à signaler</v>
      </c>
      <c r="N639" s="5" t="e">
        <f>Logs_Reseau6[[#This Row],[Anciennette]]/24</f>
        <v>#VALUE!</v>
      </c>
      <c r="O639" s="5" t="e">
        <f>Logs_Reseau6[[#This Row],[Duree_Cumulée_Panne]]/1440</f>
        <v>#VALUE!</v>
      </c>
      <c r="P63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40" spans="1:16" hidden="1" x14ac:dyDescent="0.25">
      <c r="A640" s="2">
        <v>45216</v>
      </c>
      <c r="B640" s="1">
        <v>1.3888888888888889E-3</v>
      </c>
      <c r="C640" t="s">
        <v>1561</v>
      </c>
      <c r="D640">
        <v>74</v>
      </c>
      <c r="E640" t="s">
        <v>1305</v>
      </c>
      <c r="F640" t="str">
        <f>_xlfn.XLOOKUP(Logs_Reseau6[[#This Row],[Cell_ID]],Registre[ID_Antenne],Registre[Province_RDC],"Non Trouvée")</f>
        <v>Non Trouvée</v>
      </c>
      <c r="G640" t="str">
        <f>_xlfn.XLOOKUP(Logs_Reseau6[[#This Row],[Province]],Clients_Churn[Province_Client],Clients_Churn[ID_Client],"Aucun")</f>
        <v>Aucun</v>
      </c>
      <c r="H640" t="str">
        <f>_xlfn.XLOOKUP(Logs_Reseau6[[#This Row],[Cell_ID]],Registre[ID_Antenne],Registre[Technologie],"Rien à signaler")</f>
        <v>Rien à signaler</v>
      </c>
      <c r="I640" t="str">
        <f>_xlfn.XLOOKUP(Logs_Reseau6[[#This Row],[Cell_ID]],Registre[ID_Antenne],Registre[Equipementier],"Non Trouvée")</f>
        <v>Non Trouvée</v>
      </c>
      <c r="J640" t="str">
        <f>_xlfn.XLOOKUP(Logs_Reseau6[[#This Row],[Id_Client]],Clients_Churn[ID_Client],Clients_Churn[Type_Forfait],"Pas d'information")</f>
        <v>Pas d'information</v>
      </c>
      <c r="K640" s="5" t="str">
        <f>IF(Logs_Reseau6[[#This Row],[Type_Forfait]]="Pro Monde","B2B","B2C")</f>
        <v>B2C</v>
      </c>
      <c r="L640" s="5" t="str">
        <f>_xlfn.XLOOKUP(Logs_Reseau6[[#This Row],[Id_Client]],Clients_Churn[ID_Client],Clients_Churn[Duree_Cumulee_Panne_Min],"Non Trouvée")</f>
        <v>Non Trouvée</v>
      </c>
      <c r="M640" s="5" t="str">
        <f>_xlfn.XLOOKUP(Logs_Reseau6[[#This Row],[Id_Client]],Clients_Churn[ID_Client],Clients_Churn[Anciennete_Mois],"Rien à signaler")</f>
        <v>Rien à signaler</v>
      </c>
      <c r="N640" s="5" t="e">
        <f>Logs_Reseau6[[#This Row],[Anciennette]]/24</f>
        <v>#VALUE!</v>
      </c>
      <c r="O640" s="5" t="e">
        <f>Logs_Reseau6[[#This Row],[Duree_Cumulée_Panne]]/1440</f>
        <v>#VALUE!</v>
      </c>
      <c r="P64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41" spans="1:16" x14ac:dyDescent="0.25">
      <c r="A641" s="2">
        <v>45209</v>
      </c>
      <c r="B641" s="1">
        <v>0.90138888888888891</v>
      </c>
      <c r="C641" t="s">
        <v>822</v>
      </c>
      <c r="D641">
        <v>68</v>
      </c>
      <c r="E641" t="s">
        <v>1303</v>
      </c>
      <c r="F641" t="str">
        <f>_xlfn.XLOOKUP(Logs_Reseau6[[#This Row],[Cell_ID]],Registre[ID_Antenne],Registre[Province_RDC],"Non Trouvée")</f>
        <v>Sud-Ubangi</v>
      </c>
      <c r="G641" t="str">
        <f>_xlfn.XLOOKUP(Logs_Reseau6[[#This Row],[Province]],Clients_Churn[Province_Client],Clients_Churn[ID_Client],"Aucun")</f>
        <v>CLI-00070</v>
      </c>
      <c r="H641" t="str">
        <f>_xlfn.XLOOKUP(Logs_Reseau6[[#This Row],[Cell_ID]],Registre[ID_Antenne],Registre[Technologie],"Rien à signaler")</f>
        <v>4G</v>
      </c>
      <c r="I641" t="str">
        <f>_xlfn.XLOOKUP(Logs_Reseau6[[#This Row],[Cell_ID]],Registre[ID_Antenne],Registre[Equipementier],"Non Trouvée")</f>
        <v>ZTE</v>
      </c>
      <c r="J641" t="str">
        <f>_xlfn.XLOOKUP(Logs_Reseau6[[#This Row],[Id_Client]],Clients_Churn[ID_Client],Clients_Churn[Type_Forfait],"Pas d'information")</f>
        <v>Illimité 50Go</v>
      </c>
      <c r="K641" s="5" t="str">
        <f>IF(Logs_Reseau6[[#This Row],[Type_Forfait]]="Pro Monde","B2B","B2C")</f>
        <v>B2C</v>
      </c>
      <c r="L641" s="5">
        <f>_xlfn.XLOOKUP(Logs_Reseau6[[#This Row],[Id_Client]],Clients_Churn[ID_Client],Clients_Churn[Duree_Cumulee_Panne_Min],"Non Trouvée")</f>
        <v>119</v>
      </c>
      <c r="M641" s="5">
        <f>_xlfn.XLOOKUP(Logs_Reseau6[[#This Row],[Id_Client]],Clients_Churn[ID_Client],Clients_Churn[Anciennete_Mois],"Rien à signaler")</f>
        <v>52</v>
      </c>
      <c r="N641" s="11">
        <f>Logs_Reseau6[[#This Row],[Anciennette]]/24</f>
        <v>2.1666666666666665</v>
      </c>
      <c r="O641" s="1">
        <f>Logs_Reseau6[[#This Row],[Duree_Cumulée_Panne]]/1440</f>
        <v>8.2638888888888887E-2</v>
      </c>
      <c r="P64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42" spans="1:16" x14ac:dyDescent="0.25">
      <c r="A642" s="2">
        <v>45208</v>
      </c>
      <c r="B642" s="1">
        <v>0.27916666666666667</v>
      </c>
      <c r="C642" t="s">
        <v>1008</v>
      </c>
      <c r="D642">
        <v>41</v>
      </c>
      <c r="E642" t="s">
        <v>1303</v>
      </c>
      <c r="F642" t="str">
        <f>_xlfn.XLOOKUP(Logs_Reseau6[[#This Row],[Cell_ID]],Registre[ID_Antenne],Registre[Province_RDC],"Non Trouvée")</f>
        <v>Nord-Ubangi</v>
      </c>
      <c r="G642" t="str">
        <f>_xlfn.XLOOKUP(Logs_Reseau6[[#This Row],[Province]],Clients_Churn[Province_Client],Clients_Churn[ID_Client],"Aucun")</f>
        <v>CLI-00112</v>
      </c>
      <c r="H642" t="str">
        <f>_xlfn.XLOOKUP(Logs_Reseau6[[#This Row],[Cell_ID]],Registre[ID_Antenne],Registre[Technologie],"Rien à signaler")</f>
        <v>5G</v>
      </c>
      <c r="I642" t="str">
        <f>_xlfn.XLOOKUP(Logs_Reseau6[[#This Row],[Cell_ID]],Registre[ID_Antenne],Registre[Equipementier],"Non Trouvée")</f>
        <v>ZTE</v>
      </c>
      <c r="J642" t="str">
        <f>_xlfn.XLOOKUP(Logs_Reseau6[[#This Row],[Id_Client]],Clients_Churn[ID_Client],Clients_Churn[Type_Forfait],"Pas d'information")</f>
        <v>Bloqué 5Go</v>
      </c>
      <c r="K642" s="5" t="str">
        <f>IF(Logs_Reseau6[[#This Row],[Type_Forfait]]="Pro Monde","B2B","B2C")</f>
        <v>B2C</v>
      </c>
      <c r="L642" s="5">
        <f>_xlfn.XLOOKUP(Logs_Reseau6[[#This Row],[Id_Client]],Clients_Churn[ID_Client],Clients_Churn[Duree_Cumulee_Panne_Min],"Non Trouvée")</f>
        <v>52</v>
      </c>
      <c r="M642" s="5">
        <f>_xlfn.XLOOKUP(Logs_Reseau6[[#This Row],[Id_Client]],Clients_Churn[ID_Client],Clients_Churn[Anciennete_Mois],"Rien à signaler")</f>
        <v>98</v>
      </c>
      <c r="N642" s="11">
        <f>Logs_Reseau6[[#This Row],[Anciennette]]/24</f>
        <v>4.083333333333333</v>
      </c>
      <c r="O642" s="1">
        <f>Logs_Reseau6[[#This Row],[Duree_Cumulée_Panne]]/1440</f>
        <v>3.6111111111111108E-2</v>
      </c>
      <c r="P64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43" spans="1:16" hidden="1" x14ac:dyDescent="0.25">
      <c r="A643" s="2">
        <v>45219</v>
      </c>
      <c r="B643" s="1">
        <v>0.83402777777777781</v>
      </c>
      <c r="C643" t="s">
        <v>1482</v>
      </c>
      <c r="D643">
        <v>64</v>
      </c>
      <c r="E643" t="s">
        <v>1305</v>
      </c>
      <c r="F643" t="str">
        <f>_xlfn.XLOOKUP(Logs_Reseau6[[#This Row],[Cell_ID]],Registre[ID_Antenne],Registre[Province_RDC],"Non Trouvée")</f>
        <v>Non Trouvée</v>
      </c>
      <c r="G643" t="str">
        <f>_xlfn.XLOOKUP(Logs_Reseau6[[#This Row],[Province]],Clients_Churn[Province_Client],Clients_Churn[ID_Client],"Aucun")</f>
        <v>Aucun</v>
      </c>
      <c r="H643" t="str">
        <f>_xlfn.XLOOKUP(Logs_Reseau6[[#This Row],[Cell_ID]],Registre[ID_Antenne],Registre[Technologie],"Rien à signaler")</f>
        <v>Rien à signaler</v>
      </c>
      <c r="I643" t="str">
        <f>_xlfn.XLOOKUP(Logs_Reseau6[[#This Row],[Cell_ID]],Registre[ID_Antenne],Registre[Equipementier],"Non Trouvée")</f>
        <v>Non Trouvée</v>
      </c>
      <c r="J643" t="str">
        <f>_xlfn.XLOOKUP(Logs_Reseau6[[#This Row],[Id_Client]],Clients_Churn[ID_Client],Clients_Churn[Type_Forfait],"Pas d'information")</f>
        <v>Pas d'information</v>
      </c>
      <c r="K643" s="5" t="str">
        <f>IF(Logs_Reseau6[[#This Row],[Type_Forfait]]="Pro Monde","B2B","B2C")</f>
        <v>B2C</v>
      </c>
      <c r="L643" s="5" t="str">
        <f>_xlfn.XLOOKUP(Logs_Reseau6[[#This Row],[Id_Client]],Clients_Churn[ID_Client],Clients_Churn[Duree_Cumulee_Panne_Min],"Non Trouvée")</f>
        <v>Non Trouvée</v>
      </c>
      <c r="M643" s="5" t="str">
        <f>_xlfn.XLOOKUP(Logs_Reseau6[[#This Row],[Id_Client]],Clients_Churn[ID_Client],Clients_Churn[Anciennete_Mois],"Rien à signaler")</f>
        <v>Rien à signaler</v>
      </c>
      <c r="N643" s="5" t="e">
        <f>Logs_Reseau6[[#This Row],[Anciennette]]/24</f>
        <v>#VALUE!</v>
      </c>
      <c r="O643" s="5" t="e">
        <f>Logs_Reseau6[[#This Row],[Duree_Cumulée_Panne]]/1440</f>
        <v>#VALUE!</v>
      </c>
      <c r="P64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44" spans="1:16" hidden="1" x14ac:dyDescent="0.25">
      <c r="A644" s="2">
        <v>45208</v>
      </c>
      <c r="B644" s="1">
        <v>0.50624999999999998</v>
      </c>
      <c r="C644" t="s">
        <v>1591</v>
      </c>
      <c r="D644">
        <v>91</v>
      </c>
      <c r="E644" t="s">
        <v>1305</v>
      </c>
      <c r="F644" t="str">
        <f>_xlfn.XLOOKUP(Logs_Reseau6[[#This Row],[Cell_ID]],Registre[ID_Antenne],Registre[Province_RDC],"Non Trouvée")</f>
        <v>Non Trouvée</v>
      </c>
      <c r="G644" t="str">
        <f>_xlfn.XLOOKUP(Logs_Reseau6[[#This Row],[Province]],Clients_Churn[Province_Client],Clients_Churn[ID_Client],"Aucun")</f>
        <v>Aucun</v>
      </c>
      <c r="H644" t="str">
        <f>_xlfn.XLOOKUP(Logs_Reseau6[[#This Row],[Cell_ID]],Registre[ID_Antenne],Registre[Technologie],"Rien à signaler")</f>
        <v>Rien à signaler</v>
      </c>
      <c r="I644" t="str">
        <f>_xlfn.XLOOKUP(Logs_Reseau6[[#This Row],[Cell_ID]],Registre[ID_Antenne],Registre[Equipementier],"Non Trouvée")</f>
        <v>Non Trouvée</v>
      </c>
      <c r="J644" t="str">
        <f>_xlfn.XLOOKUP(Logs_Reseau6[[#This Row],[Id_Client]],Clients_Churn[ID_Client],Clients_Churn[Type_Forfait],"Pas d'information")</f>
        <v>Pas d'information</v>
      </c>
      <c r="K644" s="5" t="str">
        <f>IF(Logs_Reseau6[[#This Row],[Type_Forfait]]="Pro Monde","B2B","B2C")</f>
        <v>B2C</v>
      </c>
      <c r="L644" s="5" t="str">
        <f>_xlfn.XLOOKUP(Logs_Reseau6[[#This Row],[Id_Client]],Clients_Churn[ID_Client],Clients_Churn[Duree_Cumulee_Panne_Min],"Non Trouvée")</f>
        <v>Non Trouvée</v>
      </c>
      <c r="M644" s="5" t="str">
        <f>_xlfn.XLOOKUP(Logs_Reseau6[[#This Row],[Id_Client]],Clients_Churn[ID_Client],Clients_Churn[Anciennete_Mois],"Rien à signaler")</f>
        <v>Rien à signaler</v>
      </c>
      <c r="N644" s="5" t="e">
        <f>Logs_Reseau6[[#This Row],[Anciennette]]/24</f>
        <v>#VALUE!</v>
      </c>
      <c r="O644" s="5" t="e">
        <f>Logs_Reseau6[[#This Row],[Duree_Cumulée_Panne]]/1440</f>
        <v>#VALUE!</v>
      </c>
      <c r="P64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45" spans="1:16" hidden="1" x14ac:dyDescent="0.25">
      <c r="A645" s="2">
        <v>45228</v>
      </c>
      <c r="B645" s="1">
        <v>0.5180555555555556</v>
      </c>
      <c r="C645" t="s">
        <v>1591</v>
      </c>
      <c r="D645">
        <v>92</v>
      </c>
      <c r="E645" t="s">
        <v>1305</v>
      </c>
      <c r="F645" t="str">
        <f>_xlfn.XLOOKUP(Logs_Reseau6[[#This Row],[Cell_ID]],Registre[ID_Antenne],Registre[Province_RDC],"Non Trouvée")</f>
        <v>Non Trouvée</v>
      </c>
      <c r="G645" t="str">
        <f>_xlfn.XLOOKUP(Logs_Reseau6[[#This Row],[Province]],Clients_Churn[Province_Client],Clients_Churn[ID_Client],"Aucun")</f>
        <v>Aucun</v>
      </c>
      <c r="H645" t="str">
        <f>_xlfn.XLOOKUP(Logs_Reseau6[[#This Row],[Cell_ID]],Registre[ID_Antenne],Registre[Technologie],"Rien à signaler")</f>
        <v>Rien à signaler</v>
      </c>
      <c r="I645" t="str">
        <f>_xlfn.XLOOKUP(Logs_Reseau6[[#This Row],[Cell_ID]],Registre[ID_Antenne],Registre[Equipementier],"Non Trouvée")</f>
        <v>Non Trouvée</v>
      </c>
      <c r="J645" t="str">
        <f>_xlfn.XLOOKUP(Logs_Reseau6[[#This Row],[Id_Client]],Clients_Churn[ID_Client],Clients_Churn[Type_Forfait],"Pas d'information")</f>
        <v>Pas d'information</v>
      </c>
      <c r="K645" s="5" t="str">
        <f>IF(Logs_Reseau6[[#This Row],[Type_Forfait]]="Pro Monde","B2B","B2C")</f>
        <v>B2C</v>
      </c>
      <c r="L645" s="5" t="str">
        <f>_xlfn.XLOOKUP(Logs_Reseau6[[#This Row],[Id_Client]],Clients_Churn[ID_Client],Clients_Churn[Duree_Cumulee_Panne_Min],"Non Trouvée")</f>
        <v>Non Trouvée</v>
      </c>
      <c r="M645" s="5" t="str">
        <f>_xlfn.XLOOKUP(Logs_Reseau6[[#This Row],[Id_Client]],Clients_Churn[ID_Client],Clients_Churn[Anciennete_Mois],"Rien à signaler")</f>
        <v>Rien à signaler</v>
      </c>
      <c r="N645" s="5" t="e">
        <f>Logs_Reseau6[[#This Row],[Anciennette]]/24</f>
        <v>#VALUE!</v>
      </c>
      <c r="O645" s="5" t="e">
        <f>Logs_Reseau6[[#This Row],[Duree_Cumulée_Panne]]/1440</f>
        <v>#VALUE!</v>
      </c>
      <c r="P64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46" spans="1:16" x14ac:dyDescent="0.25">
      <c r="A646" s="2">
        <v>45221</v>
      </c>
      <c r="B646" s="1">
        <v>0.27847222222222223</v>
      </c>
      <c r="C646" t="s">
        <v>1100</v>
      </c>
      <c r="D646">
        <v>83</v>
      </c>
      <c r="E646" t="s">
        <v>1305</v>
      </c>
      <c r="F646" t="str">
        <f>_xlfn.XLOOKUP(Logs_Reseau6[[#This Row],[Cell_ID]],Registre[ID_Antenne],Registre[Province_RDC],"Non Trouvée")</f>
        <v>Tshuapa</v>
      </c>
      <c r="G646" t="str">
        <f>_xlfn.XLOOKUP(Logs_Reseau6[[#This Row],[Province]],Clients_Churn[Province_Client],Clients_Churn[ID_Client],"Aucun")</f>
        <v>CLI-00033</v>
      </c>
      <c r="H646" t="str">
        <f>_xlfn.XLOOKUP(Logs_Reseau6[[#This Row],[Cell_ID]],Registre[ID_Antenne],Registre[Technologie],"Rien à signaler")</f>
        <v>3G</v>
      </c>
      <c r="I646" t="str">
        <f>_xlfn.XLOOKUP(Logs_Reseau6[[#This Row],[Cell_ID]],Registre[ID_Antenne],Registre[Equipementier],"Non Trouvée")</f>
        <v>Huawei</v>
      </c>
      <c r="J646" t="str">
        <f>_xlfn.XLOOKUP(Logs_Reseau6[[#This Row],[Id_Client]],Clients_Churn[ID_Client],Clients_Churn[Type_Forfait],"Pas d'information")</f>
        <v>Premium 5G 150Go</v>
      </c>
      <c r="K646" s="5" t="str">
        <f>IF(Logs_Reseau6[[#This Row],[Type_Forfait]]="Pro Monde","B2B","B2C")</f>
        <v>B2C</v>
      </c>
      <c r="L646" s="5">
        <f>_xlfn.XLOOKUP(Logs_Reseau6[[#This Row],[Id_Client]],Clients_Churn[ID_Client],Clients_Churn[Duree_Cumulee_Panne_Min],"Non Trouvée")</f>
        <v>201</v>
      </c>
      <c r="M646" s="5">
        <f>_xlfn.XLOOKUP(Logs_Reseau6[[#This Row],[Id_Client]],Clients_Churn[ID_Client],Clients_Churn[Anciennete_Mois],"Rien à signaler")</f>
        <v>2</v>
      </c>
      <c r="N646" s="11">
        <f>Logs_Reseau6[[#This Row],[Anciennette]]/24</f>
        <v>8.3333333333333329E-2</v>
      </c>
      <c r="O646" s="1">
        <f>Logs_Reseau6[[#This Row],[Duree_Cumulée_Panne]]/1440</f>
        <v>0.13958333333333334</v>
      </c>
      <c r="P64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47" spans="1:16" x14ac:dyDescent="0.25">
      <c r="A647" s="2">
        <v>45200</v>
      </c>
      <c r="B647" s="1">
        <v>0.34236111111111112</v>
      </c>
      <c r="C647" t="s">
        <v>844</v>
      </c>
      <c r="D647">
        <v>86</v>
      </c>
      <c r="E647" t="s">
        <v>1303</v>
      </c>
      <c r="F647" t="str">
        <f>_xlfn.XLOOKUP(Logs_Reseau6[[#This Row],[Cell_ID]],Registre[ID_Antenne],Registre[Province_RDC],"Non Trouvée")</f>
        <v>Haut-Lomami</v>
      </c>
      <c r="G647" t="str">
        <f>_xlfn.XLOOKUP(Logs_Reseau6[[#This Row],[Province]],Clients_Churn[Province_Client],Clients_Churn[ID_Client],"Aucun")</f>
        <v>CLI-00022</v>
      </c>
      <c r="H647" t="str">
        <f>_xlfn.XLOOKUP(Logs_Reseau6[[#This Row],[Cell_ID]],Registre[ID_Antenne],Registre[Technologie],"Rien à signaler")</f>
        <v>4G</v>
      </c>
      <c r="I647" t="str">
        <f>_xlfn.XLOOKUP(Logs_Reseau6[[#This Row],[Cell_ID]],Registre[ID_Antenne],Registre[Equipementier],"Non Trouvée")</f>
        <v>Huawei</v>
      </c>
      <c r="J647" t="str">
        <f>_xlfn.XLOOKUP(Logs_Reseau6[[#This Row],[Id_Client]],Clients_Churn[ID_Client],Clients_Churn[Type_Forfait],"Pas d'information")</f>
        <v>Premium 5G 150Go</v>
      </c>
      <c r="K647" s="5" t="str">
        <f>IF(Logs_Reseau6[[#This Row],[Type_Forfait]]="Pro Monde","B2B","B2C")</f>
        <v>B2C</v>
      </c>
      <c r="L647" s="5">
        <f>_xlfn.XLOOKUP(Logs_Reseau6[[#This Row],[Id_Client]],Clients_Churn[ID_Client],Clients_Churn[Duree_Cumulee_Panne_Min],"Non Trouvée")</f>
        <v>488</v>
      </c>
      <c r="M647" s="5">
        <f>_xlfn.XLOOKUP(Logs_Reseau6[[#This Row],[Id_Client]],Clients_Churn[ID_Client],Clients_Churn[Anciennete_Mois],"Rien à signaler")</f>
        <v>77</v>
      </c>
      <c r="N647" s="11">
        <f>Logs_Reseau6[[#This Row],[Anciennette]]/24</f>
        <v>3.2083333333333335</v>
      </c>
      <c r="O647" s="1">
        <f>Logs_Reseau6[[#This Row],[Duree_Cumulée_Panne]]/1440</f>
        <v>0.33888888888888891</v>
      </c>
      <c r="P64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48" spans="1:16" x14ac:dyDescent="0.25">
      <c r="A648" s="2">
        <v>45205</v>
      </c>
      <c r="B648" s="1">
        <v>0.47152777777777777</v>
      </c>
      <c r="C648" t="s">
        <v>844</v>
      </c>
      <c r="D648">
        <v>50</v>
      </c>
      <c r="E648" t="s">
        <v>1303</v>
      </c>
      <c r="F648" t="str">
        <f>_xlfn.XLOOKUP(Logs_Reseau6[[#This Row],[Cell_ID]],Registre[ID_Antenne],Registre[Province_RDC],"Non Trouvée")</f>
        <v>Haut-Lomami</v>
      </c>
      <c r="G648" t="str">
        <f>_xlfn.XLOOKUP(Logs_Reseau6[[#This Row],[Province]],Clients_Churn[Province_Client],Clients_Churn[ID_Client],"Aucun")</f>
        <v>CLI-00022</v>
      </c>
      <c r="H648" t="str">
        <f>_xlfn.XLOOKUP(Logs_Reseau6[[#This Row],[Cell_ID]],Registre[ID_Antenne],Registre[Technologie],"Rien à signaler")</f>
        <v>4G</v>
      </c>
      <c r="I648" t="str">
        <f>_xlfn.XLOOKUP(Logs_Reseau6[[#This Row],[Cell_ID]],Registre[ID_Antenne],Registre[Equipementier],"Non Trouvée")</f>
        <v>Huawei</v>
      </c>
      <c r="J648" t="str">
        <f>_xlfn.XLOOKUP(Logs_Reseau6[[#This Row],[Id_Client]],Clients_Churn[ID_Client],Clients_Churn[Type_Forfait],"Pas d'information")</f>
        <v>Premium 5G 150Go</v>
      </c>
      <c r="K648" s="5" t="str">
        <f>IF(Logs_Reseau6[[#This Row],[Type_Forfait]]="Pro Monde","B2B","B2C")</f>
        <v>B2C</v>
      </c>
      <c r="L648" s="5">
        <f>_xlfn.XLOOKUP(Logs_Reseau6[[#This Row],[Id_Client]],Clients_Churn[ID_Client],Clients_Churn[Duree_Cumulee_Panne_Min],"Non Trouvée")</f>
        <v>488</v>
      </c>
      <c r="M648" s="5">
        <f>_xlfn.XLOOKUP(Logs_Reseau6[[#This Row],[Id_Client]],Clients_Churn[ID_Client],Clients_Churn[Anciennete_Mois],"Rien à signaler")</f>
        <v>77</v>
      </c>
      <c r="N648" s="11">
        <f>Logs_Reseau6[[#This Row],[Anciennette]]/24</f>
        <v>3.2083333333333335</v>
      </c>
      <c r="O648" s="1">
        <f>Logs_Reseau6[[#This Row],[Duree_Cumulée_Panne]]/1440</f>
        <v>0.33888888888888891</v>
      </c>
      <c r="P64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49" spans="1:16" hidden="1" x14ac:dyDescent="0.25">
      <c r="A649" s="2">
        <v>45224</v>
      </c>
      <c r="B649" s="1">
        <v>0.29722222222222222</v>
      </c>
      <c r="C649" t="s">
        <v>1570</v>
      </c>
      <c r="D649">
        <v>12</v>
      </c>
      <c r="E649" t="s">
        <v>1305</v>
      </c>
      <c r="F649" t="str">
        <f>_xlfn.XLOOKUP(Logs_Reseau6[[#This Row],[Cell_ID]],Registre[ID_Antenne],Registre[Province_RDC],"Non Trouvée")</f>
        <v>Non Trouvée</v>
      </c>
      <c r="G649" t="str">
        <f>_xlfn.XLOOKUP(Logs_Reseau6[[#This Row],[Province]],Clients_Churn[Province_Client],Clients_Churn[ID_Client],"Aucun")</f>
        <v>Aucun</v>
      </c>
      <c r="H649" t="str">
        <f>_xlfn.XLOOKUP(Logs_Reseau6[[#This Row],[Cell_ID]],Registre[ID_Antenne],Registre[Technologie],"Rien à signaler")</f>
        <v>Rien à signaler</v>
      </c>
      <c r="I649" t="str">
        <f>_xlfn.XLOOKUP(Logs_Reseau6[[#This Row],[Cell_ID]],Registre[ID_Antenne],Registre[Equipementier],"Non Trouvée")</f>
        <v>Non Trouvée</v>
      </c>
      <c r="J649" t="str">
        <f>_xlfn.XLOOKUP(Logs_Reseau6[[#This Row],[Id_Client]],Clients_Churn[ID_Client],Clients_Churn[Type_Forfait],"Pas d'information")</f>
        <v>Pas d'information</v>
      </c>
      <c r="K649" s="5" t="str">
        <f>IF(Logs_Reseau6[[#This Row],[Type_Forfait]]="Pro Monde","B2B","B2C")</f>
        <v>B2C</v>
      </c>
      <c r="L649" s="5" t="str">
        <f>_xlfn.XLOOKUP(Logs_Reseau6[[#This Row],[Id_Client]],Clients_Churn[ID_Client],Clients_Churn[Duree_Cumulee_Panne_Min],"Non Trouvée")</f>
        <v>Non Trouvée</v>
      </c>
      <c r="M649" s="5" t="str">
        <f>_xlfn.XLOOKUP(Logs_Reseau6[[#This Row],[Id_Client]],Clients_Churn[ID_Client],Clients_Churn[Anciennete_Mois],"Rien à signaler")</f>
        <v>Rien à signaler</v>
      </c>
      <c r="N649" s="5" t="e">
        <f>Logs_Reseau6[[#This Row],[Anciennette]]/24</f>
        <v>#VALUE!</v>
      </c>
      <c r="O649" s="5" t="e">
        <f>Logs_Reseau6[[#This Row],[Duree_Cumulée_Panne]]/1440</f>
        <v>#VALUE!</v>
      </c>
      <c r="P64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50" spans="1:16" x14ac:dyDescent="0.25">
      <c r="A650" s="2">
        <v>45213</v>
      </c>
      <c r="B650" s="1">
        <v>0.23819444444444443</v>
      </c>
      <c r="C650" t="s">
        <v>975</v>
      </c>
      <c r="D650">
        <v>53</v>
      </c>
      <c r="E650" t="s">
        <v>1303</v>
      </c>
      <c r="F650" t="str">
        <f>_xlfn.XLOOKUP(Logs_Reseau6[[#This Row],[Cell_ID]],Registre[ID_Antenne],Registre[Province_RDC],"Non Trouvée")</f>
        <v>Nord-Ubangi</v>
      </c>
      <c r="G650" t="str">
        <f>_xlfn.XLOOKUP(Logs_Reseau6[[#This Row],[Province]],Clients_Churn[Province_Client],Clients_Churn[ID_Client],"Aucun")</f>
        <v>CLI-00112</v>
      </c>
      <c r="H650" t="str">
        <f>_xlfn.XLOOKUP(Logs_Reseau6[[#This Row],[Cell_ID]],Registre[ID_Antenne],Registre[Technologie],"Rien à signaler")</f>
        <v>4G</v>
      </c>
      <c r="I650" t="str">
        <f>_xlfn.XLOOKUP(Logs_Reseau6[[#This Row],[Cell_ID]],Registre[ID_Antenne],Registre[Equipementier],"Non Trouvée")</f>
        <v>Ericsson</v>
      </c>
      <c r="J650" t="str">
        <f>_xlfn.XLOOKUP(Logs_Reseau6[[#This Row],[Id_Client]],Clients_Churn[ID_Client],Clients_Churn[Type_Forfait],"Pas d'information")</f>
        <v>Bloqué 5Go</v>
      </c>
      <c r="K650" s="5" t="str">
        <f>IF(Logs_Reseau6[[#This Row],[Type_Forfait]]="Pro Monde","B2B","B2C")</f>
        <v>B2C</v>
      </c>
      <c r="L650" s="5">
        <f>_xlfn.XLOOKUP(Logs_Reseau6[[#This Row],[Id_Client]],Clients_Churn[ID_Client],Clients_Churn[Duree_Cumulee_Panne_Min],"Non Trouvée")</f>
        <v>52</v>
      </c>
      <c r="M650" s="5">
        <f>_xlfn.XLOOKUP(Logs_Reseau6[[#This Row],[Id_Client]],Clients_Churn[ID_Client],Clients_Churn[Anciennete_Mois],"Rien à signaler")</f>
        <v>98</v>
      </c>
      <c r="N650" s="11">
        <f>Logs_Reseau6[[#This Row],[Anciennette]]/24</f>
        <v>4.083333333333333</v>
      </c>
      <c r="O650" s="1">
        <f>Logs_Reseau6[[#This Row],[Duree_Cumulée_Panne]]/1440</f>
        <v>3.6111111111111108E-2</v>
      </c>
      <c r="P65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51" spans="1:16" x14ac:dyDescent="0.25">
      <c r="A651" s="2">
        <v>45226</v>
      </c>
      <c r="B651" s="1">
        <v>0.20902777777777778</v>
      </c>
      <c r="C651" t="s">
        <v>975</v>
      </c>
      <c r="D651">
        <v>81</v>
      </c>
      <c r="E651" t="s">
        <v>1305</v>
      </c>
      <c r="F651" t="str">
        <f>_xlfn.XLOOKUP(Logs_Reseau6[[#This Row],[Cell_ID]],Registre[ID_Antenne],Registre[Province_RDC],"Non Trouvée")</f>
        <v>Nord-Ubangi</v>
      </c>
      <c r="G651" t="str">
        <f>_xlfn.XLOOKUP(Logs_Reseau6[[#This Row],[Province]],Clients_Churn[Province_Client],Clients_Churn[ID_Client],"Aucun")</f>
        <v>CLI-00112</v>
      </c>
      <c r="H651" t="str">
        <f>_xlfn.XLOOKUP(Logs_Reseau6[[#This Row],[Cell_ID]],Registre[ID_Antenne],Registre[Technologie],"Rien à signaler")</f>
        <v>4G</v>
      </c>
      <c r="I651" t="str">
        <f>_xlfn.XLOOKUP(Logs_Reseau6[[#This Row],[Cell_ID]],Registre[ID_Antenne],Registre[Equipementier],"Non Trouvée")</f>
        <v>Ericsson</v>
      </c>
      <c r="J651" t="str">
        <f>_xlfn.XLOOKUP(Logs_Reseau6[[#This Row],[Id_Client]],Clients_Churn[ID_Client],Clients_Churn[Type_Forfait],"Pas d'information")</f>
        <v>Bloqué 5Go</v>
      </c>
      <c r="K651" s="5" t="str">
        <f>IF(Logs_Reseau6[[#This Row],[Type_Forfait]]="Pro Monde","B2B","B2C")</f>
        <v>B2C</v>
      </c>
      <c r="L651" s="5">
        <f>_xlfn.XLOOKUP(Logs_Reseau6[[#This Row],[Id_Client]],Clients_Churn[ID_Client],Clients_Churn[Duree_Cumulee_Panne_Min],"Non Trouvée")</f>
        <v>52</v>
      </c>
      <c r="M651" s="5">
        <f>_xlfn.XLOOKUP(Logs_Reseau6[[#This Row],[Id_Client]],Clients_Churn[ID_Client],Clients_Churn[Anciennete_Mois],"Rien à signaler")</f>
        <v>98</v>
      </c>
      <c r="N651" s="11">
        <f>Logs_Reseau6[[#This Row],[Anciennette]]/24</f>
        <v>4.083333333333333</v>
      </c>
      <c r="O651" s="1">
        <f>Logs_Reseau6[[#This Row],[Duree_Cumulée_Panne]]/1440</f>
        <v>3.6111111111111108E-2</v>
      </c>
      <c r="P65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52" spans="1:16" x14ac:dyDescent="0.25">
      <c r="A652" s="2">
        <v>45229</v>
      </c>
      <c r="B652" s="1">
        <v>0.97222222222222221</v>
      </c>
      <c r="C652" t="s">
        <v>975</v>
      </c>
      <c r="D652">
        <v>5</v>
      </c>
      <c r="E652" t="s">
        <v>1305</v>
      </c>
      <c r="F652" t="str">
        <f>_xlfn.XLOOKUP(Logs_Reseau6[[#This Row],[Cell_ID]],Registre[ID_Antenne],Registre[Province_RDC],"Non Trouvée")</f>
        <v>Nord-Ubangi</v>
      </c>
      <c r="G652" t="str">
        <f>_xlfn.XLOOKUP(Logs_Reseau6[[#This Row],[Province]],Clients_Churn[Province_Client],Clients_Churn[ID_Client],"Aucun")</f>
        <v>CLI-00112</v>
      </c>
      <c r="H652" t="str">
        <f>_xlfn.XLOOKUP(Logs_Reseau6[[#This Row],[Cell_ID]],Registre[ID_Antenne],Registre[Technologie],"Rien à signaler")</f>
        <v>4G</v>
      </c>
      <c r="I652" t="str">
        <f>_xlfn.XLOOKUP(Logs_Reseau6[[#This Row],[Cell_ID]],Registre[ID_Antenne],Registre[Equipementier],"Non Trouvée")</f>
        <v>Ericsson</v>
      </c>
      <c r="J652" t="str">
        <f>_xlfn.XLOOKUP(Logs_Reseau6[[#This Row],[Id_Client]],Clients_Churn[ID_Client],Clients_Churn[Type_Forfait],"Pas d'information")</f>
        <v>Bloqué 5Go</v>
      </c>
      <c r="K652" s="5" t="str">
        <f>IF(Logs_Reseau6[[#This Row],[Type_Forfait]]="Pro Monde","B2B","B2C")</f>
        <v>B2C</v>
      </c>
      <c r="L652" s="5">
        <f>_xlfn.XLOOKUP(Logs_Reseau6[[#This Row],[Id_Client]],Clients_Churn[ID_Client],Clients_Churn[Duree_Cumulee_Panne_Min],"Non Trouvée")</f>
        <v>52</v>
      </c>
      <c r="M652" s="5">
        <f>_xlfn.XLOOKUP(Logs_Reseau6[[#This Row],[Id_Client]],Clients_Churn[ID_Client],Clients_Churn[Anciennete_Mois],"Rien à signaler")</f>
        <v>98</v>
      </c>
      <c r="N652" s="11">
        <f>Logs_Reseau6[[#This Row],[Anciennette]]/24</f>
        <v>4.083333333333333</v>
      </c>
      <c r="O652" s="1">
        <f>Logs_Reseau6[[#This Row],[Duree_Cumulée_Panne]]/1440</f>
        <v>3.6111111111111108E-2</v>
      </c>
      <c r="P65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53" spans="1:16" hidden="1" x14ac:dyDescent="0.25">
      <c r="A653" s="2">
        <v>45209</v>
      </c>
      <c r="B653" s="1">
        <v>0.97777777777777775</v>
      </c>
      <c r="C653" t="s">
        <v>1548</v>
      </c>
      <c r="D653">
        <v>6</v>
      </c>
      <c r="E653" t="s">
        <v>1305</v>
      </c>
      <c r="F653" t="str">
        <f>_xlfn.XLOOKUP(Logs_Reseau6[[#This Row],[Cell_ID]],Registre[ID_Antenne],Registre[Province_RDC],"Non Trouvée")</f>
        <v>Non Trouvée</v>
      </c>
      <c r="G653" t="str">
        <f>_xlfn.XLOOKUP(Logs_Reseau6[[#This Row],[Province]],Clients_Churn[Province_Client],Clients_Churn[ID_Client],"Aucun")</f>
        <v>Aucun</v>
      </c>
      <c r="H653" t="str">
        <f>_xlfn.XLOOKUP(Logs_Reseau6[[#This Row],[Cell_ID]],Registre[ID_Antenne],Registre[Technologie],"Rien à signaler")</f>
        <v>Rien à signaler</v>
      </c>
      <c r="I653" t="str">
        <f>_xlfn.XLOOKUP(Logs_Reseau6[[#This Row],[Cell_ID]],Registre[ID_Antenne],Registre[Equipementier],"Non Trouvée")</f>
        <v>Non Trouvée</v>
      </c>
      <c r="J653" t="str">
        <f>_xlfn.XLOOKUP(Logs_Reseau6[[#This Row],[Id_Client]],Clients_Churn[ID_Client],Clients_Churn[Type_Forfait],"Pas d'information")</f>
        <v>Pas d'information</v>
      </c>
      <c r="K653" s="5" t="str">
        <f>IF(Logs_Reseau6[[#This Row],[Type_Forfait]]="Pro Monde","B2B","B2C")</f>
        <v>B2C</v>
      </c>
      <c r="L653" s="5" t="str">
        <f>_xlfn.XLOOKUP(Logs_Reseau6[[#This Row],[Id_Client]],Clients_Churn[ID_Client],Clients_Churn[Duree_Cumulee_Panne_Min],"Non Trouvée")</f>
        <v>Non Trouvée</v>
      </c>
      <c r="M653" s="5" t="str">
        <f>_xlfn.XLOOKUP(Logs_Reseau6[[#This Row],[Id_Client]],Clients_Churn[ID_Client],Clients_Churn[Anciennete_Mois],"Rien à signaler")</f>
        <v>Rien à signaler</v>
      </c>
      <c r="N653" s="5" t="e">
        <f>Logs_Reseau6[[#This Row],[Anciennette]]/24</f>
        <v>#VALUE!</v>
      </c>
      <c r="O653" s="5" t="e">
        <f>Logs_Reseau6[[#This Row],[Duree_Cumulée_Panne]]/1440</f>
        <v>#VALUE!</v>
      </c>
      <c r="P65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54" spans="1:16" hidden="1" x14ac:dyDescent="0.25">
      <c r="A654" s="2">
        <v>45218</v>
      </c>
      <c r="B654" s="1">
        <v>0.31458333333333333</v>
      </c>
      <c r="C654" t="s">
        <v>1548</v>
      </c>
      <c r="D654">
        <v>45</v>
      </c>
      <c r="E654" t="s">
        <v>1300</v>
      </c>
      <c r="F654" t="str">
        <f>_xlfn.XLOOKUP(Logs_Reseau6[[#This Row],[Cell_ID]],Registre[ID_Antenne],Registre[Province_RDC],"Non Trouvée")</f>
        <v>Non Trouvée</v>
      </c>
      <c r="G654" t="str">
        <f>_xlfn.XLOOKUP(Logs_Reseau6[[#This Row],[Province]],Clients_Churn[Province_Client],Clients_Churn[ID_Client],"Aucun")</f>
        <v>Aucun</v>
      </c>
      <c r="H654" t="str">
        <f>_xlfn.XLOOKUP(Logs_Reseau6[[#This Row],[Cell_ID]],Registre[ID_Antenne],Registre[Technologie],"Rien à signaler")</f>
        <v>Rien à signaler</v>
      </c>
      <c r="I654" t="str">
        <f>_xlfn.XLOOKUP(Logs_Reseau6[[#This Row],[Cell_ID]],Registre[ID_Antenne],Registre[Equipementier],"Non Trouvée")</f>
        <v>Non Trouvée</v>
      </c>
      <c r="J654" t="str">
        <f>_xlfn.XLOOKUP(Logs_Reseau6[[#This Row],[Id_Client]],Clients_Churn[ID_Client],Clients_Churn[Type_Forfait],"Pas d'information")</f>
        <v>Pas d'information</v>
      </c>
      <c r="K654" s="5" t="str">
        <f>IF(Logs_Reseau6[[#This Row],[Type_Forfait]]="Pro Monde","B2B","B2C")</f>
        <v>B2C</v>
      </c>
      <c r="L654" s="5" t="str">
        <f>_xlfn.XLOOKUP(Logs_Reseau6[[#This Row],[Id_Client]],Clients_Churn[ID_Client],Clients_Churn[Duree_Cumulee_Panne_Min],"Non Trouvée")</f>
        <v>Non Trouvée</v>
      </c>
      <c r="M654" s="5" t="str">
        <f>_xlfn.XLOOKUP(Logs_Reseau6[[#This Row],[Id_Client]],Clients_Churn[ID_Client],Clients_Churn[Anciennete_Mois],"Rien à signaler")</f>
        <v>Rien à signaler</v>
      </c>
      <c r="N654" s="5" t="e">
        <f>Logs_Reseau6[[#This Row],[Anciennette]]/24</f>
        <v>#VALUE!</v>
      </c>
      <c r="O654" s="5" t="e">
        <f>Logs_Reseau6[[#This Row],[Duree_Cumulée_Panne]]/1440</f>
        <v>#VALUE!</v>
      </c>
      <c r="P65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55" spans="1:16" hidden="1" x14ac:dyDescent="0.25">
      <c r="A655" s="2">
        <v>45228</v>
      </c>
      <c r="B655" s="1">
        <v>0.34097222222222223</v>
      </c>
      <c r="C655" t="s">
        <v>1346</v>
      </c>
      <c r="D655">
        <v>118</v>
      </c>
      <c r="E655" t="s">
        <v>1305</v>
      </c>
      <c r="F655" t="str">
        <f>_xlfn.XLOOKUP(Logs_Reseau6[[#This Row],[Cell_ID]],Registre[ID_Antenne],Registre[Province_RDC],"Non Trouvée")</f>
        <v>Non Trouvée</v>
      </c>
      <c r="G655" t="str">
        <f>_xlfn.XLOOKUP(Logs_Reseau6[[#This Row],[Province]],Clients_Churn[Province_Client],Clients_Churn[ID_Client],"Aucun")</f>
        <v>Aucun</v>
      </c>
      <c r="H655" t="str">
        <f>_xlfn.XLOOKUP(Logs_Reseau6[[#This Row],[Cell_ID]],Registre[ID_Antenne],Registre[Technologie],"Rien à signaler")</f>
        <v>Rien à signaler</v>
      </c>
      <c r="I655" t="str">
        <f>_xlfn.XLOOKUP(Logs_Reseau6[[#This Row],[Cell_ID]],Registre[ID_Antenne],Registre[Equipementier],"Non Trouvée")</f>
        <v>Non Trouvée</v>
      </c>
      <c r="J655" t="str">
        <f>_xlfn.XLOOKUP(Logs_Reseau6[[#This Row],[Id_Client]],Clients_Churn[ID_Client],Clients_Churn[Type_Forfait],"Pas d'information")</f>
        <v>Pas d'information</v>
      </c>
      <c r="K655" s="5" t="str">
        <f>IF(Logs_Reseau6[[#This Row],[Type_Forfait]]="Pro Monde","B2B","B2C")</f>
        <v>B2C</v>
      </c>
      <c r="L655" s="5" t="str">
        <f>_xlfn.XLOOKUP(Logs_Reseau6[[#This Row],[Id_Client]],Clients_Churn[ID_Client],Clients_Churn[Duree_Cumulee_Panne_Min],"Non Trouvée")</f>
        <v>Non Trouvée</v>
      </c>
      <c r="M655" s="5" t="str">
        <f>_xlfn.XLOOKUP(Logs_Reseau6[[#This Row],[Id_Client]],Clients_Churn[ID_Client],Clients_Churn[Anciennete_Mois],"Rien à signaler")</f>
        <v>Rien à signaler</v>
      </c>
      <c r="N655" s="5" t="e">
        <f>Logs_Reseau6[[#This Row],[Anciennette]]/24</f>
        <v>#VALUE!</v>
      </c>
      <c r="O655" s="5" t="e">
        <f>Logs_Reseau6[[#This Row],[Duree_Cumulée_Panne]]/1440</f>
        <v>#VALUE!</v>
      </c>
      <c r="P65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56" spans="1:16" x14ac:dyDescent="0.25">
      <c r="A656" s="2">
        <v>45212</v>
      </c>
      <c r="B656" s="1">
        <v>0.96527777777777779</v>
      </c>
      <c r="C656" t="s">
        <v>1020</v>
      </c>
      <c r="D656">
        <v>27</v>
      </c>
      <c r="E656" t="s">
        <v>1305</v>
      </c>
      <c r="F656" t="str">
        <f>_xlfn.XLOOKUP(Logs_Reseau6[[#This Row],[Cell_ID]],Registre[ID_Antenne],Registre[Province_RDC],"Non Trouvée")</f>
        <v>Kongo-Central</v>
      </c>
      <c r="G656" t="str">
        <f>_xlfn.XLOOKUP(Logs_Reseau6[[#This Row],[Province]],Clients_Churn[Province_Client],Clients_Churn[ID_Client],"Aucun")</f>
        <v>CLI-00012</v>
      </c>
      <c r="H656" t="str">
        <f>_xlfn.XLOOKUP(Logs_Reseau6[[#This Row],[Cell_ID]],Registre[ID_Antenne],Registre[Technologie],"Rien à signaler")</f>
        <v>4G</v>
      </c>
      <c r="I656" t="str">
        <f>_xlfn.XLOOKUP(Logs_Reseau6[[#This Row],[Cell_ID]],Registre[ID_Antenne],Registre[Equipementier],"Non Trouvée")</f>
        <v>Nokia</v>
      </c>
      <c r="J656" t="str">
        <f>_xlfn.XLOOKUP(Logs_Reseau6[[#This Row],[Id_Client]],Clients_Churn[ID_Client],Clients_Churn[Type_Forfait],"Pas d'information")</f>
        <v>Illimité 50Go</v>
      </c>
      <c r="K656" s="5" t="str">
        <f>IF(Logs_Reseau6[[#This Row],[Type_Forfait]]="Pro Monde","B2B","B2C")</f>
        <v>B2C</v>
      </c>
      <c r="L656" s="5">
        <f>_xlfn.XLOOKUP(Logs_Reseau6[[#This Row],[Id_Client]],Clients_Churn[ID_Client],Clients_Churn[Duree_Cumulee_Panne_Min],"Non Trouvée")</f>
        <v>172</v>
      </c>
      <c r="M656" s="5">
        <f>_xlfn.XLOOKUP(Logs_Reseau6[[#This Row],[Id_Client]],Clients_Churn[ID_Client],Clients_Churn[Anciennete_Mois],"Rien à signaler")</f>
        <v>105</v>
      </c>
      <c r="N656" s="11">
        <f>Logs_Reseau6[[#This Row],[Anciennette]]/24</f>
        <v>4.375</v>
      </c>
      <c r="O656" s="1">
        <f>Logs_Reseau6[[#This Row],[Duree_Cumulée_Panne]]/1440</f>
        <v>0.11944444444444445</v>
      </c>
      <c r="P65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57" spans="1:16" x14ac:dyDescent="0.25">
      <c r="A657" s="2">
        <v>45218</v>
      </c>
      <c r="B657" s="1">
        <v>0.28611111111111109</v>
      </c>
      <c r="C657" t="s">
        <v>1160</v>
      </c>
      <c r="D657">
        <v>89</v>
      </c>
      <c r="E657" t="s">
        <v>1300</v>
      </c>
      <c r="F657" t="str">
        <f>_xlfn.XLOOKUP(Logs_Reseau6[[#This Row],[Cell_ID]],Registre[ID_Antenne],Registre[Province_RDC],"Non Trouvée")</f>
        <v>Kwango</v>
      </c>
      <c r="G657" t="str">
        <f>_xlfn.XLOOKUP(Logs_Reseau6[[#This Row],[Province]],Clients_Churn[Province_Client],Clients_Churn[ID_Client],"Aucun")</f>
        <v>CLI-00094</v>
      </c>
      <c r="H657" t="str">
        <f>_xlfn.XLOOKUP(Logs_Reseau6[[#This Row],[Cell_ID]],Registre[ID_Antenne],Registre[Technologie],"Rien à signaler")</f>
        <v>4G</v>
      </c>
      <c r="I657" t="str">
        <f>_xlfn.XLOOKUP(Logs_Reseau6[[#This Row],[Cell_ID]],Registre[ID_Antenne],Registre[Equipementier],"Non Trouvée")</f>
        <v>Nokia</v>
      </c>
      <c r="J657" t="str">
        <f>_xlfn.XLOOKUP(Logs_Reseau6[[#This Row],[Id_Client]],Clients_Churn[ID_Client],Clients_Churn[Type_Forfait],"Pas d'information")</f>
        <v>Pro Monde</v>
      </c>
      <c r="K657" s="5" t="str">
        <f>IF(Logs_Reseau6[[#This Row],[Type_Forfait]]="Pro Monde","B2B","B2C")</f>
        <v>B2B</v>
      </c>
      <c r="L657" s="5">
        <f>_xlfn.XLOOKUP(Logs_Reseau6[[#This Row],[Id_Client]],Clients_Churn[ID_Client],Clients_Churn[Duree_Cumulee_Panne_Min],"Non Trouvée")</f>
        <v>493</v>
      </c>
      <c r="M657" s="5">
        <f>_xlfn.XLOOKUP(Logs_Reseau6[[#This Row],[Id_Client]],Clients_Churn[ID_Client],Clients_Churn[Anciennete_Mois],"Rien à signaler")</f>
        <v>29</v>
      </c>
      <c r="N657" s="11">
        <f>Logs_Reseau6[[#This Row],[Anciennette]]/24</f>
        <v>1.2083333333333333</v>
      </c>
      <c r="O657" s="1">
        <f>Logs_Reseau6[[#This Row],[Duree_Cumulée_Panne]]/1440</f>
        <v>0.34236111111111112</v>
      </c>
      <c r="P65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58" spans="1:16" x14ac:dyDescent="0.25">
      <c r="A658" s="2">
        <v>45221</v>
      </c>
      <c r="B658" s="1">
        <v>0.19791666666666666</v>
      </c>
      <c r="C658" t="s">
        <v>1160</v>
      </c>
      <c r="D658">
        <v>61</v>
      </c>
      <c r="E658" t="s">
        <v>1305</v>
      </c>
      <c r="F658" t="str">
        <f>_xlfn.XLOOKUP(Logs_Reseau6[[#This Row],[Cell_ID]],Registre[ID_Antenne],Registre[Province_RDC],"Non Trouvée")</f>
        <v>Kwango</v>
      </c>
      <c r="G658" t="str">
        <f>_xlfn.XLOOKUP(Logs_Reseau6[[#This Row],[Province]],Clients_Churn[Province_Client],Clients_Churn[ID_Client],"Aucun")</f>
        <v>CLI-00094</v>
      </c>
      <c r="H658" t="str">
        <f>_xlfn.XLOOKUP(Logs_Reseau6[[#This Row],[Cell_ID]],Registre[ID_Antenne],Registre[Technologie],"Rien à signaler")</f>
        <v>4G</v>
      </c>
      <c r="I658" t="str">
        <f>_xlfn.XLOOKUP(Logs_Reseau6[[#This Row],[Cell_ID]],Registre[ID_Antenne],Registre[Equipementier],"Non Trouvée")</f>
        <v>Nokia</v>
      </c>
      <c r="J658" t="str">
        <f>_xlfn.XLOOKUP(Logs_Reseau6[[#This Row],[Id_Client]],Clients_Churn[ID_Client],Clients_Churn[Type_Forfait],"Pas d'information")</f>
        <v>Pro Monde</v>
      </c>
      <c r="K658" s="5" t="str">
        <f>IF(Logs_Reseau6[[#This Row],[Type_Forfait]]="Pro Monde","B2B","B2C")</f>
        <v>B2B</v>
      </c>
      <c r="L658" s="5">
        <f>_xlfn.XLOOKUP(Logs_Reseau6[[#This Row],[Id_Client]],Clients_Churn[ID_Client],Clients_Churn[Duree_Cumulee_Panne_Min],"Non Trouvée")</f>
        <v>493</v>
      </c>
      <c r="M658" s="5">
        <f>_xlfn.XLOOKUP(Logs_Reseau6[[#This Row],[Id_Client]],Clients_Churn[ID_Client],Clients_Churn[Anciennete_Mois],"Rien à signaler")</f>
        <v>29</v>
      </c>
      <c r="N658" s="11">
        <f>Logs_Reseau6[[#This Row],[Anciennette]]/24</f>
        <v>1.2083333333333333</v>
      </c>
      <c r="O658" s="1">
        <f>Logs_Reseau6[[#This Row],[Duree_Cumulée_Panne]]/1440</f>
        <v>0.34236111111111112</v>
      </c>
      <c r="P65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59" spans="1:16" x14ac:dyDescent="0.25">
      <c r="A659" s="2">
        <v>45208</v>
      </c>
      <c r="B659" s="1">
        <v>0.95763888888888893</v>
      </c>
      <c r="C659" t="s">
        <v>989</v>
      </c>
      <c r="D659">
        <v>115</v>
      </c>
      <c r="E659" t="s">
        <v>1300</v>
      </c>
      <c r="F659" t="str">
        <f>_xlfn.XLOOKUP(Logs_Reseau6[[#This Row],[Cell_ID]],Registre[ID_Antenne],Registre[Province_RDC],"Non Trouvée")</f>
        <v>Tshopo</v>
      </c>
      <c r="G659" t="str">
        <f>_xlfn.XLOOKUP(Logs_Reseau6[[#This Row],[Province]],Clients_Churn[Province_Client],Clients_Churn[ID_Client],"Aucun")</f>
        <v>CLI-00100</v>
      </c>
      <c r="H659" t="str">
        <f>_xlfn.XLOOKUP(Logs_Reseau6[[#This Row],[Cell_ID]],Registre[ID_Antenne],Registre[Technologie],"Rien à signaler")</f>
        <v>3G</v>
      </c>
      <c r="I659" t="str">
        <f>_xlfn.XLOOKUP(Logs_Reseau6[[#This Row],[Cell_ID]],Registre[ID_Antenne],Registre[Equipementier],"Non Trouvée")</f>
        <v>Ericsson</v>
      </c>
      <c r="J659" t="str">
        <f>_xlfn.XLOOKUP(Logs_Reseau6[[#This Row],[Id_Client]],Clients_Churn[ID_Client],Clients_Churn[Type_Forfait],"Pas d'information")</f>
        <v>Bloqué 5Go</v>
      </c>
      <c r="K659" s="5" t="str">
        <f>IF(Logs_Reseau6[[#This Row],[Type_Forfait]]="Pro Monde","B2B","B2C")</f>
        <v>B2C</v>
      </c>
      <c r="L659" s="5">
        <f>_xlfn.XLOOKUP(Logs_Reseau6[[#This Row],[Id_Client]],Clients_Churn[ID_Client],Clients_Churn[Duree_Cumulee_Panne_Min],"Non Trouvée")</f>
        <v>388</v>
      </c>
      <c r="M659" s="5">
        <f>_xlfn.XLOOKUP(Logs_Reseau6[[#This Row],[Id_Client]],Clients_Churn[ID_Client],Clients_Churn[Anciennete_Mois],"Rien à signaler")</f>
        <v>74</v>
      </c>
      <c r="N659" s="11">
        <f>Logs_Reseau6[[#This Row],[Anciennette]]/24</f>
        <v>3.0833333333333335</v>
      </c>
      <c r="O659" s="1">
        <f>Logs_Reseau6[[#This Row],[Duree_Cumulée_Panne]]/1440</f>
        <v>0.26944444444444443</v>
      </c>
      <c r="P65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60" spans="1:16" hidden="1" x14ac:dyDescent="0.25">
      <c r="A660" s="2">
        <v>45226</v>
      </c>
      <c r="B660" s="1">
        <v>0.74791666666666667</v>
      </c>
      <c r="C660" t="s">
        <v>1040</v>
      </c>
      <c r="D660">
        <v>68</v>
      </c>
      <c r="E660" t="s">
        <v>1303</v>
      </c>
      <c r="F660" t="str">
        <f>_xlfn.XLOOKUP(Logs_Reseau6[[#This Row],[Cell_ID]],Registre[ID_Antenne],Registre[Province_RDC],"Non Trouvée")</f>
        <v>Non Trouvée</v>
      </c>
      <c r="G660" t="str">
        <f>_xlfn.XLOOKUP(Logs_Reseau6[[#This Row],[Province]],Clients_Churn[Province_Client],Clients_Churn[ID_Client],"Aucun")</f>
        <v>Aucun</v>
      </c>
      <c r="H660" t="str">
        <f>_xlfn.XLOOKUP(Logs_Reseau6[[#This Row],[Cell_ID]],Registre[ID_Antenne],Registre[Technologie],"Rien à signaler")</f>
        <v>Rien à signaler</v>
      </c>
      <c r="I660" t="str">
        <f>_xlfn.XLOOKUP(Logs_Reseau6[[#This Row],[Cell_ID]],Registre[ID_Antenne],Registre[Equipementier],"Non Trouvée")</f>
        <v>Non Trouvée</v>
      </c>
      <c r="J660" t="str">
        <f>_xlfn.XLOOKUP(Logs_Reseau6[[#This Row],[Id_Client]],Clients_Churn[ID_Client],Clients_Churn[Type_Forfait],"Pas d'information")</f>
        <v>Pas d'information</v>
      </c>
      <c r="K660" s="5" t="str">
        <f>IF(Logs_Reseau6[[#This Row],[Type_Forfait]]="Pro Monde","B2B","B2C")</f>
        <v>B2C</v>
      </c>
      <c r="L660" s="5" t="str">
        <f>_xlfn.XLOOKUP(Logs_Reseau6[[#This Row],[Id_Client]],Clients_Churn[ID_Client],Clients_Churn[Duree_Cumulee_Panne_Min],"Non Trouvée")</f>
        <v>Non Trouvée</v>
      </c>
      <c r="M660" s="5" t="str">
        <f>_xlfn.XLOOKUP(Logs_Reseau6[[#This Row],[Id_Client]],Clients_Churn[ID_Client],Clients_Churn[Anciennete_Mois],"Rien à signaler")</f>
        <v>Rien à signaler</v>
      </c>
      <c r="N660" s="5" t="e">
        <f>Logs_Reseau6[[#This Row],[Anciennette]]/24</f>
        <v>#VALUE!</v>
      </c>
      <c r="O660" s="5" t="e">
        <f>Logs_Reseau6[[#This Row],[Duree_Cumulée_Panne]]/1440</f>
        <v>#VALUE!</v>
      </c>
      <c r="P66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61" spans="1:16" x14ac:dyDescent="0.25">
      <c r="A661" s="2">
        <v>45200</v>
      </c>
      <c r="B661" s="1">
        <v>0.53472222222222221</v>
      </c>
      <c r="C661" t="s">
        <v>950</v>
      </c>
      <c r="D661">
        <v>50</v>
      </c>
      <c r="E661" t="s">
        <v>1305</v>
      </c>
      <c r="F661" t="str">
        <f>_xlfn.XLOOKUP(Logs_Reseau6[[#This Row],[Cell_ID]],Registre[ID_Antenne],Registre[Province_RDC],"Non Trouvée")</f>
        <v>Tshuapa</v>
      </c>
      <c r="G661" t="str">
        <f>_xlfn.XLOOKUP(Logs_Reseau6[[#This Row],[Province]],Clients_Churn[Province_Client],Clients_Churn[ID_Client],"Aucun")</f>
        <v>CLI-00033</v>
      </c>
      <c r="H661" t="str">
        <f>_xlfn.XLOOKUP(Logs_Reseau6[[#This Row],[Cell_ID]],Registre[ID_Antenne],Registre[Technologie],"Rien à signaler")</f>
        <v>3G</v>
      </c>
      <c r="I661" t="str">
        <f>_xlfn.XLOOKUP(Logs_Reseau6[[#This Row],[Cell_ID]],Registre[ID_Antenne],Registre[Equipementier],"Non Trouvée")</f>
        <v>Ericsson</v>
      </c>
      <c r="J661" t="str">
        <f>_xlfn.XLOOKUP(Logs_Reseau6[[#This Row],[Id_Client]],Clients_Churn[ID_Client],Clients_Churn[Type_Forfait],"Pas d'information")</f>
        <v>Premium 5G 150Go</v>
      </c>
      <c r="K661" s="5" t="str">
        <f>IF(Logs_Reseau6[[#This Row],[Type_Forfait]]="Pro Monde","B2B","B2C")</f>
        <v>B2C</v>
      </c>
      <c r="L661" s="5">
        <f>_xlfn.XLOOKUP(Logs_Reseau6[[#This Row],[Id_Client]],Clients_Churn[ID_Client],Clients_Churn[Duree_Cumulee_Panne_Min],"Non Trouvée")</f>
        <v>201</v>
      </c>
      <c r="M661" s="5">
        <f>_xlfn.XLOOKUP(Logs_Reseau6[[#This Row],[Id_Client]],Clients_Churn[ID_Client],Clients_Churn[Anciennete_Mois],"Rien à signaler")</f>
        <v>2</v>
      </c>
      <c r="N661" s="11">
        <f>Logs_Reseau6[[#This Row],[Anciennette]]/24</f>
        <v>8.3333333333333329E-2</v>
      </c>
      <c r="O661" s="1">
        <f>Logs_Reseau6[[#This Row],[Duree_Cumulée_Panne]]/1440</f>
        <v>0.13958333333333334</v>
      </c>
      <c r="P66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62" spans="1:16" x14ac:dyDescent="0.25">
      <c r="A662" s="2">
        <v>45213</v>
      </c>
      <c r="B662" s="1">
        <v>0.87222222222222223</v>
      </c>
      <c r="C662" t="s">
        <v>934</v>
      </c>
      <c r="D662">
        <v>46</v>
      </c>
      <c r="E662" t="s">
        <v>1303</v>
      </c>
      <c r="F662" t="str">
        <f>_xlfn.XLOOKUP(Logs_Reseau6[[#This Row],[Cell_ID]],Registre[ID_Antenne],Registre[Province_RDC],"Non Trouvée")</f>
        <v>Sankuru</v>
      </c>
      <c r="G662" t="str">
        <f>_xlfn.XLOOKUP(Logs_Reseau6[[#This Row],[Province]],Clients_Churn[Province_Client],Clients_Churn[ID_Client],"Aucun")</f>
        <v>CLI-00197</v>
      </c>
      <c r="H662" t="str">
        <f>_xlfn.XLOOKUP(Logs_Reseau6[[#This Row],[Cell_ID]],Registre[ID_Antenne],Registre[Technologie],"Rien à signaler")</f>
        <v>5G</v>
      </c>
      <c r="I662" t="str">
        <f>_xlfn.XLOOKUP(Logs_Reseau6[[#This Row],[Cell_ID]],Registre[ID_Antenne],Registre[Equipementier],"Non Trouvée")</f>
        <v>Huawei</v>
      </c>
      <c r="J662" t="str">
        <f>_xlfn.XLOOKUP(Logs_Reseau6[[#This Row],[Id_Client]],Clients_Churn[ID_Client],Clients_Churn[Type_Forfait],"Pas d'information")</f>
        <v>Illimité 50Go</v>
      </c>
      <c r="K662" s="5" t="str">
        <f>IF(Logs_Reseau6[[#This Row],[Type_Forfait]]="Pro Monde","B2B","B2C")</f>
        <v>B2C</v>
      </c>
      <c r="L662" s="5">
        <f>_xlfn.XLOOKUP(Logs_Reseau6[[#This Row],[Id_Client]],Clients_Churn[ID_Client],Clients_Churn[Duree_Cumulee_Panne_Min],"Non Trouvée")</f>
        <v>84</v>
      </c>
      <c r="M662" s="5">
        <f>_xlfn.XLOOKUP(Logs_Reseau6[[#This Row],[Id_Client]],Clients_Churn[ID_Client],Clients_Churn[Anciennete_Mois],"Rien à signaler")</f>
        <v>109</v>
      </c>
      <c r="N662" s="11">
        <f>Logs_Reseau6[[#This Row],[Anciennette]]/24</f>
        <v>4.541666666666667</v>
      </c>
      <c r="O662" s="1">
        <f>Logs_Reseau6[[#This Row],[Duree_Cumulée_Panne]]/1440</f>
        <v>5.8333333333333334E-2</v>
      </c>
      <c r="P66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63" spans="1:16" x14ac:dyDescent="0.25">
      <c r="A663" s="2">
        <v>45217</v>
      </c>
      <c r="B663" s="1">
        <v>0.36875000000000002</v>
      </c>
      <c r="C663" t="s">
        <v>1286</v>
      </c>
      <c r="D663">
        <v>8</v>
      </c>
      <c r="E663" t="s">
        <v>1300</v>
      </c>
      <c r="F663" t="str">
        <f>_xlfn.XLOOKUP(Logs_Reseau6[[#This Row],[Cell_ID]],Registre[ID_Antenne],Registre[Province_RDC],"Non Trouvée")</f>
        <v>Nord-Kivu</v>
      </c>
      <c r="G663" t="str">
        <f>_xlfn.XLOOKUP(Logs_Reseau6[[#This Row],[Province]],Clients_Churn[Province_Client],Clients_Churn[ID_Client],"Aucun")</f>
        <v>CLI-00043</v>
      </c>
      <c r="H663" t="str">
        <f>_xlfn.XLOOKUP(Logs_Reseau6[[#This Row],[Cell_ID]],Registre[ID_Antenne],Registre[Technologie],"Rien à signaler")</f>
        <v>3G</v>
      </c>
      <c r="I663" t="str">
        <f>_xlfn.XLOOKUP(Logs_Reseau6[[#This Row],[Cell_ID]],Registre[ID_Antenne],Registre[Equipementier],"Non Trouvée")</f>
        <v>Ericsson</v>
      </c>
      <c r="J663" t="str">
        <f>_xlfn.XLOOKUP(Logs_Reseau6[[#This Row],[Id_Client]],Clients_Churn[ID_Client],Clients_Churn[Type_Forfait],"Pas d'information")</f>
        <v>Pro Monde</v>
      </c>
      <c r="K663" s="5" t="str">
        <f>IF(Logs_Reseau6[[#This Row],[Type_Forfait]]="Pro Monde","B2B","B2C")</f>
        <v>B2B</v>
      </c>
      <c r="L663" s="5">
        <f>_xlfn.XLOOKUP(Logs_Reseau6[[#This Row],[Id_Client]],Clients_Churn[ID_Client],Clients_Churn[Duree_Cumulee_Panne_Min],"Non Trouvée")</f>
        <v>132</v>
      </c>
      <c r="M663" s="5">
        <f>_xlfn.XLOOKUP(Logs_Reseau6[[#This Row],[Id_Client]],Clients_Churn[ID_Client],Clients_Churn[Anciennete_Mois],"Rien à signaler")</f>
        <v>118</v>
      </c>
      <c r="N663" s="11">
        <f>Logs_Reseau6[[#This Row],[Anciennette]]/24</f>
        <v>4.916666666666667</v>
      </c>
      <c r="O663" s="1">
        <f>Logs_Reseau6[[#This Row],[Duree_Cumulée_Panne]]/1440</f>
        <v>9.166666666666666E-2</v>
      </c>
      <c r="P66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64" spans="1:16" x14ac:dyDescent="0.25">
      <c r="A664" s="2">
        <v>45219</v>
      </c>
      <c r="B664" s="1">
        <v>0.18124999999999999</v>
      </c>
      <c r="C664" t="s">
        <v>1286</v>
      </c>
      <c r="D664">
        <v>97</v>
      </c>
      <c r="E664" t="s">
        <v>1303</v>
      </c>
      <c r="F664" t="str">
        <f>_xlfn.XLOOKUP(Logs_Reseau6[[#This Row],[Cell_ID]],Registre[ID_Antenne],Registre[Province_RDC],"Non Trouvée")</f>
        <v>Nord-Kivu</v>
      </c>
      <c r="G664" t="str">
        <f>_xlfn.XLOOKUP(Logs_Reseau6[[#This Row],[Province]],Clients_Churn[Province_Client],Clients_Churn[ID_Client],"Aucun")</f>
        <v>CLI-00043</v>
      </c>
      <c r="H664" t="str">
        <f>_xlfn.XLOOKUP(Logs_Reseau6[[#This Row],[Cell_ID]],Registre[ID_Antenne],Registre[Technologie],"Rien à signaler")</f>
        <v>3G</v>
      </c>
      <c r="I664" t="str">
        <f>_xlfn.XLOOKUP(Logs_Reseau6[[#This Row],[Cell_ID]],Registre[ID_Antenne],Registre[Equipementier],"Non Trouvée")</f>
        <v>Ericsson</v>
      </c>
      <c r="J664" t="str">
        <f>_xlfn.XLOOKUP(Logs_Reseau6[[#This Row],[Id_Client]],Clients_Churn[ID_Client],Clients_Churn[Type_Forfait],"Pas d'information")</f>
        <v>Pro Monde</v>
      </c>
      <c r="K664" s="5" t="str">
        <f>IF(Logs_Reseau6[[#This Row],[Type_Forfait]]="Pro Monde","B2B","B2C")</f>
        <v>B2B</v>
      </c>
      <c r="L664" s="5">
        <f>_xlfn.XLOOKUP(Logs_Reseau6[[#This Row],[Id_Client]],Clients_Churn[ID_Client],Clients_Churn[Duree_Cumulee_Panne_Min],"Non Trouvée")</f>
        <v>132</v>
      </c>
      <c r="M664" s="5">
        <f>_xlfn.XLOOKUP(Logs_Reseau6[[#This Row],[Id_Client]],Clients_Churn[ID_Client],Clients_Churn[Anciennete_Mois],"Rien à signaler")</f>
        <v>118</v>
      </c>
      <c r="N664" s="11">
        <f>Logs_Reseau6[[#This Row],[Anciennette]]/24</f>
        <v>4.916666666666667</v>
      </c>
      <c r="O664" s="1">
        <f>Logs_Reseau6[[#This Row],[Duree_Cumulée_Panne]]/1440</f>
        <v>9.166666666666666E-2</v>
      </c>
      <c r="P66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65" spans="1:16" x14ac:dyDescent="0.25">
      <c r="A665" s="2">
        <v>45206</v>
      </c>
      <c r="B665" s="1">
        <v>0.97430555555555554</v>
      </c>
      <c r="C665" t="s">
        <v>1035</v>
      </c>
      <c r="D665">
        <v>53</v>
      </c>
      <c r="E665" t="s">
        <v>1303</v>
      </c>
      <c r="F665" t="str">
        <f>_xlfn.XLOOKUP(Logs_Reseau6[[#This Row],[Cell_ID]],Registre[ID_Antenne],Registre[Province_RDC],"Non Trouvée")</f>
        <v>Haut-Katanga</v>
      </c>
      <c r="G665" t="str">
        <f>_xlfn.XLOOKUP(Logs_Reseau6[[#This Row],[Province]],Clients_Churn[Province_Client],Clients_Churn[ID_Client],"Aucun")</f>
        <v>CLI-00059</v>
      </c>
      <c r="H665" t="str">
        <f>_xlfn.XLOOKUP(Logs_Reseau6[[#This Row],[Cell_ID]],Registre[ID_Antenne],Registre[Technologie],"Rien à signaler")</f>
        <v>5G</v>
      </c>
      <c r="I665" t="str">
        <f>_xlfn.XLOOKUP(Logs_Reseau6[[#This Row],[Cell_ID]],Registre[ID_Antenne],Registre[Equipementier],"Non Trouvée")</f>
        <v>Ericsson</v>
      </c>
      <c r="J665" t="str">
        <f>_xlfn.XLOOKUP(Logs_Reseau6[[#This Row],[Id_Client]],Clients_Churn[ID_Client],Clients_Churn[Type_Forfait],"Pas d'information")</f>
        <v>Pro Monde</v>
      </c>
      <c r="K665" s="5" t="str">
        <f>IF(Logs_Reseau6[[#This Row],[Type_Forfait]]="Pro Monde","B2B","B2C")</f>
        <v>B2B</v>
      </c>
      <c r="L665" s="5">
        <f>_xlfn.XLOOKUP(Logs_Reseau6[[#This Row],[Id_Client]],Clients_Churn[ID_Client],Clients_Churn[Duree_Cumulee_Panne_Min],"Non Trouvée")</f>
        <v>76</v>
      </c>
      <c r="M665" s="5">
        <f>_xlfn.XLOOKUP(Logs_Reseau6[[#This Row],[Id_Client]],Clients_Churn[ID_Client],Clients_Churn[Anciennete_Mois],"Rien à signaler")</f>
        <v>69</v>
      </c>
      <c r="N665" s="11">
        <f>Logs_Reseau6[[#This Row],[Anciennette]]/24</f>
        <v>2.875</v>
      </c>
      <c r="O665" s="1">
        <f>Logs_Reseau6[[#This Row],[Duree_Cumulée_Panne]]/1440</f>
        <v>5.2777777777777778E-2</v>
      </c>
      <c r="P66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66" spans="1:16" x14ac:dyDescent="0.25">
      <c r="A666" s="2">
        <v>45217</v>
      </c>
      <c r="B666" s="1">
        <v>0.75555555555555554</v>
      </c>
      <c r="C666" t="s">
        <v>791</v>
      </c>
      <c r="D666">
        <v>100</v>
      </c>
      <c r="E666" t="s">
        <v>1300</v>
      </c>
      <c r="F666" t="str">
        <f>_xlfn.XLOOKUP(Logs_Reseau6[[#This Row],[Cell_ID]],Registre[ID_Antenne],Registre[Province_RDC],"Non Trouvée")</f>
        <v>Haut-Uele</v>
      </c>
      <c r="G666" t="str">
        <f>_xlfn.XLOOKUP(Logs_Reseau6[[#This Row],[Province]],Clients_Churn[Province_Client],Clients_Churn[ID_Client],"Aucun")</f>
        <v>CLI-00055</v>
      </c>
      <c r="H666" t="str">
        <f>_xlfn.XLOOKUP(Logs_Reseau6[[#This Row],[Cell_ID]],Registre[ID_Antenne],Registre[Technologie],"Rien à signaler")</f>
        <v>5G</v>
      </c>
      <c r="I666" t="str">
        <f>_xlfn.XLOOKUP(Logs_Reseau6[[#This Row],[Cell_ID]],Registre[ID_Antenne],Registre[Equipementier],"Non Trouvée")</f>
        <v>Ericsson</v>
      </c>
      <c r="J666" t="str">
        <f>_xlfn.XLOOKUP(Logs_Reseau6[[#This Row],[Id_Client]],Clients_Churn[ID_Client],Clients_Churn[Type_Forfait],"Pas d'information")</f>
        <v>Pro Monde</v>
      </c>
      <c r="K666" s="5" t="str">
        <f>IF(Logs_Reseau6[[#This Row],[Type_Forfait]]="Pro Monde","B2B","B2C")</f>
        <v>B2B</v>
      </c>
      <c r="L666" s="5">
        <f>_xlfn.XLOOKUP(Logs_Reseau6[[#This Row],[Id_Client]],Clients_Churn[ID_Client],Clients_Churn[Duree_Cumulee_Panne_Min],"Non Trouvée")</f>
        <v>206</v>
      </c>
      <c r="M666" s="5">
        <f>_xlfn.XLOOKUP(Logs_Reseau6[[#This Row],[Id_Client]],Clients_Churn[ID_Client],Clients_Churn[Anciennete_Mois],"Rien à signaler")</f>
        <v>6</v>
      </c>
      <c r="N666" s="11">
        <f>Logs_Reseau6[[#This Row],[Anciennette]]/24</f>
        <v>0.25</v>
      </c>
      <c r="O666" s="1">
        <f>Logs_Reseau6[[#This Row],[Duree_Cumulée_Panne]]/1440</f>
        <v>0.14305555555555555</v>
      </c>
      <c r="P66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67" spans="1:16" hidden="1" x14ac:dyDescent="0.25">
      <c r="A667" s="2">
        <v>45209</v>
      </c>
      <c r="B667" s="1">
        <v>0.25138888888888888</v>
      </c>
      <c r="C667" t="s">
        <v>1423</v>
      </c>
      <c r="D667">
        <v>46</v>
      </c>
      <c r="E667" t="s">
        <v>1303</v>
      </c>
      <c r="F667" t="str">
        <f>_xlfn.XLOOKUP(Logs_Reseau6[[#This Row],[Cell_ID]],Registre[ID_Antenne],Registre[Province_RDC],"Non Trouvée")</f>
        <v>Non Trouvée</v>
      </c>
      <c r="G667" t="str">
        <f>_xlfn.XLOOKUP(Logs_Reseau6[[#This Row],[Province]],Clients_Churn[Province_Client],Clients_Churn[ID_Client],"Aucun")</f>
        <v>Aucun</v>
      </c>
      <c r="H667" t="str">
        <f>_xlfn.XLOOKUP(Logs_Reseau6[[#This Row],[Cell_ID]],Registre[ID_Antenne],Registre[Technologie],"Rien à signaler")</f>
        <v>Rien à signaler</v>
      </c>
      <c r="I667" t="str">
        <f>_xlfn.XLOOKUP(Logs_Reseau6[[#This Row],[Cell_ID]],Registre[ID_Antenne],Registre[Equipementier],"Non Trouvée")</f>
        <v>Non Trouvée</v>
      </c>
      <c r="J667" t="str">
        <f>_xlfn.XLOOKUP(Logs_Reseau6[[#This Row],[Id_Client]],Clients_Churn[ID_Client],Clients_Churn[Type_Forfait],"Pas d'information")</f>
        <v>Pas d'information</v>
      </c>
      <c r="K667" s="5" t="str">
        <f>IF(Logs_Reseau6[[#This Row],[Type_Forfait]]="Pro Monde","B2B","B2C")</f>
        <v>B2C</v>
      </c>
      <c r="L667" s="5" t="str">
        <f>_xlfn.XLOOKUP(Logs_Reseau6[[#This Row],[Id_Client]],Clients_Churn[ID_Client],Clients_Churn[Duree_Cumulee_Panne_Min],"Non Trouvée")</f>
        <v>Non Trouvée</v>
      </c>
      <c r="M667" s="5" t="str">
        <f>_xlfn.XLOOKUP(Logs_Reseau6[[#This Row],[Id_Client]],Clients_Churn[ID_Client],Clients_Churn[Anciennete_Mois],"Rien à signaler")</f>
        <v>Rien à signaler</v>
      </c>
      <c r="N667" s="5" t="e">
        <f>Logs_Reseau6[[#This Row],[Anciennette]]/24</f>
        <v>#VALUE!</v>
      </c>
      <c r="O667" s="5" t="e">
        <f>Logs_Reseau6[[#This Row],[Duree_Cumulée_Panne]]/1440</f>
        <v>#VALUE!</v>
      </c>
      <c r="P66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68" spans="1:16" hidden="1" x14ac:dyDescent="0.25">
      <c r="A668" s="2">
        <v>45214</v>
      </c>
      <c r="B668" s="1">
        <v>0.59375</v>
      </c>
      <c r="C668" t="s">
        <v>1423</v>
      </c>
      <c r="D668">
        <v>51</v>
      </c>
      <c r="E668" t="s">
        <v>1305</v>
      </c>
      <c r="F668" t="str">
        <f>_xlfn.XLOOKUP(Logs_Reseau6[[#This Row],[Cell_ID]],Registre[ID_Antenne],Registre[Province_RDC],"Non Trouvée")</f>
        <v>Non Trouvée</v>
      </c>
      <c r="G668" t="str">
        <f>_xlfn.XLOOKUP(Logs_Reseau6[[#This Row],[Province]],Clients_Churn[Province_Client],Clients_Churn[ID_Client],"Aucun")</f>
        <v>Aucun</v>
      </c>
      <c r="H668" t="str">
        <f>_xlfn.XLOOKUP(Logs_Reseau6[[#This Row],[Cell_ID]],Registre[ID_Antenne],Registre[Technologie],"Rien à signaler")</f>
        <v>Rien à signaler</v>
      </c>
      <c r="I668" t="str">
        <f>_xlfn.XLOOKUP(Logs_Reseau6[[#This Row],[Cell_ID]],Registre[ID_Antenne],Registre[Equipementier],"Non Trouvée")</f>
        <v>Non Trouvée</v>
      </c>
      <c r="J668" t="str">
        <f>_xlfn.XLOOKUP(Logs_Reseau6[[#This Row],[Id_Client]],Clients_Churn[ID_Client],Clients_Churn[Type_Forfait],"Pas d'information")</f>
        <v>Pas d'information</v>
      </c>
      <c r="K668" s="5" t="str">
        <f>IF(Logs_Reseau6[[#This Row],[Type_Forfait]]="Pro Monde","B2B","B2C")</f>
        <v>B2C</v>
      </c>
      <c r="L668" s="5" t="str">
        <f>_xlfn.XLOOKUP(Logs_Reseau6[[#This Row],[Id_Client]],Clients_Churn[ID_Client],Clients_Churn[Duree_Cumulee_Panne_Min],"Non Trouvée")</f>
        <v>Non Trouvée</v>
      </c>
      <c r="M668" s="5" t="str">
        <f>_xlfn.XLOOKUP(Logs_Reseau6[[#This Row],[Id_Client]],Clients_Churn[ID_Client],Clients_Churn[Anciennete_Mois],"Rien à signaler")</f>
        <v>Rien à signaler</v>
      </c>
      <c r="N668" s="5" t="e">
        <f>Logs_Reseau6[[#This Row],[Anciennette]]/24</f>
        <v>#VALUE!</v>
      </c>
      <c r="O668" s="5" t="e">
        <f>Logs_Reseau6[[#This Row],[Duree_Cumulée_Panne]]/1440</f>
        <v>#VALUE!</v>
      </c>
      <c r="P66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69" spans="1:16" hidden="1" x14ac:dyDescent="0.25">
      <c r="A669" s="2">
        <v>45228</v>
      </c>
      <c r="B669" s="1">
        <v>0.10069444444444445</v>
      </c>
      <c r="C669" t="s">
        <v>1423</v>
      </c>
      <c r="D669">
        <v>23</v>
      </c>
      <c r="E669" t="s">
        <v>1305</v>
      </c>
      <c r="F669" t="str">
        <f>_xlfn.XLOOKUP(Logs_Reseau6[[#This Row],[Cell_ID]],Registre[ID_Antenne],Registre[Province_RDC],"Non Trouvée")</f>
        <v>Non Trouvée</v>
      </c>
      <c r="G669" t="str">
        <f>_xlfn.XLOOKUP(Logs_Reseau6[[#This Row],[Province]],Clients_Churn[Province_Client],Clients_Churn[ID_Client],"Aucun")</f>
        <v>Aucun</v>
      </c>
      <c r="H669" t="str">
        <f>_xlfn.XLOOKUP(Logs_Reseau6[[#This Row],[Cell_ID]],Registre[ID_Antenne],Registre[Technologie],"Rien à signaler")</f>
        <v>Rien à signaler</v>
      </c>
      <c r="I669" t="str">
        <f>_xlfn.XLOOKUP(Logs_Reseau6[[#This Row],[Cell_ID]],Registre[ID_Antenne],Registre[Equipementier],"Non Trouvée")</f>
        <v>Non Trouvée</v>
      </c>
      <c r="J669" t="str">
        <f>_xlfn.XLOOKUP(Logs_Reseau6[[#This Row],[Id_Client]],Clients_Churn[ID_Client],Clients_Churn[Type_Forfait],"Pas d'information")</f>
        <v>Pas d'information</v>
      </c>
      <c r="K669" s="5" t="str">
        <f>IF(Logs_Reseau6[[#This Row],[Type_Forfait]]="Pro Monde","B2B","B2C")</f>
        <v>B2C</v>
      </c>
      <c r="L669" s="5" t="str">
        <f>_xlfn.XLOOKUP(Logs_Reseau6[[#This Row],[Id_Client]],Clients_Churn[ID_Client],Clients_Churn[Duree_Cumulee_Panne_Min],"Non Trouvée")</f>
        <v>Non Trouvée</v>
      </c>
      <c r="M669" s="5" t="str">
        <f>_xlfn.XLOOKUP(Logs_Reseau6[[#This Row],[Id_Client]],Clients_Churn[ID_Client],Clients_Churn[Anciennete_Mois],"Rien à signaler")</f>
        <v>Rien à signaler</v>
      </c>
      <c r="N669" s="5" t="e">
        <f>Logs_Reseau6[[#This Row],[Anciennette]]/24</f>
        <v>#VALUE!</v>
      </c>
      <c r="O669" s="5" t="e">
        <f>Logs_Reseau6[[#This Row],[Duree_Cumulée_Panne]]/1440</f>
        <v>#VALUE!</v>
      </c>
      <c r="P66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70" spans="1:16" x14ac:dyDescent="0.25">
      <c r="A670" s="2">
        <v>45201</v>
      </c>
      <c r="B670" s="1">
        <v>0.57430555555555551</v>
      </c>
      <c r="C670" t="s">
        <v>1153</v>
      </c>
      <c r="D670">
        <v>75</v>
      </c>
      <c r="E670" t="s">
        <v>1305</v>
      </c>
      <c r="F670" t="str">
        <f>_xlfn.XLOOKUP(Logs_Reseau6[[#This Row],[Cell_ID]],Registre[ID_Antenne],Registre[Province_RDC],"Non Trouvée")</f>
        <v>Haut-Katanga</v>
      </c>
      <c r="G670" t="str">
        <f>_xlfn.XLOOKUP(Logs_Reseau6[[#This Row],[Province]],Clients_Churn[Province_Client],Clients_Churn[ID_Client],"Aucun")</f>
        <v>CLI-00059</v>
      </c>
      <c r="H670" t="str">
        <f>_xlfn.XLOOKUP(Logs_Reseau6[[#This Row],[Cell_ID]],Registre[ID_Antenne],Registre[Technologie],"Rien à signaler")</f>
        <v>3G</v>
      </c>
      <c r="I670" t="str">
        <f>_xlfn.XLOOKUP(Logs_Reseau6[[#This Row],[Cell_ID]],Registre[ID_Antenne],Registre[Equipementier],"Non Trouvée")</f>
        <v>Ericsson</v>
      </c>
      <c r="J670" t="str">
        <f>_xlfn.XLOOKUP(Logs_Reseau6[[#This Row],[Id_Client]],Clients_Churn[ID_Client],Clients_Churn[Type_Forfait],"Pas d'information")</f>
        <v>Pro Monde</v>
      </c>
      <c r="K670" s="5" t="str">
        <f>IF(Logs_Reseau6[[#This Row],[Type_Forfait]]="Pro Monde","B2B","B2C")</f>
        <v>B2B</v>
      </c>
      <c r="L670" s="5">
        <f>_xlfn.XLOOKUP(Logs_Reseau6[[#This Row],[Id_Client]],Clients_Churn[ID_Client],Clients_Churn[Duree_Cumulee_Panne_Min],"Non Trouvée")</f>
        <v>76</v>
      </c>
      <c r="M670" s="5">
        <f>_xlfn.XLOOKUP(Logs_Reseau6[[#This Row],[Id_Client]],Clients_Churn[ID_Client],Clients_Churn[Anciennete_Mois],"Rien à signaler")</f>
        <v>69</v>
      </c>
      <c r="N670" s="11">
        <f>Logs_Reseau6[[#This Row],[Anciennette]]/24</f>
        <v>2.875</v>
      </c>
      <c r="O670" s="1">
        <f>Logs_Reseau6[[#This Row],[Duree_Cumulée_Panne]]/1440</f>
        <v>5.2777777777777778E-2</v>
      </c>
      <c r="P67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71" spans="1:16" x14ac:dyDescent="0.25">
      <c r="A671" s="2">
        <v>45214</v>
      </c>
      <c r="B671" s="1">
        <v>0.71319444444444446</v>
      </c>
      <c r="C671" t="s">
        <v>1153</v>
      </c>
      <c r="D671">
        <v>25</v>
      </c>
      <c r="E671" t="s">
        <v>1300</v>
      </c>
      <c r="F671" t="str">
        <f>_xlfn.XLOOKUP(Logs_Reseau6[[#This Row],[Cell_ID]],Registre[ID_Antenne],Registre[Province_RDC],"Non Trouvée")</f>
        <v>Haut-Katanga</v>
      </c>
      <c r="G671" t="str">
        <f>_xlfn.XLOOKUP(Logs_Reseau6[[#This Row],[Province]],Clients_Churn[Province_Client],Clients_Churn[ID_Client],"Aucun")</f>
        <v>CLI-00059</v>
      </c>
      <c r="H671" t="str">
        <f>_xlfn.XLOOKUP(Logs_Reseau6[[#This Row],[Cell_ID]],Registre[ID_Antenne],Registre[Technologie],"Rien à signaler")</f>
        <v>3G</v>
      </c>
      <c r="I671" t="str">
        <f>_xlfn.XLOOKUP(Logs_Reseau6[[#This Row],[Cell_ID]],Registre[ID_Antenne],Registre[Equipementier],"Non Trouvée")</f>
        <v>Ericsson</v>
      </c>
      <c r="J671" t="str">
        <f>_xlfn.XLOOKUP(Logs_Reseau6[[#This Row],[Id_Client]],Clients_Churn[ID_Client],Clients_Churn[Type_Forfait],"Pas d'information")</f>
        <v>Pro Monde</v>
      </c>
      <c r="K671" s="5" t="str">
        <f>IF(Logs_Reseau6[[#This Row],[Type_Forfait]]="Pro Monde","B2B","B2C")</f>
        <v>B2B</v>
      </c>
      <c r="L671" s="5">
        <f>_xlfn.XLOOKUP(Logs_Reseau6[[#This Row],[Id_Client]],Clients_Churn[ID_Client],Clients_Churn[Duree_Cumulee_Panne_Min],"Non Trouvée")</f>
        <v>76</v>
      </c>
      <c r="M671" s="5">
        <f>_xlfn.XLOOKUP(Logs_Reseau6[[#This Row],[Id_Client]],Clients_Churn[ID_Client],Clients_Churn[Anciennete_Mois],"Rien à signaler")</f>
        <v>69</v>
      </c>
      <c r="N671" s="11">
        <f>Logs_Reseau6[[#This Row],[Anciennette]]/24</f>
        <v>2.875</v>
      </c>
      <c r="O671" s="1">
        <f>Logs_Reseau6[[#This Row],[Duree_Cumulée_Panne]]/1440</f>
        <v>5.2777777777777778E-2</v>
      </c>
      <c r="P67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72" spans="1:16" x14ac:dyDescent="0.25">
      <c r="A672" s="2">
        <v>45224</v>
      </c>
      <c r="B672" s="1">
        <v>0.4284722222222222</v>
      </c>
      <c r="C672" t="s">
        <v>1153</v>
      </c>
      <c r="D672">
        <v>65</v>
      </c>
      <c r="E672" t="s">
        <v>1303</v>
      </c>
      <c r="F672" t="str">
        <f>_xlfn.XLOOKUP(Logs_Reseau6[[#This Row],[Cell_ID]],Registre[ID_Antenne],Registre[Province_RDC],"Non Trouvée")</f>
        <v>Haut-Katanga</v>
      </c>
      <c r="G672" t="str">
        <f>_xlfn.XLOOKUP(Logs_Reseau6[[#This Row],[Province]],Clients_Churn[Province_Client],Clients_Churn[ID_Client],"Aucun")</f>
        <v>CLI-00059</v>
      </c>
      <c r="H672" t="str">
        <f>_xlfn.XLOOKUP(Logs_Reseau6[[#This Row],[Cell_ID]],Registre[ID_Antenne],Registre[Technologie],"Rien à signaler")</f>
        <v>3G</v>
      </c>
      <c r="I672" t="str">
        <f>_xlfn.XLOOKUP(Logs_Reseau6[[#This Row],[Cell_ID]],Registre[ID_Antenne],Registre[Equipementier],"Non Trouvée")</f>
        <v>Ericsson</v>
      </c>
      <c r="J672" t="str">
        <f>_xlfn.XLOOKUP(Logs_Reseau6[[#This Row],[Id_Client]],Clients_Churn[ID_Client],Clients_Churn[Type_Forfait],"Pas d'information")</f>
        <v>Pro Monde</v>
      </c>
      <c r="K672" s="5" t="str">
        <f>IF(Logs_Reseau6[[#This Row],[Type_Forfait]]="Pro Monde","B2B","B2C")</f>
        <v>B2B</v>
      </c>
      <c r="L672" s="5">
        <f>_xlfn.XLOOKUP(Logs_Reseau6[[#This Row],[Id_Client]],Clients_Churn[ID_Client],Clients_Churn[Duree_Cumulee_Panne_Min],"Non Trouvée")</f>
        <v>76</v>
      </c>
      <c r="M672" s="5">
        <f>_xlfn.XLOOKUP(Logs_Reseau6[[#This Row],[Id_Client]],Clients_Churn[ID_Client],Clients_Churn[Anciennete_Mois],"Rien à signaler")</f>
        <v>69</v>
      </c>
      <c r="N672" s="11">
        <f>Logs_Reseau6[[#This Row],[Anciennette]]/24</f>
        <v>2.875</v>
      </c>
      <c r="O672" s="1">
        <f>Logs_Reseau6[[#This Row],[Duree_Cumulée_Panne]]/1440</f>
        <v>5.2777777777777778E-2</v>
      </c>
      <c r="P67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673" spans="1:16" hidden="1" x14ac:dyDescent="0.25">
      <c r="A673" s="2">
        <v>45228</v>
      </c>
      <c r="B673" s="1">
        <v>0.7583333333333333</v>
      </c>
      <c r="C673" t="s">
        <v>1350</v>
      </c>
      <c r="D673">
        <v>54</v>
      </c>
      <c r="E673" t="s">
        <v>1300</v>
      </c>
      <c r="F673" t="str">
        <f>_xlfn.XLOOKUP(Logs_Reseau6[[#This Row],[Cell_ID]],Registre[ID_Antenne],Registre[Province_RDC],"Non Trouvée")</f>
        <v>Non Trouvée</v>
      </c>
      <c r="G673" t="str">
        <f>_xlfn.XLOOKUP(Logs_Reseau6[[#This Row],[Province]],Clients_Churn[Province_Client],Clients_Churn[ID_Client],"Aucun")</f>
        <v>Aucun</v>
      </c>
      <c r="H673" t="str">
        <f>_xlfn.XLOOKUP(Logs_Reseau6[[#This Row],[Cell_ID]],Registre[ID_Antenne],Registre[Technologie],"Rien à signaler")</f>
        <v>Rien à signaler</v>
      </c>
      <c r="I673" t="str">
        <f>_xlfn.XLOOKUP(Logs_Reseau6[[#This Row],[Cell_ID]],Registre[ID_Antenne],Registre[Equipementier],"Non Trouvée")</f>
        <v>Non Trouvée</v>
      </c>
      <c r="J673" t="str">
        <f>_xlfn.XLOOKUP(Logs_Reseau6[[#This Row],[Id_Client]],Clients_Churn[ID_Client],Clients_Churn[Type_Forfait],"Pas d'information")</f>
        <v>Pas d'information</v>
      </c>
      <c r="K673" s="5" t="str">
        <f>IF(Logs_Reseau6[[#This Row],[Type_Forfait]]="Pro Monde","B2B","B2C")</f>
        <v>B2C</v>
      </c>
      <c r="L673" s="5" t="str">
        <f>_xlfn.XLOOKUP(Logs_Reseau6[[#This Row],[Id_Client]],Clients_Churn[ID_Client],Clients_Churn[Duree_Cumulee_Panne_Min],"Non Trouvée")</f>
        <v>Non Trouvée</v>
      </c>
      <c r="M673" s="5" t="str">
        <f>_xlfn.XLOOKUP(Logs_Reseau6[[#This Row],[Id_Client]],Clients_Churn[ID_Client],Clients_Churn[Anciennete_Mois],"Rien à signaler")</f>
        <v>Rien à signaler</v>
      </c>
      <c r="N673" s="5" t="e">
        <f>Logs_Reseau6[[#This Row],[Anciennette]]/24</f>
        <v>#VALUE!</v>
      </c>
      <c r="O673" s="5" t="e">
        <f>Logs_Reseau6[[#This Row],[Duree_Cumulée_Panne]]/1440</f>
        <v>#VALUE!</v>
      </c>
      <c r="P67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74" spans="1:16" x14ac:dyDescent="0.25">
      <c r="A674" s="2">
        <v>45213</v>
      </c>
      <c r="B674" s="1">
        <v>2.7083333333333334E-2</v>
      </c>
      <c r="C674" t="s">
        <v>1039</v>
      </c>
      <c r="D674">
        <v>68</v>
      </c>
      <c r="E674" t="s">
        <v>1305</v>
      </c>
      <c r="F674" t="str">
        <f>_xlfn.XLOOKUP(Logs_Reseau6[[#This Row],[Cell_ID]],Registre[ID_Antenne],Registre[Province_RDC],"Non Trouvée")</f>
        <v>Kwango</v>
      </c>
      <c r="G674" t="str">
        <f>_xlfn.XLOOKUP(Logs_Reseau6[[#This Row],[Province]],Clients_Churn[Province_Client],Clients_Churn[ID_Client],"Aucun")</f>
        <v>CLI-00094</v>
      </c>
      <c r="H674" t="str">
        <f>_xlfn.XLOOKUP(Logs_Reseau6[[#This Row],[Cell_ID]],Registre[ID_Antenne],Registre[Technologie],"Rien à signaler")</f>
        <v>5G</v>
      </c>
      <c r="I674" t="str">
        <f>_xlfn.XLOOKUP(Logs_Reseau6[[#This Row],[Cell_ID]],Registre[ID_Antenne],Registre[Equipementier],"Non Trouvée")</f>
        <v>ZTE</v>
      </c>
      <c r="J674" t="str">
        <f>_xlfn.XLOOKUP(Logs_Reseau6[[#This Row],[Id_Client]],Clients_Churn[ID_Client],Clients_Churn[Type_Forfait],"Pas d'information")</f>
        <v>Pro Monde</v>
      </c>
      <c r="K674" s="5" t="str">
        <f>IF(Logs_Reseau6[[#This Row],[Type_Forfait]]="Pro Monde","B2B","B2C")</f>
        <v>B2B</v>
      </c>
      <c r="L674" s="5">
        <f>_xlfn.XLOOKUP(Logs_Reseau6[[#This Row],[Id_Client]],Clients_Churn[ID_Client],Clients_Churn[Duree_Cumulee_Panne_Min],"Non Trouvée")</f>
        <v>493</v>
      </c>
      <c r="M674" s="5">
        <f>_xlfn.XLOOKUP(Logs_Reseau6[[#This Row],[Id_Client]],Clients_Churn[ID_Client],Clients_Churn[Anciennete_Mois],"Rien à signaler")</f>
        <v>29</v>
      </c>
      <c r="N674" s="11">
        <f>Logs_Reseau6[[#This Row],[Anciennette]]/24</f>
        <v>1.2083333333333333</v>
      </c>
      <c r="O674" s="1">
        <f>Logs_Reseau6[[#This Row],[Duree_Cumulée_Panne]]/1440</f>
        <v>0.34236111111111112</v>
      </c>
      <c r="P67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75" spans="1:16" x14ac:dyDescent="0.25">
      <c r="A675" s="2">
        <v>45211</v>
      </c>
      <c r="B675" s="1">
        <v>0.61875000000000002</v>
      </c>
      <c r="C675" t="s">
        <v>1189</v>
      </c>
      <c r="D675">
        <v>92</v>
      </c>
      <c r="E675" t="s">
        <v>1300</v>
      </c>
      <c r="F675" t="str">
        <f>_xlfn.XLOOKUP(Logs_Reseau6[[#This Row],[Cell_ID]],Registre[ID_Antenne],Registre[Province_RDC],"Non Trouvée")</f>
        <v>Tshopo</v>
      </c>
      <c r="G675" t="str">
        <f>_xlfn.XLOOKUP(Logs_Reseau6[[#This Row],[Province]],Clients_Churn[Province_Client],Clients_Churn[ID_Client],"Aucun")</f>
        <v>CLI-00100</v>
      </c>
      <c r="H675" t="str">
        <f>_xlfn.XLOOKUP(Logs_Reseau6[[#This Row],[Cell_ID]],Registre[ID_Antenne],Registre[Technologie],"Rien à signaler")</f>
        <v>3G</v>
      </c>
      <c r="I675" t="str">
        <f>_xlfn.XLOOKUP(Logs_Reseau6[[#This Row],[Cell_ID]],Registre[ID_Antenne],Registre[Equipementier],"Non Trouvée")</f>
        <v>Ericsson</v>
      </c>
      <c r="J675" t="str">
        <f>_xlfn.XLOOKUP(Logs_Reseau6[[#This Row],[Id_Client]],Clients_Churn[ID_Client],Clients_Churn[Type_Forfait],"Pas d'information")</f>
        <v>Bloqué 5Go</v>
      </c>
      <c r="K675" s="5" t="str">
        <f>IF(Logs_Reseau6[[#This Row],[Type_Forfait]]="Pro Monde","B2B","B2C")</f>
        <v>B2C</v>
      </c>
      <c r="L675" s="5">
        <f>_xlfn.XLOOKUP(Logs_Reseau6[[#This Row],[Id_Client]],Clients_Churn[ID_Client],Clients_Churn[Duree_Cumulee_Panne_Min],"Non Trouvée")</f>
        <v>388</v>
      </c>
      <c r="M675" s="5">
        <f>_xlfn.XLOOKUP(Logs_Reseau6[[#This Row],[Id_Client]],Clients_Churn[ID_Client],Clients_Churn[Anciennete_Mois],"Rien à signaler")</f>
        <v>74</v>
      </c>
      <c r="N675" s="11">
        <f>Logs_Reseau6[[#This Row],[Anciennette]]/24</f>
        <v>3.0833333333333335</v>
      </c>
      <c r="O675" s="1">
        <f>Logs_Reseau6[[#This Row],[Duree_Cumulée_Panne]]/1440</f>
        <v>0.26944444444444443</v>
      </c>
      <c r="P67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76" spans="1:16" x14ac:dyDescent="0.25">
      <c r="A676" s="2">
        <v>45215</v>
      </c>
      <c r="B676" s="1">
        <v>0.77500000000000002</v>
      </c>
      <c r="C676" t="s">
        <v>1189</v>
      </c>
      <c r="D676">
        <v>95</v>
      </c>
      <c r="E676" t="s">
        <v>1303</v>
      </c>
      <c r="F676" t="str">
        <f>_xlfn.XLOOKUP(Logs_Reseau6[[#This Row],[Cell_ID]],Registre[ID_Antenne],Registre[Province_RDC],"Non Trouvée")</f>
        <v>Tshopo</v>
      </c>
      <c r="G676" t="str">
        <f>_xlfn.XLOOKUP(Logs_Reseau6[[#This Row],[Province]],Clients_Churn[Province_Client],Clients_Churn[ID_Client],"Aucun")</f>
        <v>CLI-00100</v>
      </c>
      <c r="H676" t="str">
        <f>_xlfn.XLOOKUP(Logs_Reseau6[[#This Row],[Cell_ID]],Registre[ID_Antenne],Registre[Technologie],"Rien à signaler")</f>
        <v>3G</v>
      </c>
      <c r="I676" t="str">
        <f>_xlfn.XLOOKUP(Logs_Reseau6[[#This Row],[Cell_ID]],Registre[ID_Antenne],Registre[Equipementier],"Non Trouvée")</f>
        <v>Ericsson</v>
      </c>
      <c r="J676" t="str">
        <f>_xlfn.XLOOKUP(Logs_Reseau6[[#This Row],[Id_Client]],Clients_Churn[ID_Client],Clients_Churn[Type_Forfait],"Pas d'information")</f>
        <v>Bloqué 5Go</v>
      </c>
      <c r="K676" s="5" t="str">
        <f>IF(Logs_Reseau6[[#This Row],[Type_Forfait]]="Pro Monde","B2B","B2C")</f>
        <v>B2C</v>
      </c>
      <c r="L676" s="5">
        <f>_xlfn.XLOOKUP(Logs_Reseau6[[#This Row],[Id_Client]],Clients_Churn[ID_Client],Clients_Churn[Duree_Cumulee_Panne_Min],"Non Trouvée")</f>
        <v>388</v>
      </c>
      <c r="M676" s="5">
        <f>_xlfn.XLOOKUP(Logs_Reseau6[[#This Row],[Id_Client]],Clients_Churn[ID_Client],Clients_Churn[Anciennete_Mois],"Rien à signaler")</f>
        <v>74</v>
      </c>
      <c r="N676" s="11">
        <f>Logs_Reseau6[[#This Row],[Anciennette]]/24</f>
        <v>3.0833333333333335</v>
      </c>
      <c r="O676" s="1">
        <f>Logs_Reseau6[[#This Row],[Duree_Cumulée_Panne]]/1440</f>
        <v>0.26944444444444443</v>
      </c>
      <c r="P67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77" spans="1:16" hidden="1" x14ac:dyDescent="0.25">
      <c r="A677" s="2">
        <v>45202</v>
      </c>
      <c r="B677" s="1">
        <v>5.486111111111111E-2</v>
      </c>
      <c r="C677" t="s">
        <v>1434</v>
      </c>
      <c r="D677">
        <v>11</v>
      </c>
      <c r="E677" t="s">
        <v>1300</v>
      </c>
      <c r="F677" t="str">
        <f>_xlfn.XLOOKUP(Logs_Reseau6[[#This Row],[Cell_ID]],Registre[ID_Antenne],Registre[Province_RDC],"Non Trouvée")</f>
        <v>Non Trouvée</v>
      </c>
      <c r="G677" t="str">
        <f>_xlfn.XLOOKUP(Logs_Reseau6[[#This Row],[Province]],Clients_Churn[Province_Client],Clients_Churn[ID_Client],"Aucun")</f>
        <v>Aucun</v>
      </c>
      <c r="H677" t="str">
        <f>_xlfn.XLOOKUP(Logs_Reseau6[[#This Row],[Cell_ID]],Registre[ID_Antenne],Registre[Technologie],"Rien à signaler")</f>
        <v>Rien à signaler</v>
      </c>
      <c r="I677" t="str">
        <f>_xlfn.XLOOKUP(Logs_Reseau6[[#This Row],[Cell_ID]],Registre[ID_Antenne],Registre[Equipementier],"Non Trouvée")</f>
        <v>Non Trouvée</v>
      </c>
      <c r="J677" t="str">
        <f>_xlfn.XLOOKUP(Logs_Reseau6[[#This Row],[Id_Client]],Clients_Churn[ID_Client],Clients_Churn[Type_Forfait],"Pas d'information")</f>
        <v>Pas d'information</v>
      </c>
      <c r="K677" s="5" t="str">
        <f>IF(Logs_Reseau6[[#This Row],[Type_Forfait]]="Pro Monde","B2B","B2C")</f>
        <v>B2C</v>
      </c>
      <c r="L677" s="5" t="str">
        <f>_xlfn.XLOOKUP(Logs_Reseau6[[#This Row],[Id_Client]],Clients_Churn[ID_Client],Clients_Churn[Duree_Cumulee_Panne_Min],"Non Trouvée")</f>
        <v>Non Trouvée</v>
      </c>
      <c r="M677" s="5" t="str">
        <f>_xlfn.XLOOKUP(Logs_Reseau6[[#This Row],[Id_Client]],Clients_Churn[ID_Client],Clients_Churn[Anciennete_Mois],"Rien à signaler")</f>
        <v>Rien à signaler</v>
      </c>
      <c r="N677" s="5" t="e">
        <f>Logs_Reseau6[[#This Row],[Anciennette]]/24</f>
        <v>#VALUE!</v>
      </c>
      <c r="O677" s="5" t="e">
        <f>Logs_Reseau6[[#This Row],[Duree_Cumulée_Panne]]/1440</f>
        <v>#VALUE!</v>
      </c>
      <c r="P67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78" spans="1:16" hidden="1" x14ac:dyDescent="0.25">
      <c r="A678" s="2">
        <v>45221</v>
      </c>
      <c r="B678" s="1">
        <v>0.85763888888888884</v>
      </c>
      <c r="C678" t="s">
        <v>1434</v>
      </c>
      <c r="D678">
        <v>60</v>
      </c>
      <c r="E678" t="s">
        <v>1305</v>
      </c>
      <c r="F678" t="str">
        <f>_xlfn.XLOOKUP(Logs_Reseau6[[#This Row],[Cell_ID]],Registre[ID_Antenne],Registre[Province_RDC],"Non Trouvée")</f>
        <v>Non Trouvée</v>
      </c>
      <c r="G678" t="str">
        <f>_xlfn.XLOOKUP(Logs_Reseau6[[#This Row],[Province]],Clients_Churn[Province_Client],Clients_Churn[ID_Client],"Aucun")</f>
        <v>Aucun</v>
      </c>
      <c r="H678" t="str">
        <f>_xlfn.XLOOKUP(Logs_Reseau6[[#This Row],[Cell_ID]],Registre[ID_Antenne],Registre[Technologie],"Rien à signaler")</f>
        <v>Rien à signaler</v>
      </c>
      <c r="I678" t="str">
        <f>_xlfn.XLOOKUP(Logs_Reseau6[[#This Row],[Cell_ID]],Registre[ID_Antenne],Registre[Equipementier],"Non Trouvée")</f>
        <v>Non Trouvée</v>
      </c>
      <c r="J678" t="str">
        <f>_xlfn.XLOOKUP(Logs_Reseau6[[#This Row],[Id_Client]],Clients_Churn[ID_Client],Clients_Churn[Type_Forfait],"Pas d'information")</f>
        <v>Pas d'information</v>
      </c>
      <c r="K678" s="5" t="str">
        <f>IF(Logs_Reseau6[[#This Row],[Type_Forfait]]="Pro Monde","B2B","B2C")</f>
        <v>B2C</v>
      </c>
      <c r="L678" s="5" t="str">
        <f>_xlfn.XLOOKUP(Logs_Reseau6[[#This Row],[Id_Client]],Clients_Churn[ID_Client],Clients_Churn[Duree_Cumulee_Panne_Min],"Non Trouvée")</f>
        <v>Non Trouvée</v>
      </c>
      <c r="M678" s="5" t="str">
        <f>_xlfn.XLOOKUP(Logs_Reseau6[[#This Row],[Id_Client]],Clients_Churn[ID_Client],Clients_Churn[Anciennete_Mois],"Rien à signaler")</f>
        <v>Rien à signaler</v>
      </c>
      <c r="N678" s="5" t="e">
        <f>Logs_Reseau6[[#This Row],[Anciennette]]/24</f>
        <v>#VALUE!</v>
      </c>
      <c r="O678" s="5" t="e">
        <f>Logs_Reseau6[[#This Row],[Duree_Cumulée_Panne]]/1440</f>
        <v>#VALUE!</v>
      </c>
      <c r="P67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79" spans="1:16" hidden="1" x14ac:dyDescent="0.25">
      <c r="A679" s="2">
        <v>45204</v>
      </c>
      <c r="B679" s="1">
        <v>0.94861111111111107</v>
      </c>
      <c r="C679" t="s">
        <v>1611</v>
      </c>
      <c r="D679">
        <v>47</v>
      </c>
      <c r="E679" t="s">
        <v>1303</v>
      </c>
      <c r="F679" t="str">
        <f>_xlfn.XLOOKUP(Logs_Reseau6[[#This Row],[Cell_ID]],Registre[ID_Antenne],Registre[Province_RDC],"Non Trouvée")</f>
        <v>Non Trouvée</v>
      </c>
      <c r="G679" t="str">
        <f>_xlfn.XLOOKUP(Logs_Reseau6[[#This Row],[Province]],Clients_Churn[Province_Client],Clients_Churn[ID_Client],"Aucun")</f>
        <v>Aucun</v>
      </c>
      <c r="H679" t="str">
        <f>_xlfn.XLOOKUP(Logs_Reseau6[[#This Row],[Cell_ID]],Registre[ID_Antenne],Registre[Technologie],"Rien à signaler")</f>
        <v>Rien à signaler</v>
      </c>
      <c r="I679" t="str">
        <f>_xlfn.XLOOKUP(Logs_Reseau6[[#This Row],[Cell_ID]],Registre[ID_Antenne],Registre[Equipementier],"Non Trouvée")</f>
        <v>Non Trouvée</v>
      </c>
      <c r="J679" t="str">
        <f>_xlfn.XLOOKUP(Logs_Reseau6[[#This Row],[Id_Client]],Clients_Churn[ID_Client],Clients_Churn[Type_Forfait],"Pas d'information")</f>
        <v>Pas d'information</v>
      </c>
      <c r="K679" s="5" t="str">
        <f>IF(Logs_Reseau6[[#This Row],[Type_Forfait]]="Pro Monde","B2B","B2C")</f>
        <v>B2C</v>
      </c>
      <c r="L679" s="5" t="str">
        <f>_xlfn.XLOOKUP(Logs_Reseau6[[#This Row],[Id_Client]],Clients_Churn[ID_Client],Clients_Churn[Duree_Cumulee_Panne_Min],"Non Trouvée")</f>
        <v>Non Trouvée</v>
      </c>
      <c r="M679" s="5" t="str">
        <f>_xlfn.XLOOKUP(Logs_Reseau6[[#This Row],[Id_Client]],Clients_Churn[ID_Client],Clients_Churn[Anciennete_Mois],"Rien à signaler")</f>
        <v>Rien à signaler</v>
      </c>
      <c r="N679" s="5" t="e">
        <f>Logs_Reseau6[[#This Row],[Anciennette]]/24</f>
        <v>#VALUE!</v>
      </c>
      <c r="O679" s="5" t="e">
        <f>Logs_Reseau6[[#This Row],[Duree_Cumulée_Panne]]/1440</f>
        <v>#VALUE!</v>
      </c>
      <c r="P67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80" spans="1:16" hidden="1" x14ac:dyDescent="0.25">
      <c r="A680" s="2">
        <v>45215</v>
      </c>
      <c r="B680" s="1">
        <v>0.32222222222222224</v>
      </c>
      <c r="C680" t="s">
        <v>1509</v>
      </c>
      <c r="D680">
        <v>57</v>
      </c>
      <c r="E680" t="s">
        <v>1305</v>
      </c>
      <c r="F680" t="str">
        <f>_xlfn.XLOOKUP(Logs_Reseau6[[#This Row],[Cell_ID]],Registre[ID_Antenne],Registre[Province_RDC],"Non Trouvée")</f>
        <v>Non Trouvée</v>
      </c>
      <c r="G680" t="str">
        <f>_xlfn.XLOOKUP(Logs_Reseau6[[#This Row],[Province]],Clients_Churn[Province_Client],Clients_Churn[ID_Client],"Aucun")</f>
        <v>Aucun</v>
      </c>
      <c r="H680" t="str">
        <f>_xlfn.XLOOKUP(Logs_Reseau6[[#This Row],[Cell_ID]],Registre[ID_Antenne],Registre[Technologie],"Rien à signaler")</f>
        <v>Rien à signaler</v>
      </c>
      <c r="I680" t="str">
        <f>_xlfn.XLOOKUP(Logs_Reseau6[[#This Row],[Cell_ID]],Registre[ID_Antenne],Registre[Equipementier],"Non Trouvée")</f>
        <v>Non Trouvée</v>
      </c>
      <c r="J680" t="str">
        <f>_xlfn.XLOOKUP(Logs_Reseau6[[#This Row],[Id_Client]],Clients_Churn[ID_Client],Clients_Churn[Type_Forfait],"Pas d'information")</f>
        <v>Pas d'information</v>
      </c>
      <c r="K680" s="5" t="str">
        <f>IF(Logs_Reseau6[[#This Row],[Type_Forfait]]="Pro Monde","B2B","B2C")</f>
        <v>B2C</v>
      </c>
      <c r="L680" s="5" t="str">
        <f>_xlfn.XLOOKUP(Logs_Reseau6[[#This Row],[Id_Client]],Clients_Churn[ID_Client],Clients_Churn[Duree_Cumulee_Panne_Min],"Non Trouvée")</f>
        <v>Non Trouvée</v>
      </c>
      <c r="M680" s="5" t="str">
        <f>_xlfn.XLOOKUP(Logs_Reseau6[[#This Row],[Id_Client]],Clients_Churn[ID_Client],Clients_Churn[Anciennete_Mois],"Rien à signaler")</f>
        <v>Rien à signaler</v>
      </c>
      <c r="N680" s="5" t="e">
        <f>Logs_Reseau6[[#This Row],[Anciennette]]/24</f>
        <v>#VALUE!</v>
      </c>
      <c r="O680" s="5" t="e">
        <f>Logs_Reseau6[[#This Row],[Duree_Cumulée_Panne]]/1440</f>
        <v>#VALUE!</v>
      </c>
      <c r="P68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81" spans="1:16" hidden="1" x14ac:dyDescent="0.25">
      <c r="A681" s="2">
        <v>45220</v>
      </c>
      <c r="B681" s="1">
        <v>0.50624999999999998</v>
      </c>
      <c r="C681" t="s">
        <v>1509</v>
      </c>
      <c r="D681">
        <v>20</v>
      </c>
      <c r="E681" t="s">
        <v>1300</v>
      </c>
      <c r="F681" t="str">
        <f>_xlfn.XLOOKUP(Logs_Reseau6[[#This Row],[Cell_ID]],Registre[ID_Antenne],Registre[Province_RDC],"Non Trouvée")</f>
        <v>Non Trouvée</v>
      </c>
      <c r="G681" t="str">
        <f>_xlfn.XLOOKUP(Logs_Reseau6[[#This Row],[Province]],Clients_Churn[Province_Client],Clients_Churn[ID_Client],"Aucun")</f>
        <v>Aucun</v>
      </c>
      <c r="H681" t="str">
        <f>_xlfn.XLOOKUP(Logs_Reseau6[[#This Row],[Cell_ID]],Registre[ID_Antenne],Registre[Technologie],"Rien à signaler")</f>
        <v>Rien à signaler</v>
      </c>
      <c r="I681" t="str">
        <f>_xlfn.XLOOKUP(Logs_Reseau6[[#This Row],[Cell_ID]],Registre[ID_Antenne],Registre[Equipementier],"Non Trouvée")</f>
        <v>Non Trouvée</v>
      </c>
      <c r="J681" t="str">
        <f>_xlfn.XLOOKUP(Logs_Reseau6[[#This Row],[Id_Client]],Clients_Churn[ID_Client],Clients_Churn[Type_Forfait],"Pas d'information")</f>
        <v>Pas d'information</v>
      </c>
      <c r="K681" s="5" t="str">
        <f>IF(Logs_Reseau6[[#This Row],[Type_Forfait]]="Pro Monde","B2B","B2C")</f>
        <v>B2C</v>
      </c>
      <c r="L681" s="5" t="str">
        <f>_xlfn.XLOOKUP(Logs_Reseau6[[#This Row],[Id_Client]],Clients_Churn[ID_Client],Clients_Churn[Duree_Cumulee_Panne_Min],"Non Trouvée")</f>
        <v>Non Trouvée</v>
      </c>
      <c r="M681" s="5" t="str">
        <f>_xlfn.XLOOKUP(Logs_Reseau6[[#This Row],[Id_Client]],Clients_Churn[ID_Client],Clients_Churn[Anciennete_Mois],"Rien à signaler")</f>
        <v>Rien à signaler</v>
      </c>
      <c r="N681" s="5" t="e">
        <f>Logs_Reseau6[[#This Row],[Anciennette]]/24</f>
        <v>#VALUE!</v>
      </c>
      <c r="O681" s="5" t="e">
        <f>Logs_Reseau6[[#This Row],[Duree_Cumulée_Panne]]/1440</f>
        <v>#VALUE!</v>
      </c>
      <c r="P68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82" spans="1:16" hidden="1" x14ac:dyDescent="0.25">
      <c r="A682" s="2">
        <v>45229</v>
      </c>
      <c r="B682" s="1">
        <v>0.9868055555555556</v>
      </c>
      <c r="C682" t="s">
        <v>1509</v>
      </c>
      <c r="D682">
        <v>37</v>
      </c>
      <c r="E682" t="s">
        <v>1305</v>
      </c>
      <c r="F682" t="str">
        <f>_xlfn.XLOOKUP(Logs_Reseau6[[#This Row],[Cell_ID]],Registre[ID_Antenne],Registre[Province_RDC],"Non Trouvée")</f>
        <v>Non Trouvée</v>
      </c>
      <c r="G682" t="str">
        <f>_xlfn.XLOOKUP(Logs_Reseau6[[#This Row],[Province]],Clients_Churn[Province_Client],Clients_Churn[ID_Client],"Aucun")</f>
        <v>Aucun</v>
      </c>
      <c r="H682" t="str">
        <f>_xlfn.XLOOKUP(Logs_Reseau6[[#This Row],[Cell_ID]],Registre[ID_Antenne],Registre[Technologie],"Rien à signaler")</f>
        <v>Rien à signaler</v>
      </c>
      <c r="I682" t="str">
        <f>_xlfn.XLOOKUP(Logs_Reseau6[[#This Row],[Cell_ID]],Registre[ID_Antenne],Registre[Equipementier],"Non Trouvée")</f>
        <v>Non Trouvée</v>
      </c>
      <c r="J682" t="str">
        <f>_xlfn.XLOOKUP(Logs_Reseau6[[#This Row],[Id_Client]],Clients_Churn[ID_Client],Clients_Churn[Type_Forfait],"Pas d'information")</f>
        <v>Pas d'information</v>
      </c>
      <c r="K682" s="5" t="str">
        <f>IF(Logs_Reseau6[[#This Row],[Type_Forfait]]="Pro Monde","B2B","B2C")</f>
        <v>B2C</v>
      </c>
      <c r="L682" s="5" t="str">
        <f>_xlfn.XLOOKUP(Logs_Reseau6[[#This Row],[Id_Client]],Clients_Churn[ID_Client],Clients_Churn[Duree_Cumulee_Panne_Min],"Non Trouvée")</f>
        <v>Non Trouvée</v>
      </c>
      <c r="M682" s="5" t="str">
        <f>_xlfn.XLOOKUP(Logs_Reseau6[[#This Row],[Id_Client]],Clients_Churn[ID_Client],Clients_Churn[Anciennete_Mois],"Rien à signaler")</f>
        <v>Rien à signaler</v>
      </c>
      <c r="N682" s="5" t="e">
        <f>Logs_Reseau6[[#This Row],[Anciennette]]/24</f>
        <v>#VALUE!</v>
      </c>
      <c r="O682" s="5" t="e">
        <f>Logs_Reseau6[[#This Row],[Duree_Cumulée_Panne]]/1440</f>
        <v>#VALUE!</v>
      </c>
      <c r="P68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83" spans="1:16" hidden="1" x14ac:dyDescent="0.25">
      <c r="A683" s="2">
        <v>45200</v>
      </c>
      <c r="B683" s="1">
        <v>6.5277777777777782E-2</v>
      </c>
      <c r="C683" t="s">
        <v>1385</v>
      </c>
      <c r="D683">
        <v>9</v>
      </c>
      <c r="E683" t="s">
        <v>1300</v>
      </c>
      <c r="F683" t="str">
        <f>_xlfn.XLOOKUP(Logs_Reseau6[[#This Row],[Cell_ID]],Registre[ID_Antenne],Registre[Province_RDC],"Non Trouvée")</f>
        <v>Non Trouvée</v>
      </c>
      <c r="G683" t="str">
        <f>_xlfn.XLOOKUP(Logs_Reseau6[[#This Row],[Province]],Clients_Churn[Province_Client],Clients_Churn[ID_Client],"Aucun")</f>
        <v>Aucun</v>
      </c>
      <c r="H683" t="str">
        <f>_xlfn.XLOOKUP(Logs_Reseau6[[#This Row],[Cell_ID]],Registre[ID_Antenne],Registre[Technologie],"Rien à signaler")</f>
        <v>Rien à signaler</v>
      </c>
      <c r="I683" t="str">
        <f>_xlfn.XLOOKUP(Logs_Reseau6[[#This Row],[Cell_ID]],Registre[ID_Antenne],Registre[Equipementier],"Non Trouvée")</f>
        <v>Non Trouvée</v>
      </c>
      <c r="J683" t="str">
        <f>_xlfn.XLOOKUP(Logs_Reseau6[[#This Row],[Id_Client]],Clients_Churn[ID_Client],Clients_Churn[Type_Forfait],"Pas d'information")</f>
        <v>Pas d'information</v>
      </c>
      <c r="K683" s="5" t="str">
        <f>IF(Logs_Reseau6[[#This Row],[Type_Forfait]]="Pro Monde","B2B","B2C")</f>
        <v>B2C</v>
      </c>
      <c r="L683" s="5" t="str">
        <f>_xlfn.XLOOKUP(Logs_Reseau6[[#This Row],[Id_Client]],Clients_Churn[ID_Client],Clients_Churn[Duree_Cumulee_Panne_Min],"Non Trouvée")</f>
        <v>Non Trouvée</v>
      </c>
      <c r="M683" s="5" t="str">
        <f>_xlfn.XLOOKUP(Logs_Reseau6[[#This Row],[Id_Client]],Clients_Churn[ID_Client],Clients_Churn[Anciennete_Mois],"Rien à signaler")</f>
        <v>Rien à signaler</v>
      </c>
      <c r="N683" s="5" t="e">
        <f>Logs_Reseau6[[#This Row],[Anciennette]]/24</f>
        <v>#VALUE!</v>
      </c>
      <c r="O683" s="5" t="e">
        <f>Logs_Reseau6[[#This Row],[Duree_Cumulée_Panne]]/1440</f>
        <v>#VALUE!</v>
      </c>
      <c r="P68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84" spans="1:16" hidden="1" x14ac:dyDescent="0.25">
      <c r="A684" s="2">
        <v>45205</v>
      </c>
      <c r="B684" s="1">
        <v>0.71111111111111114</v>
      </c>
      <c r="C684" t="s">
        <v>1385</v>
      </c>
      <c r="D684">
        <v>109</v>
      </c>
      <c r="E684" t="s">
        <v>1305</v>
      </c>
      <c r="F684" t="str">
        <f>_xlfn.XLOOKUP(Logs_Reseau6[[#This Row],[Cell_ID]],Registre[ID_Antenne],Registre[Province_RDC],"Non Trouvée")</f>
        <v>Non Trouvée</v>
      </c>
      <c r="G684" t="str">
        <f>_xlfn.XLOOKUP(Logs_Reseau6[[#This Row],[Province]],Clients_Churn[Province_Client],Clients_Churn[ID_Client],"Aucun")</f>
        <v>Aucun</v>
      </c>
      <c r="H684" t="str">
        <f>_xlfn.XLOOKUP(Logs_Reseau6[[#This Row],[Cell_ID]],Registre[ID_Antenne],Registre[Technologie],"Rien à signaler")</f>
        <v>Rien à signaler</v>
      </c>
      <c r="I684" t="str">
        <f>_xlfn.XLOOKUP(Logs_Reseau6[[#This Row],[Cell_ID]],Registre[ID_Antenne],Registre[Equipementier],"Non Trouvée")</f>
        <v>Non Trouvée</v>
      </c>
      <c r="J684" t="str">
        <f>_xlfn.XLOOKUP(Logs_Reseau6[[#This Row],[Id_Client]],Clients_Churn[ID_Client],Clients_Churn[Type_Forfait],"Pas d'information")</f>
        <v>Pas d'information</v>
      </c>
      <c r="K684" s="5" t="str">
        <f>IF(Logs_Reseau6[[#This Row],[Type_Forfait]]="Pro Monde","B2B","B2C")</f>
        <v>B2C</v>
      </c>
      <c r="L684" s="5" t="str">
        <f>_xlfn.XLOOKUP(Logs_Reseau6[[#This Row],[Id_Client]],Clients_Churn[ID_Client],Clients_Churn[Duree_Cumulee_Panne_Min],"Non Trouvée")</f>
        <v>Non Trouvée</v>
      </c>
      <c r="M684" s="5" t="str">
        <f>_xlfn.XLOOKUP(Logs_Reseau6[[#This Row],[Id_Client]],Clients_Churn[ID_Client],Clients_Churn[Anciennete_Mois],"Rien à signaler")</f>
        <v>Rien à signaler</v>
      </c>
      <c r="N684" s="5" t="e">
        <f>Logs_Reseau6[[#This Row],[Anciennette]]/24</f>
        <v>#VALUE!</v>
      </c>
      <c r="O684" s="5" t="e">
        <f>Logs_Reseau6[[#This Row],[Duree_Cumulée_Panne]]/1440</f>
        <v>#VALUE!</v>
      </c>
      <c r="P68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85" spans="1:16" x14ac:dyDescent="0.25">
      <c r="A685" s="2">
        <v>45215</v>
      </c>
      <c r="B685" s="1">
        <v>0.77638888888888891</v>
      </c>
      <c r="C685" t="s">
        <v>1011</v>
      </c>
      <c r="D685">
        <v>87</v>
      </c>
      <c r="E685" t="s">
        <v>1305</v>
      </c>
      <c r="F685" t="str">
        <f>_xlfn.XLOOKUP(Logs_Reseau6[[#This Row],[Cell_ID]],Registre[ID_Antenne],Registre[Province_RDC],"Non Trouvée")</f>
        <v>Kasai</v>
      </c>
      <c r="G685" t="str">
        <f>_xlfn.XLOOKUP(Logs_Reseau6[[#This Row],[Province]],Clients_Churn[Province_Client],Clients_Churn[ID_Client],"Aucun")</f>
        <v>CLI-00057</v>
      </c>
      <c r="H685" t="str">
        <f>_xlfn.XLOOKUP(Logs_Reseau6[[#This Row],[Cell_ID]],Registre[ID_Antenne],Registre[Technologie],"Rien à signaler")</f>
        <v>3G</v>
      </c>
      <c r="I685" t="str">
        <f>_xlfn.XLOOKUP(Logs_Reseau6[[#This Row],[Cell_ID]],Registre[ID_Antenne],Registre[Equipementier],"Non Trouvée")</f>
        <v>ZTE</v>
      </c>
      <c r="J685" t="str">
        <f>_xlfn.XLOOKUP(Logs_Reseau6[[#This Row],[Id_Client]],Clients_Churn[ID_Client],Clients_Churn[Type_Forfait],"Pas d'information")</f>
        <v>Bloqué 5Go</v>
      </c>
      <c r="K685" s="5" t="str">
        <f>IF(Logs_Reseau6[[#This Row],[Type_Forfait]]="Pro Monde","B2B","B2C")</f>
        <v>B2C</v>
      </c>
      <c r="L685" s="5">
        <f>_xlfn.XLOOKUP(Logs_Reseau6[[#This Row],[Id_Client]],Clients_Churn[ID_Client],Clients_Churn[Duree_Cumulee_Panne_Min],"Non Trouvée")</f>
        <v>182</v>
      </c>
      <c r="M685" s="5">
        <f>_xlfn.XLOOKUP(Logs_Reseau6[[#This Row],[Id_Client]],Clients_Churn[ID_Client],Clients_Churn[Anciennete_Mois],"Rien à signaler")</f>
        <v>4</v>
      </c>
      <c r="N685" s="11">
        <f>Logs_Reseau6[[#This Row],[Anciennette]]/24</f>
        <v>0.16666666666666666</v>
      </c>
      <c r="O685" s="1">
        <f>Logs_Reseau6[[#This Row],[Duree_Cumulée_Panne]]/1440</f>
        <v>0.12638888888888888</v>
      </c>
      <c r="P68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86" spans="1:16" hidden="1" x14ac:dyDescent="0.25">
      <c r="A686" s="2">
        <v>45206</v>
      </c>
      <c r="B686" s="1">
        <v>0.16250000000000001</v>
      </c>
      <c r="C686" t="s">
        <v>1426</v>
      </c>
      <c r="D686">
        <v>69</v>
      </c>
      <c r="E686" t="s">
        <v>1300</v>
      </c>
      <c r="F686" t="str">
        <f>_xlfn.XLOOKUP(Logs_Reseau6[[#This Row],[Cell_ID]],Registre[ID_Antenne],Registre[Province_RDC],"Non Trouvée")</f>
        <v>Non Trouvée</v>
      </c>
      <c r="G686" t="str">
        <f>_xlfn.XLOOKUP(Logs_Reseau6[[#This Row],[Province]],Clients_Churn[Province_Client],Clients_Churn[ID_Client],"Aucun")</f>
        <v>Aucun</v>
      </c>
      <c r="H686" t="str">
        <f>_xlfn.XLOOKUP(Logs_Reseau6[[#This Row],[Cell_ID]],Registre[ID_Antenne],Registre[Technologie],"Rien à signaler")</f>
        <v>Rien à signaler</v>
      </c>
      <c r="I686" t="str">
        <f>_xlfn.XLOOKUP(Logs_Reseau6[[#This Row],[Cell_ID]],Registre[ID_Antenne],Registre[Equipementier],"Non Trouvée")</f>
        <v>Non Trouvée</v>
      </c>
      <c r="J686" t="str">
        <f>_xlfn.XLOOKUP(Logs_Reseau6[[#This Row],[Id_Client]],Clients_Churn[ID_Client],Clients_Churn[Type_Forfait],"Pas d'information")</f>
        <v>Pas d'information</v>
      </c>
      <c r="K686" s="5" t="str">
        <f>IF(Logs_Reseau6[[#This Row],[Type_Forfait]]="Pro Monde","B2B","B2C")</f>
        <v>B2C</v>
      </c>
      <c r="L686" s="5" t="str">
        <f>_xlfn.XLOOKUP(Logs_Reseau6[[#This Row],[Id_Client]],Clients_Churn[ID_Client],Clients_Churn[Duree_Cumulee_Panne_Min],"Non Trouvée")</f>
        <v>Non Trouvée</v>
      </c>
      <c r="M686" s="5" t="str">
        <f>_xlfn.XLOOKUP(Logs_Reseau6[[#This Row],[Id_Client]],Clients_Churn[ID_Client],Clients_Churn[Anciennete_Mois],"Rien à signaler")</f>
        <v>Rien à signaler</v>
      </c>
      <c r="N686" s="5" t="e">
        <f>Logs_Reseau6[[#This Row],[Anciennette]]/24</f>
        <v>#VALUE!</v>
      </c>
      <c r="O686" s="5" t="e">
        <f>Logs_Reseau6[[#This Row],[Duree_Cumulée_Panne]]/1440</f>
        <v>#VALUE!</v>
      </c>
      <c r="P68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87" spans="1:16" x14ac:dyDescent="0.25">
      <c r="A687" s="2">
        <v>45204</v>
      </c>
      <c r="B687" s="1">
        <v>0.28333333333333333</v>
      </c>
      <c r="C687" t="s">
        <v>1201</v>
      </c>
      <c r="D687">
        <v>11</v>
      </c>
      <c r="E687" t="s">
        <v>1305</v>
      </c>
      <c r="F687" t="str">
        <f>_xlfn.XLOOKUP(Logs_Reseau6[[#This Row],[Cell_ID]],Registre[ID_Antenne],Registre[Province_RDC],"Non Trouvée")</f>
        <v>Lomami</v>
      </c>
      <c r="G687" t="str">
        <f>_xlfn.XLOOKUP(Logs_Reseau6[[#This Row],[Province]],Clients_Churn[Province_Client],Clients_Churn[ID_Client],"Aucun")</f>
        <v>CLI-00044</v>
      </c>
      <c r="H687" t="str">
        <f>_xlfn.XLOOKUP(Logs_Reseau6[[#This Row],[Cell_ID]],Registre[ID_Antenne],Registre[Technologie],"Rien à signaler")</f>
        <v>3G</v>
      </c>
      <c r="I687" t="str">
        <f>_xlfn.XLOOKUP(Logs_Reseau6[[#This Row],[Cell_ID]],Registre[ID_Antenne],Registre[Equipementier],"Non Trouvée")</f>
        <v>Nokia</v>
      </c>
      <c r="J687" t="str">
        <f>_xlfn.XLOOKUP(Logs_Reseau6[[#This Row],[Id_Client]],Clients_Churn[ID_Client],Clients_Churn[Type_Forfait],"Pas d'information")</f>
        <v>Illimité 50Go</v>
      </c>
      <c r="K687" s="5" t="str">
        <f>IF(Logs_Reseau6[[#This Row],[Type_Forfait]]="Pro Monde","B2B","B2C")</f>
        <v>B2C</v>
      </c>
      <c r="L687" s="5">
        <f>_xlfn.XLOOKUP(Logs_Reseau6[[#This Row],[Id_Client]],Clients_Churn[ID_Client],Clients_Churn[Duree_Cumulee_Panne_Min],"Non Trouvée")</f>
        <v>345</v>
      </c>
      <c r="M687" s="5">
        <f>_xlfn.XLOOKUP(Logs_Reseau6[[#This Row],[Id_Client]],Clients_Churn[ID_Client],Clients_Churn[Anciennete_Mois],"Rien à signaler")</f>
        <v>53</v>
      </c>
      <c r="N687" s="11">
        <f>Logs_Reseau6[[#This Row],[Anciennette]]/24</f>
        <v>2.2083333333333335</v>
      </c>
      <c r="O687" s="1">
        <f>Logs_Reseau6[[#This Row],[Duree_Cumulée_Panne]]/1440</f>
        <v>0.23958333333333334</v>
      </c>
      <c r="P68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88" spans="1:16" x14ac:dyDescent="0.25">
      <c r="A688" s="2">
        <v>45215</v>
      </c>
      <c r="B688" s="1">
        <v>0.37638888888888888</v>
      </c>
      <c r="C688" t="s">
        <v>1201</v>
      </c>
      <c r="D688">
        <v>65</v>
      </c>
      <c r="E688" t="s">
        <v>1305</v>
      </c>
      <c r="F688" t="str">
        <f>_xlfn.XLOOKUP(Logs_Reseau6[[#This Row],[Cell_ID]],Registre[ID_Antenne],Registre[Province_RDC],"Non Trouvée")</f>
        <v>Lomami</v>
      </c>
      <c r="G688" t="str">
        <f>_xlfn.XLOOKUP(Logs_Reseau6[[#This Row],[Province]],Clients_Churn[Province_Client],Clients_Churn[ID_Client],"Aucun")</f>
        <v>CLI-00044</v>
      </c>
      <c r="H688" t="str">
        <f>_xlfn.XLOOKUP(Logs_Reseau6[[#This Row],[Cell_ID]],Registre[ID_Antenne],Registre[Technologie],"Rien à signaler")</f>
        <v>3G</v>
      </c>
      <c r="I688" t="str">
        <f>_xlfn.XLOOKUP(Logs_Reseau6[[#This Row],[Cell_ID]],Registre[ID_Antenne],Registre[Equipementier],"Non Trouvée")</f>
        <v>Nokia</v>
      </c>
      <c r="J688" t="str">
        <f>_xlfn.XLOOKUP(Logs_Reseau6[[#This Row],[Id_Client]],Clients_Churn[ID_Client],Clients_Churn[Type_Forfait],"Pas d'information")</f>
        <v>Illimité 50Go</v>
      </c>
      <c r="K688" s="5" t="str">
        <f>IF(Logs_Reseau6[[#This Row],[Type_Forfait]]="Pro Monde","B2B","B2C")</f>
        <v>B2C</v>
      </c>
      <c r="L688" s="5">
        <f>_xlfn.XLOOKUP(Logs_Reseau6[[#This Row],[Id_Client]],Clients_Churn[ID_Client],Clients_Churn[Duree_Cumulee_Panne_Min],"Non Trouvée")</f>
        <v>345</v>
      </c>
      <c r="M688" s="5">
        <f>_xlfn.XLOOKUP(Logs_Reseau6[[#This Row],[Id_Client]],Clients_Churn[ID_Client],Clients_Churn[Anciennete_Mois],"Rien à signaler")</f>
        <v>53</v>
      </c>
      <c r="N688" s="11">
        <f>Logs_Reseau6[[#This Row],[Anciennette]]/24</f>
        <v>2.2083333333333335</v>
      </c>
      <c r="O688" s="1">
        <f>Logs_Reseau6[[#This Row],[Duree_Cumulée_Panne]]/1440</f>
        <v>0.23958333333333334</v>
      </c>
      <c r="P68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89" spans="1:16" x14ac:dyDescent="0.25">
      <c r="A689" s="2">
        <v>45224</v>
      </c>
      <c r="B689" s="1">
        <v>0.4826388888888889</v>
      </c>
      <c r="C689" t="s">
        <v>1201</v>
      </c>
      <c r="D689">
        <v>95</v>
      </c>
      <c r="E689" t="s">
        <v>1303</v>
      </c>
      <c r="F689" t="str">
        <f>_xlfn.XLOOKUP(Logs_Reseau6[[#This Row],[Cell_ID]],Registre[ID_Antenne],Registre[Province_RDC],"Non Trouvée")</f>
        <v>Lomami</v>
      </c>
      <c r="G689" t="str">
        <f>_xlfn.XLOOKUP(Logs_Reseau6[[#This Row],[Province]],Clients_Churn[Province_Client],Clients_Churn[ID_Client],"Aucun")</f>
        <v>CLI-00044</v>
      </c>
      <c r="H689" t="str">
        <f>_xlfn.XLOOKUP(Logs_Reseau6[[#This Row],[Cell_ID]],Registre[ID_Antenne],Registre[Technologie],"Rien à signaler")</f>
        <v>3G</v>
      </c>
      <c r="I689" t="str">
        <f>_xlfn.XLOOKUP(Logs_Reseau6[[#This Row],[Cell_ID]],Registre[ID_Antenne],Registre[Equipementier],"Non Trouvée")</f>
        <v>Nokia</v>
      </c>
      <c r="J689" t="str">
        <f>_xlfn.XLOOKUP(Logs_Reseau6[[#This Row],[Id_Client]],Clients_Churn[ID_Client],Clients_Churn[Type_Forfait],"Pas d'information")</f>
        <v>Illimité 50Go</v>
      </c>
      <c r="K689" s="5" t="str">
        <f>IF(Logs_Reseau6[[#This Row],[Type_Forfait]]="Pro Monde","B2B","B2C")</f>
        <v>B2C</v>
      </c>
      <c r="L689" s="5">
        <f>_xlfn.XLOOKUP(Logs_Reseau6[[#This Row],[Id_Client]],Clients_Churn[ID_Client],Clients_Churn[Duree_Cumulee_Panne_Min],"Non Trouvée")</f>
        <v>345</v>
      </c>
      <c r="M689" s="5">
        <f>_xlfn.XLOOKUP(Logs_Reseau6[[#This Row],[Id_Client]],Clients_Churn[ID_Client],Clients_Churn[Anciennete_Mois],"Rien à signaler")</f>
        <v>53</v>
      </c>
      <c r="N689" s="11">
        <f>Logs_Reseau6[[#This Row],[Anciennette]]/24</f>
        <v>2.2083333333333335</v>
      </c>
      <c r="O689" s="1">
        <f>Logs_Reseau6[[#This Row],[Duree_Cumulée_Panne]]/1440</f>
        <v>0.23958333333333334</v>
      </c>
      <c r="P68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90" spans="1:16" x14ac:dyDescent="0.25">
      <c r="A690" s="2">
        <v>45216</v>
      </c>
      <c r="B690" s="1">
        <v>0.90277777777777779</v>
      </c>
      <c r="C690" t="s">
        <v>811</v>
      </c>
      <c r="D690">
        <v>20</v>
      </c>
      <c r="E690" t="s">
        <v>1305</v>
      </c>
      <c r="F690" t="str">
        <f>_xlfn.XLOOKUP(Logs_Reseau6[[#This Row],[Cell_ID]],Registre[ID_Antenne],Registre[Province_RDC],"Non Trouvée")</f>
        <v>Kwilu</v>
      </c>
      <c r="G690" t="str">
        <f>_xlfn.XLOOKUP(Logs_Reseau6[[#This Row],[Province]],Clients_Churn[Province_Client],Clients_Churn[ID_Client],"Aucun")</f>
        <v>CLI-00009</v>
      </c>
      <c r="H690" t="str">
        <f>_xlfn.XLOOKUP(Logs_Reseau6[[#This Row],[Cell_ID]],Registre[ID_Antenne],Registre[Technologie],"Rien à signaler")</f>
        <v>4G</v>
      </c>
      <c r="I690" t="str">
        <f>_xlfn.XLOOKUP(Logs_Reseau6[[#This Row],[Cell_ID]],Registre[ID_Antenne],Registre[Equipementier],"Non Trouvée")</f>
        <v>Huawei</v>
      </c>
      <c r="J690" t="str">
        <f>_xlfn.XLOOKUP(Logs_Reseau6[[#This Row],[Id_Client]],Clients_Churn[ID_Client],Clients_Churn[Type_Forfait],"Pas d'information")</f>
        <v>Pro Monde</v>
      </c>
      <c r="K690" s="5" t="str">
        <f>IF(Logs_Reseau6[[#This Row],[Type_Forfait]]="Pro Monde","B2B","B2C")</f>
        <v>B2B</v>
      </c>
      <c r="L690" s="5">
        <f>_xlfn.XLOOKUP(Logs_Reseau6[[#This Row],[Id_Client]],Clients_Churn[ID_Client],Clients_Churn[Duree_Cumulee_Panne_Min],"Non Trouvée")</f>
        <v>297</v>
      </c>
      <c r="M690" s="5">
        <f>_xlfn.XLOOKUP(Logs_Reseau6[[#This Row],[Id_Client]],Clients_Churn[ID_Client],Clients_Churn[Anciennete_Mois],"Rien à signaler")</f>
        <v>105</v>
      </c>
      <c r="N690" s="11">
        <f>Logs_Reseau6[[#This Row],[Anciennette]]/24</f>
        <v>4.375</v>
      </c>
      <c r="O690" s="1">
        <f>Logs_Reseau6[[#This Row],[Duree_Cumulée_Panne]]/1440</f>
        <v>0.20624999999999999</v>
      </c>
      <c r="P69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691" spans="1:16" hidden="1" x14ac:dyDescent="0.25">
      <c r="A691" s="2">
        <v>45227</v>
      </c>
      <c r="B691" s="1">
        <v>0.16319444444444445</v>
      </c>
      <c r="C691" t="s">
        <v>1401</v>
      </c>
      <c r="D691">
        <v>78</v>
      </c>
      <c r="E691" t="s">
        <v>1303</v>
      </c>
      <c r="F691" t="str">
        <f>_xlfn.XLOOKUP(Logs_Reseau6[[#This Row],[Cell_ID]],Registre[ID_Antenne],Registre[Province_RDC],"Non Trouvée")</f>
        <v>Non Trouvée</v>
      </c>
      <c r="G691" t="str">
        <f>_xlfn.XLOOKUP(Logs_Reseau6[[#This Row],[Province]],Clients_Churn[Province_Client],Clients_Churn[ID_Client],"Aucun")</f>
        <v>Aucun</v>
      </c>
      <c r="H691" t="str">
        <f>_xlfn.XLOOKUP(Logs_Reseau6[[#This Row],[Cell_ID]],Registre[ID_Antenne],Registre[Technologie],"Rien à signaler")</f>
        <v>Rien à signaler</v>
      </c>
      <c r="I691" t="str">
        <f>_xlfn.XLOOKUP(Logs_Reseau6[[#This Row],[Cell_ID]],Registre[ID_Antenne],Registre[Equipementier],"Non Trouvée")</f>
        <v>Non Trouvée</v>
      </c>
      <c r="J691" t="str">
        <f>_xlfn.XLOOKUP(Logs_Reseau6[[#This Row],[Id_Client]],Clients_Churn[ID_Client],Clients_Churn[Type_Forfait],"Pas d'information")</f>
        <v>Pas d'information</v>
      </c>
      <c r="K691" s="5" t="str">
        <f>IF(Logs_Reseau6[[#This Row],[Type_Forfait]]="Pro Monde","B2B","B2C")</f>
        <v>B2C</v>
      </c>
      <c r="L691" s="5" t="str">
        <f>_xlfn.XLOOKUP(Logs_Reseau6[[#This Row],[Id_Client]],Clients_Churn[ID_Client],Clients_Churn[Duree_Cumulee_Panne_Min],"Non Trouvée")</f>
        <v>Non Trouvée</v>
      </c>
      <c r="M691" s="5" t="str">
        <f>_xlfn.XLOOKUP(Logs_Reseau6[[#This Row],[Id_Client]],Clients_Churn[ID_Client],Clients_Churn[Anciennete_Mois],"Rien à signaler")</f>
        <v>Rien à signaler</v>
      </c>
      <c r="N691" s="5" t="e">
        <f>Logs_Reseau6[[#This Row],[Anciennette]]/24</f>
        <v>#VALUE!</v>
      </c>
      <c r="O691" s="5" t="e">
        <f>Logs_Reseau6[[#This Row],[Duree_Cumulée_Panne]]/1440</f>
        <v>#VALUE!</v>
      </c>
      <c r="P69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92" spans="1:16" hidden="1" x14ac:dyDescent="0.25">
      <c r="A692" s="2">
        <v>45221</v>
      </c>
      <c r="B692" s="1">
        <v>0.83958333333333335</v>
      </c>
      <c r="C692" t="s">
        <v>1399</v>
      </c>
      <c r="D692">
        <v>18</v>
      </c>
      <c r="E692" t="s">
        <v>1300</v>
      </c>
      <c r="F692" t="str">
        <f>_xlfn.XLOOKUP(Logs_Reseau6[[#This Row],[Cell_ID]],Registre[ID_Antenne],Registre[Province_RDC],"Non Trouvée")</f>
        <v>Non Trouvée</v>
      </c>
      <c r="G692" t="str">
        <f>_xlfn.XLOOKUP(Logs_Reseau6[[#This Row],[Province]],Clients_Churn[Province_Client],Clients_Churn[ID_Client],"Aucun")</f>
        <v>Aucun</v>
      </c>
      <c r="H692" t="str">
        <f>_xlfn.XLOOKUP(Logs_Reseau6[[#This Row],[Cell_ID]],Registre[ID_Antenne],Registre[Technologie],"Rien à signaler")</f>
        <v>Rien à signaler</v>
      </c>
      <c r="I692" t="str">
        <f>_xlfn.XLOOKUP(Logs_Reseau6[[#This Row],[Cell_ID]],Registre[ID_Antenne],Registre[Equipementier],"Non Trouvée")</f>
        <v>Non Trouvée</v>
      </c>
      <c r="J692" t="str">
        <f>_xlfn.XLOOKUP(Logs_Reseau6[[#This Row],[Id_Client]],Clients_Churn[ID_Client],Clients_Churn[Type_Forfait],"Pas d'information")</f>
        <v>Pas d'information</v>
      </c>
      <c r="K692" s="5" t="str">
        <f>IF(Logs_Reseau6[[#This Row],[Type_Forfait]]="Pro Monde","B2B","B2C")</f>
        <v>B2C</v>
      </c>
      <c r="L692" s="5" t="str">
        <f>_xlfn.XLOOKUP(Logs_Reseau6[[#This Row],[Id_Client]],Clients_Churn[ID_Client],Clients_Churn[Duree_Cumulee_Panne_Min],"Non Trouvée")</f>
        <v>Non Trouvée</v>
      </c>
      <c r="M692" s="5" t="str">
        <f>_xlfn.XLOOKUP(Logs_Reseau6[[#This Row],[Id_Client]],Clients_Churn[ID_Client],Clients_Churn[Anciennete_Mois],"Rien à signaler")</f>
        <v>Rien à signaler</v>
      </c>
      <c r="N692" s="5" t="e">
        <f>Logs_Reseau6[[#This Row],[Anciennette]]/24</f>
        <v>#VALUE!</v>
      </c>
      <c r="O692" s="5" t="e">
        <f>Logs_Reseau6[[#This Row],[Duree_Cumulée_Panne]]/1440</f>
        <v>#VALUE!</v>
      </c>
      <c r="P69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93" spans="1:16" hidden="1" x14ac:dyDescent="0.25">
      <c r="A693" s="2">
        <v>45210</v>
      </c>
      <c r="B693" s="1">
        <v>0.84097222222222223</v>
      </c>
      <c r="C693" t="s">
        <v>1392</v>
      </c>
      <c r="D693">
        <v>7</v>
      </c>
      <c r="E693" t="s">
        <v>1300</v>
      </c>
      <c r="F693" t="str">
        <f>_xlfn.XLOOKUP(Logs_Reseau6[[#This Row],[Cell_ID]],Registre[ID_Antenne],Registre[Province_RDC],"Non Trouvée")</f>
        <v>Non Trouvée</v>
      </c>
      <c r="G693" t="str">
        <f>_xlfn.XLOOKUP(Logs_Reseau6[[#This Row],[Province]],Clients_Churn[Province_Client],Clients_Churn[ID_Client],"Aucun")</f>
        <v>Aucun</v>
      </c>
      <c r="H693" t="str">
        <f>_xlfn.XLOOKUP(Logs_Reseau6[[#This Row],[Cell_ID]],Registre[ID_Antenne],Registre[Technologie],"Rien à signaler")</f>
        <v>Rien à signaler</v>
      </c>
      <c r="I693" t="str">
        <f>_xlfn.XLOOKUP(Logs_Reseau6[[#This Row],[Cell_ID]],Registre[ID_Antenne],Registre[Equipementier],"Non Trouvée")</f>
        <v>Non Trouvée</v>
      </c>
      <c r="J693" t="str">
        <f>_xlfn.XLOOKUP(Logs_Reseau6[[#This Row],[Id_Client]],Clients_Churn[ID_Client],Clients_Churn[Type_Forfait],"Pas d'information")</f>
        <v>Pas d'information</v>
      </c>
      <c r="K693" s="5" t="str">
        <f>IF(Logs_Reseau6[[#This Row],[Type_Forfait]]="Pro Monde","B2B","B2C")</f>
        <v>B2C</v>
      </c>
      <c r="L693" s="5" t="str">
        <f>_xlfn.XLOOKUP(Logs_Reseau6[[#This Row],[Id_Client]],Clients_Churn[ID_Client],Clients_Churn[Duree_Cumulee_Panne_Min],"Non Trouvée")</f>
        <v>Non Trouvée</v>
      </c>
      <c r="M693" s="5" t="str">
        <f>_xlfn.XLOOKUP(Logs_Reseau6[[#This Row],[Id_Client]],Clients_Churn[ID_Client],Clients_Churn[Anciennete_Mois],"Rien à signaler")</f>
        <v>Rien à signaler</v>
      </c>
      <c r="N693" s="5" t="e">
        <f>Logs_Reseau6[[#This Row],[Anciennette]]/24</f>
        <v>#VALUE!</v>
      </c>
      <c r="O693" s="5" t="e">
        <f>Logs_Reseau6[[#This Row],[Duree_Cumulée_Panne]]/1440</f>
        <v>#VALUE!</v>
      </c>
      <c r="P69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94" spans="1:16" hidden="1" x14ac:dyDescent="0.25">
      <c r="A694" s="2">
        <v>45214</v>
      </c>
      <c r="B694" s="1">
        <v>0.10972222222222222</v>
      </c>
      <c r="C694" t="s">
        <v>1392</v>
      </c>
      <c r="D694">
        <v>102</v>
      </c>
      <c r="E694" t="s">
        <v>1303</v>
      </c>
      <c r="F694" t="str">
        <f>_xlfn.XLOOKUP(Logs_Reseau6[[#This Row],[Cell_ID]],Registre[ID_Antenne],Registre[Province_RDC],"Non Trouvée")</f>
        <v>Non Trouvée</v>
      </c>
      <c r="G694" t="str">
        <f>_xlfn.XLOOKUP(Logs_Reseau6[[#This Row],[Province]],Clients_Churn[Province_Client],Clients_Churn[ID_Client],"Aucun")</f>
        <v>Aucun</v>
      </c>
      <c r="H694" t="str">
        <f>_xlfn.XLOOKUP(Logs_Reseau6[[#This Row],[Cell_ID]],Registre[ID_Antenne],Registre[Technologie],"Rien à signaler")</f>
        <v>Rien à signaler</v>
      </c>
      <c r="I694" t="str">
        <f>_xlfn.XLOOKUP(Logs_Reseau6[[#This Row],[Cell_ID]],Registre[ID_Antenne],Registre[Equipementier],"Non Trouvée")</f>
        <v>Non Trouvée</v>
      </c>
      <c r="J694" t="str">
        <f>_xlfn.XLOOKUP(Logs_Reseau6[[#This Row],[Id_Client]],Clients_Churn[ID_Client],Clients_Churn[Type_Forfait],"Pas d'information")</f>
        <v>Pas d'information</v>
      </c>
      <c r="K694" s="5" t="str">
        <f>IF(Logs_Reseau6[[#This Row],[Type_Forfait]]="Pro Monde","B2B","B2C")</f>
        <v>B2C</v>
      </c>
      <c r="L694" s="5" t="str">
        <f>_xlfn.XLOOKUP(Logs_Reseau6[[#This Row],[Id_Client]],Clients_Churn[ID_Client],Clients_Churn[Duree_Cumulee_Panne_Min],"Non Trouvée")</f>
        <v>Non Trouvée</v>
      </c>
      <c r="M694" s="5" t="str">
        <f>_xlfn.XLOOKUP(Logs_Reseau6[[#This Row],[Id_Client]],Clients_Churn[ID_Client],Clients_Churn[Anciennete_Mois],"Rien à signaler")</f>
        <v>Rien à signaler</v>
      </c>
      <c r="N694" s="5" t="e">
        <f>Logs_Reseau6[[#This Row],[Anciennette]]/24</f>
        <v>#VALUE!</v>
      </c>
      <c r="O694" s="5" t="e">
        <f>Logs_Reseau6[[#This Row],[Duree_Cumulée_Panne]]/1440</f>
        <v>#VALUE!</v>
      </c>
      <c r="P69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95" spans="1:16" x14ac:dyDescent="0.25">
      <c r="A695" s="2">
        <v>45201</v>
      </c>
      <c r="B695" s="1">
        <v>9.0277777777777769E-3</v>
      </c>
      <c r="C695" t="s">
        <v>904</v>
      </c>
      <c r="D695">
        <v>56</v>
      </c>
      <c r="E695" t="s">
        <v>1303</v>
      </c>
      <c r="F695" t="str">
        <f>_xlfn.XLOOKUP(Logs_Reseau6[[#This Row],[Cell_ID]],Registre[ID_Antenne],Registre[Province_RDC],"Non Trouvée")</f>
        <v>Nord-Ubangi</v>
      </c>
      <c r="G695" t="str">
        <f>_xlfn.XLOOKUP(Logs_Reseau6[[#This Row],[Province]],Clients_Churn[Province_Client],Clients_Churn[ID_Client],"Aucun")</f>
        <v>CLI-00112</v>
      </c>
      <c r="H695" t="str">
        <f>_xlfn.XLOOKUP(Logs_Reseau6[[#This Row],[Cell_ID]],Registre[ID_Antenne],Registre[Technologie],"Rien à signaler")</f>
        <v>3G</v>
      </c>
      <c r="I695" t="str">
        <f>_xlfn.XLOOKUP(Logs_Reseau6[[#This Row],[Cell_ID]],Registre[ID_Antenne],Registre[Equipementier],"Non Trouvée")</f>
        <v>ZTE</v>
      </c>
      <c r="J695" t="str">
        <f>_xlfn.XLOOKUP(Logs_Reseau6[[#This Row],[Id_Client]],Clients_Churn[ID_Client],Clients_Churn[Type_Forfait],"Pas d'information")</f>
        <v>Bloqué 5Go</v>
      </c>
      <c r="K695" s="5" t="str">
        <f>IF(Logs_Reseau6[[#This Row],[Type_Forfait]]="Pro Monde","B2B","B2C")</f>
        <v>B2C</v>
      </c>
      <c r="L695" s="5">
        <f>_xlfn.XLOOKUP(Logs_Reseau6[[#This Row],[Id_Client]],Clients_Churn[ID_Client],Clients_Churn[Duree_Cumulee_Panne_Min],"Non Trouvée")</f>
        <v>52</v>
      </c>
      <c r="M695" s="5">
        <f>_xlfn.XLOOKUP(Logs_Reseau6[[#This Row],[Id_Client]],Clients_Churn[ID_Client],Clients_Churn[Anciennete_Mois],"Rien à signaler")</f>
        <v>98</v>
      </c>
      <c r="N695" s="11">
        <f>Logs_Reseau6[[#This Row],[Anciennette]]/24</f>
        <v>4.083333333333333</v>
      </c>
      <c r="O695" s="1">
        <f>Logs_Reseau6[[#This Row],[Duree_Cumulée_Panne]]/1440</f>
        <v>3.6111111111111108E-2</v>
      </c>
      <c r="P69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96" spans="1:16" x14ac:dyDescent="0.25">
      <c r="A696" s="2">
        <v>45209</v>
      </c>
      <c r="B696" s="1">
        <v>0.65972222222222221</v>
      </c>
      <c r="C696" t="s">
        <v>904</v>
      </c>
      <c r="D696">
        <v>67</v>
      </c>
      <c r="E696" t="s">
        <v>1305</v>
      </c>
      <c r="F696" t="str">
        <f>_xlfn.XLOOKUP(Logs_Reseau6[[#This Row],[Cell_ID]],Registre[ID_Antenne],Registre[Province_RDC],"Non Trouvée")</f>
        <v>Nord-Ubangi</v>
      </c>
      <c r="G696" t="str">
        <f>_xlfn.XLOOKUP(Logs_Reseau6[[#This Row],[Province]],Clients_Churn[Province_Client],Clients_Churn[ID_Client],"Aucun")</f>
        <v>CLI-00112</v>
      </c>
      <c r="H696" t="str">
        <f>_xlfn.XLOOKUP(Logs_Reseau6[[#This Row],[Cell_ID]],Registre[ID_Antenne],Registre[Technologie],"Rien à signaler")</f>
        <v>3G</v>
      </c>
      <c r="I696" t="str">
        <f>_xlfn.XLOOKUP(Logs_Reseau6[[#This Row],[Cell_ID]],Registre[ID_Antenne],Registre[Equipementier],"Non Trouvée")</f>
        <v>ZTE</v>
      </c>
      <c r="J696" t="str">
        <f>_xlfn.XLOOKUP(Logs_Reseau6[[#This Row],[Id_Client]],Clients_Churn[ID_Client],Clients_Churn[Type_Forfait],"Pas d'information")</f>
        <v>Bloqué 5Go</v>
      </c>
      <c r="K696" s="5" t="str">
        <f>IF(Logs_Reseau6[[#This Row],[Type_Forfait]]="Pro Monde","B2B","B2C")</f>
        <v>B2C</v>
      </c>
      <c r="L696" s="5">
        <f>_xlfn.XLOOKUP(Logs_Reseau6[[#This Row],[Id_Client]],Clients_Churn[ID_Client],Clients_Churn[Duree_Cumulee_Panne_Min],"Non Trouvée")</f>
        <v>52</v>
      </c>
      <c r="M696" s="5">
        <f>_xlfn.XLOOKUP(Logs_Reseau6[[#This Row],[Id_Client]],Clients_Churn[ID_Client],Clients_Churn[Anciennete_Mois],"Rien à signaler")</f>
        <v>98</v>
      </c>
      <c r="N696" s="11">
        <f>Logs_Reseau6[[#This Row],[Anciennette]]/24</f>
        <v>4.083333333333333</v>
      </c>
      <c r="O696" s="1">
        <f>Logs_Reseau6[[#This Row],[Duree_Cumulée_Panne]]/1440</f>
        <v>3.6111111111111108E-2</v>
      </c>
      <c r="P69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97" spans="1:16" x14ac:dyDescent="0.25">
      <c r="A697" s="2">
        <v>45226</v>
      </c>
      <c r="B697" s="1">
        <v>0.58680555555555558</v>
      </c>
      <c r="C697" t="s">
        <v>904</v>
      </c>
      <c r="D697">
        <v>33</v>
      </c>
      <c r="E697" t="s">
        <v>1305</v>
      </c>
      <c r="F697" t="str">
        <f>_xlfn.XLOOKUP(Logs_Reseau6[[#This Row],[Cell_ID]],Registre[ID_Antenne],Registre[Province_RDC],"Non Trouvée")</f>
        <v>Nord-Ubangi</v>
      </c>
      <c r="G697" t="str">
        <f>_xlfn.XLOOKUP(Logs_Reseau6[[#This Row],[Province]],Clients_Churn[Province_Client],Clients_Churn[ID_Client],"Aucun")</f>
        <v>CLI-00112</v>
      </c>
      <c r="H697" t="str">
        <f>_xlfn.XLOOKUP(Logs_Reseau6[[#This Row],[Cell_ID]],Registre[ID_Antenne],Registre[Technologie],"Rien à signaler")</f>
        <v>3G</v>
      </c>
      <c r="I697" t="str">
        <f>_xlfn.XLOOKUP(Logs_Reseau6[[#This Row],[Cell_ID]],Registre[ID_Antenne],Registre[Equipementier],"Non Trouvée")</f>
        <v>ZTE</v>
      </c>
      <c r="J697" t="str">
        <f>_xlfn.XLOOKUP(Logs_Reseau6[[#This Row],[Id_Client]],Clients_Churn[ID_Client],Clients_Churn[Type_Forfait],"Pas d'information")</f>
        <v>Bloqué 5Go</v>
      </c>
      <c r="K697" s="5" t="str">
        <f>IF(Logs_Reseau6[[#This Row],[Type_Forfait]]="Pro Monde","B2B","B2C")</f>
        <v>B2C</v>
      </c>
      <c r="L697" s="5">
        <f>_xlfn.XLOOKUP(Logs_Reseau6[[#This Row],[Id_Client]],Clients_Churn[ID_Client],Clients_Churn[Duree_Cumulee_Panne_Min],"Non Trouvée")</f>
        <v>52</v>
      </c>
      <c r="M697" s="5">
        <f>_xlfn.XLOOKUP(Logs_Reseau6[[#This Row],[Id_Client]],Clients_Churn[ID_Client],Clients_Churn[Anciennete_Mois],"Rien à signaler")</f>
        <v>98</v>
      </c>
      <c r="N697" s="11">
        <f>Logs_Reseau6[[#This Row],[Anciennette]]/24</f>
        <v>4.083333333333333</v>
      </c>
      <c r="O697" s="1">
        <f>Logs_Reseau6[[#This Row],[Duree_Cumulée_Panne]]/1440</f>
        <v>3.6111111111111108E-2</v>
      </c>
      <c r="P69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698" spans="1:16" hidden="1" x14ac:dyDescent="0.25">
      <c r="A698" s="2">
        <v>45214</v>
      </c>
      <c r="B698" s="1">
        <v>0.18541666666666667</v>
      </c>
      <c r="C698" t="s">
        <v>1326</v>
      </c>
      <c r="D698">
        <v>36</v>
      </c>
      <c r="E698" t="s">
        <v>1303</v>
      </c>
      <c r="F698" t="str">
        <f>_xlfn.XLOOKUP(Logs_Reseau6[[#This Row],[Cell_ID]],Registre[ID_Antenne],Registre[Province_RDC],"Non Trouvée")</f>
        <v>Non Trouvée</v>
      </c>
      <c r="G698" t="str">
        <f>_xlfn.XLOOKUP(Logs_Reseau6[[#This Row],[Province]],Clients_Churn[Province_Client],Clients_Churn[ID_Client],"Aucun")</f>
        <v>Aucun</v>
      </c>
      <c r="H698" t="str">
        <f>_xlfn.XLOOKUP(Logs_Reseau6[[#This Row],[Cell_ID]],Registre[ID_Antenne],Registre[Technologie],"Rien à signaler")</f>
        <v>Rien à signaler</v>
      </c>
      <c r="I698" t="str">
        <f>_xlfn.XLOOKUP(Logs_Reseau6[[#This Row],[Cell_ID]],Registre[ID_Antenne],Registre[Equipementier],"Non Trouvée")</f>
        <v>Non Trouvée</v>
      </c>
      <c r="J698" t="str">
        <f>_xlfn.XLOOKUP(Logs_Reseau6[[#This Row],[Id_Client]],Clients_Churn[ID_Client],Clients_Churn[Type_Forfait],"Pas d'information")</f>
        <v>Pas d'information</v>
      </c>
      <c r="K698" s="5" t="str">
        <f>IF(Logs_Reseau6[[#This Row],[Type_Forfait]]="Pro Monde","B2B","B2C")</f>
        <v>B2C</v>
      </c>
      <c r="L698" s="5" t="str">
        <f>_xlfn.XLOOKUP(Logs_Reseau6[[#This Row],[Id_Client]],Clients_Churn[ID_Client],Clients_Churn[Duree_Cumulee_Panne_Min],"Non Trouvée")</f>
        <v>Non Trouvée</v>
      </c>
      <c r="M698" s="5" t="str">
        <f>_xlfn.XLOOKUP(Logs_Reseau6[[#This Row],[Id_Client]],Clients_Churn[ID_Client],Clients_Churn[Anciennete_Mois],"Rien à signaler")</f>
        <v>Rien à signaler</v>
      </c>
      <c r="N698" s="5" t="e">
        <f>Logs_Reseau6[[#This Row],[Anciennette]]/24</f>
        <v>#VALUE!</v>
      </c>
      <c r="O698" s="5" t="e">
        <f>Logs_Reseau6[[#This Row],[Duree_Cumulée_Panne]]/1440</f>
        <v>#VALUE!</v>
      </c>
      <c r="P69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699" spans="1:16" hidden="1" x14ac:dyDescent="0.25">
      <c r="A699" s="2">
        <v>45218</v>
      </c>
      <c r="B699" s="1">
        <v>0.63541666666666663</v>
      </c>
      <c r="C699" t="s">
        <v>1326</v>
      </c>
      <c r="D699">
        <v>17</v>
      </c>
      <c r="E699" t="s">
        <v>1305</v>
      </c>
      <c r="F699" t="str">
        <f>_xlfn.XLOOKUP(Logs_Reseau6[[#This Row],[Cell_ID]],Registre[ID_Antenne],Registre[Province_RDC],"Non Trouvée")</f>
        <v>Non Trouvée</v>
      </c>
      <c r="G699" t="str">
        <f>_xlfn.XLOOKUP(Logs_Reseau6[[#This Row],[Province]],Clients_Churn[Province_Client],Clients_Churn[ID_Client],"Aucun")</f>
        <v>Aucun</v>
      </c>
      <c r="H699" t="str">
        <f>_xlfn.XLOOKUP(Logs_Reseau6[[#This Row],[Cell_ID]],Registre[ID_Antenne],Registre[Technologie],"Rien à signaler")</f>
        <v>Rien à signaler</v>
      </c>
      <c r="I699" t="str">
        <f>_xlfn.XLOOKUP(Logs_Reseau6[[#This Row],[Cell_ID]],Registre[ID_Antenne],Registre[Equipementier],"Non Trouvée")</f>
        <v>Non Trouvée</v>
      </c>
      <c r="J699" t="str">
        <f>_xlfn.XLOOKUP(Logs_Reseau6[[#This Row],[Id_Client]],Clients_Churn[ID_Client],Clients_Churn[Type_Forfait],"Pas d'information")</f>
        <v>Pas d'information</v>
      </c>
      <c r="K699" s="5" t="str">
        <f>IF(Logs_Reseau6[[#This Row],[Type_Forfait]]="Pro Monde","B2B","B2C")</f>
        <v>B2C</v>
      </c>
      <c r="L699" s="5" t="str">
        <f>_xlfn.XLOOKUP(Logs_Reseau6[[#This Row],[Id_Client]],Clients_Churn[ID_Client],Clients_Churn[Duree_Cumulee_Panne_Min],"Non Trouvée")</f>
        <v>Non Trouvée</v>
      </c>
      <c r="M699" s="5" t="str">
        <f>_xlfn.XLOOKUP(Logs_Reseau6[[#This Row],[Id_Client]],Clients_Churn[ID_Client],Clients_Churn[Anciennete_Mois],"Rien à signaler")</f>
        <v>Rien à signaler</v>
      </c>
      <c r="N699" s="5" t="e">
        <f>Logs_Reseau6[[#This Row],[Anciennette]]/24</f>
        <v>#VALUE!</v>
      </c>
      <c r="O699" s="5" t="e">
        <f>Logs_Reseau6[[#This Row],[Duree_Cumulée_Panne]]/1440</f>
        <v>#VALUE!</v>
      </c>
      <c r="P69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00" spans="1:16" x14ac:dyDescent="0.25">
      <c r="A700" s="2">
        <v>45201</v>
      </c>
      <c r="B700" s="1">
        <v>0.22500000000000001</v>
      </c>
      <c r="C700" t="s">
        <v>991</v>
      </c>
      <c r="D700">
        <v>83</v>
      </c>
      <c r="E700" t="s">
        <v>1303</v>
      </c>
      <c r="F700" t="str">
        <f>_xlfn.XLOOKUP(Logs_Reseau6[[#This Row],[Cell_ID]],Registre[ID_Antenne],Registre[Province_RDC],"Non Trouvée")</f>
        <v>Nord-Kivu</v>
      </c>
      <c r="G700" t="str">
        <f>_xlfn.XLOOKUP(Logs_Reseau6[[#This Row],[Province]],Clients_Churn[Province_Client],Clients_Churn[ID_Client],"Aucun")</f>
        <v>CLI-00043</v>
      </c>
      <c r="H700" t="str">
        <f>_xlfn.XLOOKUP(Logs_Reseau6[[#This Row],[Cell_ID]],Registre[ID_Antenne],Registre[Technologie],"Rien à signaler")</f>
        <v>5G</v>
      </c>
      <c r="I700" t="str">
        <f>_xlfn.XLOOKUP(Logs_Reseau6[[#This Row],[Cell_ID]],Registre[ID_Antenne],Registre[Equipementier],"Non Trouvée")</f>
        <v>ZTE</v>
      </c>
      <c r="J700" t="str">
        <f>_xlfn.XLOOKUP(Logs_Reseau6[[#This Row],[Id_Client]],Clients_Churn[ID_Client],Clients_Churn[Type_Forfait],"Pas d'information")</f>
        <v>Pro Monde</v>
      </c>
      <c r="K700" s="5" t="str">
        <f>IF(Logs_Reseau6[[#This Row],[Type_Forfait]]="Pro Monde","B2B","B2C")</f>
        <v>B2B</v>
      </c>
      <c r="L700" s="5">
        <f>_xlfn.XLOOKUP(Logs_Reseau6[[#This Row],[Id_Client]],Clients_Churn[ID_Client],Clients_Churn[Duree_Cumulee_Panne_Min],"Non Trouvée")</f>
        <v>132</v>
      </c>
      <c r="M700" s="5">
        <f>_xlfn.XLOOKUP(Logs_Reseau6[[#This Row],[Id_Client]],Clients_Churn[ID_Client],Clients_Churn[Anciennete_Mois],"Rien à signaler")</f>
        <v>118</v>
      </c>
      <c r="N700" s="11">
        <f>Logs_Reseau6[[#This Row],[Anciennette]]/24</f>
        <v>4.916666666666667</v>
      </c>
      <c r="O700" s="1">
        <f>Logs_Reseau6[[#This Row],[Duree_Cumulée_Panne]]/1440</f>
        <v>9.166666666666666E-2</v>
      </c>
      <c r="P70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01" spans="1:16" x14ac:dyDescent="0.25">
      <c r="A701" s="2">
        <v>45201</v>
      </c>
      <c r="B701" s="1">
        <v>0.21249999999999999</v>
      </c>
      <c r="C701" t="s">
        <v>991</v>
      </c>
      <c r="D701">
        <v>40</v>
      </c>
      <c r="E701" t="s">
        <v>1303</v>
      </c>
      <c r="F701" t="str">
        <f>_xlfn.XLOOKUP(Logs_Reseau6[[#This Row],[Cell_ID]],Registre[ID_Antenne],Registre[Province_RDC],"Non Trouvée")</f>
        <v>Nord-Kivu</v>
      </c>
      <c r="G701" t="str">
        <f>_xlfn.XLOOKUP(Logs_Reseau6[[#This Row],[Province]],Clients_Churn[Province_Client],Clients_Churn[ID_Client],"Aucun")</f>
        <v>CLI-00043</v>
      </c>
      <c r="H701" t="str">
        <f>_xlfn.XLOOKUP(Logs_Reseau6[[#This Row],[Cell_ID]],Registre[ID_Antenne],Registre[Technologie],"Rien à signaler")</f>
        <v>5G</v>
      </c>
      <c r="I701" t="str">
        <f>_xlfn.XLOOKUP(Logs_Reseau6[[#This Row],[Cell_ID]],Registre[ID_Antenne],Registre[Equipementier],"Non Trouvée")</f>
        <v>ZTE</v>
      </c>
      <c r="J701" t="str">
        <f>_xlfn.XLOOKUP(Logs_Reseau6[[#This Row],[Id_Client]],Clients_Churn[ID_Client],Clients_Churn[Type_Forfait],"Pas d'information")</f>
        <v>Pro Monde</v>
      </c>
      <c r="K701" s="5" t="str">
        <f>IF(Logs_Reseau6[[#This Row],[Type_Forfait]]="Pro Monde","B2B","B2C")</f>
        <v>B2B</v>
      </c>
      <c r="L701" s="5">
        <f>_xlfn.XLOOKUP(Logs_Reseau6[[#This Row],[Id_Client]],Clients_Churn[ID_Client],Clients_Churn[Duree_Cumulee_Panne_Min],"Non Trouvée")</f>
        <v>132</v>
      </c>
      <c r="M701" s="5">
        <f>_xlfn.XLOOKUP(Logs_Reseau6[[#This Row],[Id_Client]],Clients_Churn[ID_Client],Clients_Churn[Anciennete_Mois],"Rien à signaler")</f>
        <v>118</v>
      </c>
      <c r="N701" s="11">
        <f>Logs_Reseau6[[#This Row],[Anciennette]]/24</f>
        <v>4.916666666666667</v>
      </c>
      <c r="O701" s="1">
        <f>Logs_Reseau6[[#This Row],[Duree_Cumulée_Panne]]/1440</f>
        <v>9.166666666666666E-2</v>
      </c>
      <c r="P70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02" spans="1:16" x14ac:dyDescent="0.25">
      <c r="A702" s="2">
        <v>45208</v>
      </c>
      <c r="B702" s="1">
        <v>0.95902777777777781</v>
      </c>
      <c r="C702" t="s">
        <v>991</v>
      </c>
      <c r="D702">
        <v>98</v>
      </c>
      <c r="E702" t="s">
        <v>1305</v>
      </c>
      <c r="F702" t="str">
        <f>_xlfn.XLOOKUP(Logs_Reseau6[[#This Row],[Cell_ID]],Registre[ID_Antenne],Registre[Province_RDC],"Non Trouvée")</f>
        <v>Nord-Kivu</v>
      </c>
      <c r="G702" t="str">
        <f>_xlfn.XLOOKUP(Logs_Reseau6[[#This Row],[Province]],Clients_Churn[Province_Client],Clients_Churn[ID_Client],"Aucun")</f>
        <v>CLI-00043</v>
      </c>
      <c r="H702" t="str">
        <f>_xlfn.XLOOKUP(Logs_Reseau6[[#This Row],[Cell_ID]],Registre[ID_Antenne],Registre[Technologie],"Rien à signaler")</f>
        <v>5G</v>
      </c>
      <c r="I702" t="str">
        <f>_xlfn.XLOOKUP(Logs_Reseau6[[#This Row],[Cell_ID]],Registre[ID_Antenne],Registre[Equipementier],"Non Trouvée")</f>
        <v>ZTE</v>
      </c>
      <c r="J702" t="str">
        <f>_xlfn.XLOOKUP(Logs_Reseau6[[#This Row],[Id_Client]],Clients_Churn[ID_Client],Clients_Churn[Type_Forfait],"Pas d'information")</f>
        <v>Pro Monde</v>
      </c>
      <c r="K702" s="5" t="str">
        <f>IF(Logs_Reseau6[[#This Row],[Type_Forfait]]="Pro Monde","B2B","B2C")</f>
        <v>B2B</v>
      </c>
      <c r="L702" s="5">
        <f>_xlfn.XLOOKUP(Logs_Reseau6[[#This Row],[Id_Client]],Clients_Churn[ID_Client],Clients_Churn[Duree_Cumulee_Panne_Min],"Non Trouvée")</f>
        <v>132</v>
      </c>
      <c r="M702" s="5">
        <f>_xlfn.XLOOKUP(Logs_Reseau6[[#This Row],[Id_Client]],Clients_Churn[ID_Client],Clients_Churn[Anciennete_Mois],"Rien à signaler")</f>
        <v>118</v>
      </c>
      <c r="N702" s="11">
        <f>Logs_Reseau6[[#This Row],[Anciennette]]/24</f>
        <v>4.916666666666667</v>
      </c>
      <c r="O702" s="1">
        <f>Logs_Reseau6[[#This Row],[Duree_Cumulée_Panne]]/1440</f>
        <v>9.166666666666666E-2</v>
      </c>
      <c r="P70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03" spans="1:16" x14ac:dyDescent="0.25">
      <c r="A703" s="2">
        <v>45225</v>
      </c>
      <c r="B703" s="1">
        <v>0.77638888888888891</v>
      </c>
      <c r="C703" t="s">
        <v>991</v>
      </c>
      <c r="D703">
        <v>71</v>
      </c>
      <c r="E703" t="s">
        <v>1300</v>
      </c>
      <c r="F703" t="str">
        <f>_xlfn.XLOOKUP(Logs_Reseau6[[#This Row],[Cell_ID]],Registre[ID_Antenne],Registre[Province_RDC],"Non Trouvée")</f>
        <v>Nord-Kivu</v>
      </c>
      <c r="G703" t="str">
        <f>_xlfn.XLOOKUP(Logs_Reseau6[[#This Row],[Province]],Clients_Churn[Province_Client],Clients_Churn[ID_Client],"Aucun")</f>
        <v>CLI-00043</v>
      </c>
      <c r="H703" t="str">
        <f>_xlfn.XLOOKUP(Logs_Reseau6[[#This Row],[Cell_ID]],Registre[ID_Antenne],Registre[Technologie],"Rien à signaler")</f>
        <v>5G</v>
      </c>
      <c r="I703" t="str">
        <f>_xlfn.XLOOKUP(Logs_Reseau6[[#This Row],[Cell_ID]],Registre[ID_Antenne],Registre[Equipementier],"Non Trouvée")</f>
        <v>ZTE</v>
      </c>
      <c r="J703" t="str">
        <f>_xlfn.XLOOKUP(Logs_Reseau6[[#This Row],[Id_Client]],Clients_Churn[ID_Client],Clients_Churn[Type_Forfait],"Pas d'information")</f>
        <v>Pro Monde</v>
      </c>
      <c r="K703" s="5" t="str">
        <f>IF(Logs_Reseau6[[#This Row],[Type_Forfait]]="Pro Monde","B2B","B2C")</f>
        <v>B2B</v>
      </c>
      <c r="L703" s="5">
        <f>_xlfn.XLOOKUP(Logs_Reseau6[[#This Row],[Id_Client]],Clients_Churn[ID_Client],Clients_Churn[Duree_Cumulee_Panne_Min],"Non Trouvée")</f>
        <v>132</v>
      </c>
      <c r="M703" s="5">
        <f>_xlfn.XLOOKUP(Logs_Reseau6[[#This Row],[Id_Client]],Clients_Churn[ID_Client],Clients_Churn[Anciennete_Mois],"Rien à signaler")</f>
        <v>118</v>
      </c>
      <c r="N703" s="11">
        <f>Logs_Reseau6[[#This Row],[Anciennette]]/24</f>
        <v>4.916666666666667</v>
      </c>
      <c r="O703" s="1">
        <f>Logs_Reseau6[[#This Row],[Duree_Cumulée_Panne]]/1440</f>
        <v>9.166666666666666E-2</v>
      </c>
      <c r="P70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04" spans="1:16" x14ac:dyDescent="0.25">
      <c r="A704" s="2">
        <v>45229</v>
      </c>
      <c r="B704" s="1">
        <v>6.5972222222222224E-2</v>
      </c>
      <c r="C704" t="s">
        <v>991</v>
      </c>
      <c r="D704">
        <v>93</v>
      </c>
      <c r="E704" t="s">
        <v>1300</v>
      </c>
      <c r="F704" t="str">
        <f>_xlfn.XLOOKUP(Logs_Reseau6[[#This Row],[Cell_ID]],Registre[ID_Antenne],Registre[Province_RDC],"Non Trouvée")</f>
        <v>Nord-Kivu</v>
      </c>
      <c r="G704" t="str">
        <f>_xlfn.XLOOKUP(Logs_Reseau6[[#This Row],[Province]],Clients_Churn[Province_Client],Clients_Churn[ID_Client],"Aucun")</f>
        <v>CLI-00043</v>
      </c>
      <c r="H704" t="str">
        <f>_xlfn.XLOOKUP(Logs_Reseau6[[#This Row],[Cell_ID]],Registre[ID_Antenne],Registre[Technologie],"Rien à signaler")</f>
        <v>5G</v>
      </c>
      <c r="I704" t="str">
        <f>_xlfn.XLOOKUP(Logs_Reseau6[[#This Row],[Cell_ID]],Registre[ID_Antenne],Registre[Equipementier],"Non Trouvée")</f>
        <v>ZTE</v>
      </c>
      <c r="J704" t="str">
        <f>_xlfn.XLOOKUP(Logs_Reseau6[[#This Row],[Id_Client]],Clients_Churn[ID_Client],Clients_Churn[Type_Forfait],"Pas d'information")</f>
        <v>Pro Monde</v>
      </c>
      <c r="K704" s="5" t="str">
        <f>IF(Logs_Reseau6[[#This Row],[Type_Forfait]]="Pro Monde","B2B","B2C")</f>
        <v>B2B</v>
      </c>
      <c r="L704" s="5">
        <f>_xlfn.XLOOKUP(Logs_Reseau6[[#This Row],[Id_Client]],Clients_Churn[ID_Client],Clients_Churn[Duree_Cumulee_Panne_Min],"Non Trouvée")</f>
        <v>132</v>
      </c>
      <c r="M704" s="5">
        <f>_xlfn.XLOOKUP(Logs_Reseau6[[#This Row],[Id_Client]],Clients_Churn[ID_Client],Clients_Churn[Anciennete_Mois],"Rien à signaler")</f>
        <v>118</v>
      </c>
      <c r="N704" s="11">
        <f>Logs_Reseau6[[#This Row],[Anciennette]]/24</f>
        <v>4.916666666666667</v>
      </c>
      <c r="O704" s="1">
        <f>Logs_Reseau6[[#This Row],[Duree_Cumulée_Panne]]/1440</f>
        <v>9.166666666666666E-2</v>
      </c>
      <c r="P70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05" spans="1:16" hidden="1" x14ac:dyDescent="0.25">
      <c r="A705" s="2">
        <v>45210</v>
      </c>
      <c r="B705" s="1">
        <v>0.80555555555555558</v>
      </c>
      <c r="C705" t="s">
        <v>1485</v>
      </c>
      <c r="D705">
        <v>97</v>
      </c>
      <c r="E705" t="s">
        <v>1300</v>
      </c>
      <c r="F705" t="str">
        <f>_xlfn.XLOOKUP(Logs_Reseau6[[#This Row],[Cell_ID]],Registre[ID_Antenne],Registre[Province_RDC],"Non Trouvée")</f>
        <v>Non Trouvée</v>
      </c>
      <c r="G705" t="str">
        <f>_xlfn.XLOOKUP(Logs_Reseau6[[#This Row],[Province]],Clients_Churn[Province_Client],Clients_Churn[ID_Client],"Aucun")</f>
        <v>Aucun</v>
      </c>
      <c r="H705" t="str">
        <f>_xlfn.XLOOKUP(Logs_Reseau6[[#This Row],[Cell_ID]],Registre[ID_Antenne],Registre[Technologie],"Rien à signaler")</f>
        <v>Rien à signaler</v>
      </c>
      <c r="I705" t="str">
        <f>_xlfn.XLOOKUP(Logs_Reseau6[[#This Row],[Cell_ID]],Registre[ID_Antenne],Registre[Equipementier],"Non Trouvée")</f>
        <v>Non Trouvée</v>
      </c>
      <c r="J705" t="str">
        <f>_xlfn.XLOOKUP(Logs_Reseau6[[#This Row],[Id_Client]],Clients_Churn[ID_Client],Clients_Churn[Type_Forfait],"Pas d'information")</f>
        <v>Pas d'information</v>
      </c>
      <c r="K705" s="5" t="str">
        <f>IF(Logs_Reseau6[[#This Row],[Type_Forfait]]="Pro Monde","B2B","B2C")</f>
        <v>B2C</v>
      </c>
      <c r="L705" s="5" t="str">
        <f>_xlfn.XLOOKUP(Logs_Reseau6[[#This Row],[Id_Client]],Clients_Churn[ID_Client],Clients_Churn[Duree_Cumulee_Panne_Min],"Non Trouvée")</f>
        <v>Non Trouvée</v>
      </c>
      <c r="M705" s="5" t="str">
        <f>_xlfn.XLOOKUP(Logs_Reseau6[[#This Row],[Id_Client]],Clients_Churn[ID_Client],Clients_Churn[Anciennete_Mois],"Rien à signaler")</f>
        <v>Rien à signaler</v>
      </c>
      <c r="N705" s="5" t="e">
        <f>Logs_Reseau6[[#This Row],[Anciennette]]/24</f>
        <v>#VALUE!</v>
      </c>
      <c r="O705" s="5" t="e">
        <f>Logs_Reseau6[[#This Row],[Duree_Cumulée_Panne]]/1440</f>
        <v>#VALUE!</v>
      </c>
      <c r="P70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06" spans="1:16" hidden="1" x14ac:dyDescent="0.25">
      <c r="A706" s="2">
        <v>45215</v>
      </c>
      <c r="B706" s="1">
        <v>8.8888888888888892E-2</v>
      </c>
      <c r="C706" t="s">
        <v>1485</v>
      </c>
      <c r="D706">
        <v>59</v>
      </c>
      <c r="E706" t="s">
        <v>1305</v>
      </c>
      <c r="F706" t="str">
        <f>_xlfn.XLOOKUP(Logs_Reseau6[[#This Row],[Cell_ID]],Registre[ID_Antenne],Registre[Province_RDC],"Non Trouvée")</f>
        <v>Non Trouvée</v>
      </c>
      <c r="G706" t="str">
        <f>_xlfn.XLOOKUP(Logs_Reseau6[[#This Row],[Province]],Clients_Churn[Province_Client],Clients_Churn[ID_Client],"Aucun")</f>
        <v>Aucun</v>
      </c>
      <c r="H706" t="str">
        <f>_xlfn.XLOOKUP(Logs_Reseau6[[#This Row],[Cell_ID]],Registre[ID_Antenne],Registre[Technologie],"Rien à signaler")</f>
        <v>Rien à signaler</v>
      </c>
      <c r="I706" t="str">
        <f>_xlfn.XLOOKUP(Logs_Reseau6[[#This Row],[Cell_ID]],Registre[ID_Antenne],Registre[Equipementier],"Non Trouvée")</f>
        <v>Non Trouvée</v>
      </c>
      <c r="J706" t="str">
        <f>_xlfn.XLOOKUP(Logs_Reseau6[[#This Row],[Id_Client]],Clients_Churn[ID_Client],Clients_Churn[Type_Forfait],"Pas d'information")</f>
        <v>Pas d'information</v>
      </c>
      <c r="K706" s="5" t="str">
        <f>IF(Logs_Reseau6[[#This Row],[Type_Forfait]]="Pro Monde","B2B","B2C")</f>
        <v>B2C</v>
      </c>
      <c r="L706" s="5" t="str">
        <f>_xlfn.XLOOKUP(Logs_Reseau6[[#This Row],[Id_Client]],Clients_Churn[ID_Client],Clients_Churn[Duree_Cumulee_Panne_Min],"Non Trouvée")</f>
        <v>Non Trouvée</v>
      </c>
      <c r="M706" s="5" t="str">
        <f>_xlfn.XLOOKUP(Logs_Reseau6[[#This Row],[Id_Client]],Clients_Churn[ID_Client],Clients_Churn[Anciennete_Mois],"Rien à signaler")</f>
        <v>Rien à signaler</v>
      </c>
      <c r="N706" s="5" t="e">
        <f>Logs_Reseau6[[#This Row],[Anciennette]]/24</f>
        <v>#VALUE!</v>
      </c>
      <c r="O706" s="5" t="e">
        <f>Logs_Reseau6[[#This Row],[Duree_Cumulée_Panne]]/1440</f>
        <v>#VALUE!</v>
      </c>
      <c r="P70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07" spans="1:16" hidden="1" x14ac:dyDescent="0.25">
      <c r="A707" s="2">
        <v>45221</v>
      </c>
      <c r="B707" s="1">
        <v>0.10625</v>
      </c>
      <c r="C707" t="s">
        <v>1313</v>
      </c>
      <c r="D707">
        <v>52</v>
      </c>
      <c r="E707" t="s">
        <v>1305</v>
      </c>
      <c r="F707" t="str">
        <f>_xlfn.XLOOKUP(Logs_Reseau6[[#This Row],[Cell_ID]],Registre[ID_Antenne],Registre[Province_RDC],"Non Trouvée")</f>
        <v>Non Trouvée</v>
      </c>
      <c r="G707" t="str">
        <f>_xlfn.XLOOKUP(Logs_Reseau6[[#This Row],[Province]],Clients_Churn[Province_Client],Clients_Churn[ID_Client],"Aucun")</f>
        <v>Aucun</v>
      </c>
      <c r="H707" t="str">
        <f>_xlfn.XLOOKUP(Logs_Reseau6[[#This Row],[Cell_ID]],Registre[ID_Antenne],Registre[Technologie],"Rien à signaler")</f>
        <v>Rien à signaler</v>
      </c>
      <c r="I707" t="str">
        <f>_xlfn.XLOOKUP(Logs_Reseau6[[#This Row],[Cell_ID]],Registre[ID_Antenne],Registre[Equipementier],"Non Trouvée")</f>
        <v>Non Trouvée</v>
      </c>
      <c r="J707" t="str">
        <f>_xlfn.XLOOKUP(Logs_Reseau6[[#This Row],[Id_Client]],Clients_Churn[ID_Client],Clients_Churn[Type_Forfait],"Pas d'information")</f>
        <v>Pas d'information</v>
      </c>
      <c r="K707" s="5" t="str">
        <f>IF(Logs_Reseau6[[#This Row],[Type_Forfait]]="Pro Monde","B2B","B2C")</f>
        <v>B2C</v>
      </c>
      <c r="L707" s="5" t="str">
        <f>_xlfn.XLOOKUP(Logs_Reseau6[[#This Row],[Id_Client]],Clients_Churn[ID_Client],Clients_Churn[Duree_Cumulee_Panne_Min],"Non Trouvée")</f>
        <v>Non Trouvée</v>
      </c>
      <c r="M707" s="5" t="str">
        <f>_xlfn.XLOOKUP(Logs_Reseau6[[#This Row],[Id_Client]],Clients_Churn[ID_Client],Clients_Churn[Anciennete_Mois],"Rien à signaler")</f>
        <v>Rien à signaler</v>
      </c>
      <c r="N707" s="5" t="e">
        <f>Logs_Reseau6[[#This Row],[Anciennette]]/24</f>
        <v>#VALUE!</v>
      </c>
      <c r="O707" s="5" t="e">
        <f>Logs_Reseau6[[#This Row],[Duree_Cumulée_Panne]]/1440</f>
        <v>#VALUE!</v>
      </c>
      <c r="P70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08" spans="1:16" hidden="1" x14ac:dyDescent="0.25">
      <c r="A708" s="2">
        <v>45227</v>
      </c>
      <c r="B708" s="1">
        <v>0.48472222222222222</v>
      </c>
      <c r="C708" t="s">
        <v>1313</v>
      </c>
      <c r="D708">
        <v>24</v>
      </c>
      <c r="E708" t="s">
        <v>1303</v>
      </c>
      <c r="F708" t="str">
        <f>_xlfn.XLOOKUP(Logs_Reseau6[[#This Row],[Cell_ID]],Registre[ID_Antenne],Registre[Province_RDC],"Non Trouvée")</f>
        <v>Non Trouvée</v>
      </c>
      <c r="G708" t="str">
        <f>_xlfn.XLOOKUP(Logs_Reseau6[[#This Row],[Province]],Clients_Churn[Province_Client],Clients_Churn[ID_Client],"Aucun")</f>
        <v>Aucun</v>
      </c>
      <c r="H708" t="str">
        <f>_xlfn.XLOOKUP(Logs_Reseau6[[#This Row],[Cell_ID]],Registre[ID_Antenne],Registre[Technologie],"Rien à signaler")</f>
        <v>Rien à signaler</v>
      </c>
      <c r="I708" t="str">
        <f>_xlfn.XLOOKUP(Logs_Reseau6[[#This Row],[Cell_ID]],Registre[ID_Antenne],Registre[Equipementier],"Non Trouvée")</f>
        <v>Non Trouvée</v>
      </c>
      <c r="J708" t="str">
        <f>_xlfn.XLOOKUP(Logs_Reseau6[[#This Row],[Id_Client]],Clients_Churn[ID_Client],Clients_Churn[Type_Forfait],"Pas d'information")</f>
        <v>Pas d'information</v>
      </c>
      <c r="K708" s="5" t="str">
        <f>IF(Logs_Reseau6[[#This Row],[Type_Forfait]]="Pro Monde","B2B","B2C")</f>
        <v>B2C</v>
      </c>
      <c r="L708" s="5" t="str">
        <f>_xlfn.XLOOKUP(Logs_Reseau6[[#This Row],[Id_Client]],Clients_Churn[ID_Client],Clients_Churn[Duree_Cumulee_Panne_Min],"Non Trouvée")</f>
        <v>Non Trouvée</v>
      </c>
      <c r="M708" s="5" t="str">
        <f>_xlfn.XLOOKUP(Logs_Reseau6[[#This Row],[Id_Client]],Clients_Churn[ID_Client],Clients_Churn[Anciennete_Mois],"Rien à signaler")</f>
        <v>Rien à signaler</v>
      </c>
      <c r="N708" s="5" t="e">
        <f>Logs_Reseau6[[#This Row],[Anciennette]]/24</f>
        <v>#VALUE!</v>
      </c>
      <c r="O708" s="5" t="e">
        <f>Logs_Reseau6[[#This Row],[Duree_Cumulée_Panne]]/1440</f>
        <v>#VALUE!</v>
      </c>
      <c r="P70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09" spans="1:16" hidden="1" x14ac:dyDescent="0.25">
      <c r="A709" s="2">
        <v>45211</v>
      </c>
      <c r="B709" s="1">
        <v>0.90833333333333333</v>
      </c>
      <c r="C709" t="s">
        <v>1430</v>
      </c>
      <c r="D709">
        <v>32</v>
      </c>
      <c r="E709" t="s">
        <v>1303</v>
      </c>
      <c r="F709" t="str">
        <f>_xlfn.XLOOKUP(Logs_Reseau6[[#This Row],[Cell_ID]],Registre[ID_Antenne],Registre[Province_RDC],"Non Trouvée")</f>
        <v>Non Trouvée</v>
      </c>
      <c r="G709" t="str">
        <f>_xlfn.XLOOKUP(Logs_Reseau6[[#This Row],[Province]],Clients_Churn[Province_Client],Clients_Churn[ID_Client],"Aucun")</f>
        <v>Aucun</v>
      </c>
      <c r="H709" t="str">
        <f>_xlfn.XLOOKUP(Logs_Reseau6[[#This Row],[Cell_ID]],Registre[ID_Antenne],Registre[Technologie],"Rien à signaler")</f>
        <v>Rien à signaler</v>
      </c>
      <c r="I709" t="str">
        <f>_xlfn.XLOOKUP(Logs_Reseau6[[#This Row],[Cell_ID]],Registre[ID_Antenne],Registre[Equipementier],"Non Trouvée")</f>
        <v>Non Trouvée</v>
      </c>
      <c r="J709" t="str">
        <f>_xlfn.XLOOKUP(Logs_Reseau6[[#This Row],[Id_Client]],Clients_Churn[ID_Client],Clients_Churn[Type_Forfait],"Pas d'information")</f>
        <v>Pas d'information</v>
      </c>
      <c r="K709" s="5" t="str">
        <f>IF(Logs_Reseau6[[#This Row],[Type_Forfait]]="Pro Monde","B2B","B2C")</f>
        <v>B2C</v>
      </c>
      <c r="L709" s="5" t="str">
        <f>_xlfn.XLOOKUP(Logs_Reseau6[[#This Row],[Id_Client]],Clients_Churn[ID_Client],Clients_Churn[Duree_Cumulee_Panne_Min],"Non Trouvée")</f>
        <v>Non Trouvée</v>
      </c>
      <c r="M709" s="5" t="str">
        <f>_xlfn.XLOOKUP(Logs_Reseau6[[#This Row],[Id_Client]],Clients_Churn[ID_Client],Clients_Churn[Anciennete_Mois],"Rien à signaler")</f>
        <v>Rien à signaler</v>
      </c>
      <c r="N709" s="5" t="e">
        <f>Logs_Reseau6[[#This Row],[Anciennette]]/24</f>
        <v>#VALUE!</v>
      </c>
      <c r="O709" s="5" t="e">
        <f>Logs_Reseau6[[#This Row],[Duree_Cumulée_Panne]]/1440</f>
        <v>#VALUE!</v>
      </c>
      <c r="P70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10" spans="1:16" hidden="1" x14ac:dyDescent="0.25">
      <c r="A710" s="2">
        <v>45212</v>
      </c>
      <c r="B710" s="1">
        <v>0.20069444444444445</v>
      </c>
      <c r="C710" t="s">
        <v>1430</v>
      </c>
      <c r="D710">
        <v>82</v>
      </c>
      <c r="E710" t="s">
        <v>1300</v>
      </c>
      <c r="F710" t="str">
        <f>_xlfn.XLOOKUP(Logs_Reseau6[[#This Row],[Cell_ID]],Registre[ID_Antenne],Registre[Province_RDC],"Non Trouvée")</f>
        <v>Non Trouvée</v>
      </c>
      <c r="G710" t="str">
        <f>_xlfn.XLOOKUP(Logs_Reseau6[[#This Row],[Province]],Clients_Churn[Province_Client],Clients_Churn[ID_Client],"Aucun")</f>
        <v>Aucun</v>
      </c>
      <c r="H710" t="str">
        <f>_xlfn.XLOOKUP(Logs_Reseau6[[#This Row],[Cell_ID]],Registre[ID_Antenne],Registre[Technologie],"Rien à signaler")</f>
        <v>Rien à signaler</v>
      </c>
      <c r="I710" t="str">
        <f>_xlfn.XLOOKUP(Logs_Reseau6[[#This Row],[Cell_ID]],Registre[ID_Antenne],Registre[Equipementier],"Non Trouvée")</f>
        <v>Non Trouvée</v>
      </c>
      <c r="J710" t="str">
        <f>_xlfn.XLOOKUP(Logs_Reseau6[[#This Row],[Id_Client]],Clients_Churn[ID_Client],Clients_Churn[Type_Forfait],"Pas d'information")</f>
        <v>Pas d'information</v>
      </c>
      <c r="K710" s="5" t="str">
        <f>IF(Logs_Reseau6[[#This Row],[Type_Forfait]]="Pro Monde","B2B","B2C")</f>
        <v>B2C</v>
      </c>
      <c r="L710" s="5" t="str">
        <f>_xlfn.XLOOKUP(Logs_Reseau6[[#This Row],[Id_Client]],Clients_Churn[ID_Client],Clients_Churn[Duree_Cumulee_Panne_Min],"Non Trouvée")</f>
        <v>Non Trouvée</v>
      </c>
      <c r="M710" s="5" t="str">
        <f>_xlfn.XLOOKUP(Logs_Reseau6[[#This Row],[Id_Client]],Clients_Churn[ID_Client],Clients_Churn[Anciennete_Mois],"Rien à signaler")</f>
        <v>Rien à signaler</v>
      </c>
      <c r="N710" s="5" t="e">
        <f>Logs_Reseau6[[#This Row],[Anciennette]]/24</f>
        <v>#VALUE!</v>
      </c>
      <c r="O710" s="5" t="e">
        <f>Logs_Reseau6[[#This Row],[Duree_Cumulée_Panne]]/1440</f>
        <v>#VALUE!</v>
      </c>
      <c r="P71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11" spans="1:16" hidden="1" x14ac:dyDescent="0.25">
      <c r="A711" s="2">
        <v>45219</v>
      </c>
      <c r="B711" s="1">
        <v>0.92013888888888884</v>
      </c>
      <c r="C711" t="s">
        <v>1449</v>
      </c>
      <c r="D711">
        <v>91</v>
      </c>
      <c r="E711" t="s">
        <v>1305</v>
      </c>
      <c r="F711" t="str">
        <f>_xlfn.XLOOKUP(Logs_Reseau6[[#This Row],[Cell_ID]],Registre[ID_Antenne],Registre[Province_RDC],"Non Trouvée")</f>
        <v>Non Trouvée</v>
      </c>
      <c r="G711" t="str">
        <f>_xlfn.XLOOKUP(Logs_Reseau6[[#This Row],[Province]],Clients_Churn[Province_Client],Clients_Churn[ID_Client],"Aucun")</f>
        <v>Aucun</v>
      </c>
      <c r="H711" t="str">
        <f>_xlfn.XLOOKUP(Logs_Reseau6[[#This Row],[Cell_ID]],Registre[ID_Antenne],Registre[Technologie],"Rien à signaler")</f>
        <v>Rien à signaler</v>
      </c>
      <c r="I711" t="str">
        <f>_xlfn.XLOOKUP(Logs_Reseau6[[#This Row],[Cell_ID]],Registre[ID_Antenne],Registre[Equipementier],"Non Trouvée")</f>
        <v>Non Trouvée</v>
      </c>
      <c r="J711" t="str">
        <f>_xlfn.XLOOKUP(Logs_Reseau6[[#This Row],[Id_Client]],Clients_Churn[ID_Client],Clients_Churn[Type_Forfait],"Pas d'information")</f>
        <v>Pas d'information</v>
      </c>
      <c r="K711" s="5" t="str">
        <f>IF(Logs_Reseau6[[#This Row],[Type_Forfait]]="Pro Monde","B2B","B2C")</f>
        <v>B2C</v>
      </c>
      <c r="L711" s="5" t="str">
        <f>_xlfn.XLOOKUP(Logs_Reseau6[[#This Row],[Id_Client]],Clients_Churn[ID_Client],Clients_Churn[Duree_Cumulee_Panne_Min],"Non Trouvée")</f>
        <v>Non Trouvée</v>
      </c>
      <c r="M711" s="5" t="str">
        <f>_xlfn.XLOOKUP(Logs_Reseau6[[#This Row],[Id_Client]],Clients_Churn[ID_Client],Clients_Churn[Anciennete_Mois],"Rien à signaler")</f>
        <v>Rien à signaler</v>
      </c>
      <c r="N711" s="5" t="e">
        <f>Logs_Reseau6[[#This Row],[Anciennette]]/24</f>
        <v>#VALUE!</v>
      </c>
      <c r="O711" s="5" t="e">
        <f>Logs_Reseau6[[#This Row],[Duree_Cumulée_Panne]]/1440</f>
        <v>#VALUE!</v>
      </c>
      <c r="P71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12" spans="1:16" hidden="1" x14ac:dyDescent="0.25">
      <c r="A712" s="2">
        <v>45203</v>
      </c>
      <c r="B712" s="1">
        <v>0.47708333333333336</v>
      </c>
      <c r="C712" t="s">
        <v>1462</v>
      </c>
      <c r="D712">
        <v>93</v>
      </c>
      <c r="E712" t="s">
        <v>1303</v>
      </c>
      <c r="F712" t="str">
        <f>_xlfn.XLOOKUP(Logs_Reseau6[[#This Row],[Cell_ID]],Registre[ID_Antenne],Registre[Province_RDC],"Non Trouvée")</f>
        <v>Non Trouvée</v>
      </c>
      <c r="G712" t="str">
        <f>_xlfn.XLOOKUP(Logs_Reseau6[[#This Row],[Province]],Clients_Churn[Province_Client],Clients_Churn[ID_Client],"Aucun")</f>
        <v>Aucun</v>
      </c>
      <c r="H712" t="str">
        <f>_xlfn.XLOOKUP(Logs_Reseau6[[#This Row],[Cell_ID]],Registre[ID_Antenne],Registre[Technologie],"Rien à signaler")</f>
        <v>Rien à signaler</v>
      </c>
      <c r="I712" t="str">
        <f>_xlfn.XLOOKUP(Logs_Reseau6[[#This Row],[Cell_ID]],Registre[ID_Antenne],Registre[Equipementier],"Non Trouvée")</f>
        <v>Non Trouvée</v>
      </c>
      <c r="J712" t="str">
        <f>_xlfn.XLOOKUP(Logs_Reseau6[[#This Row],[Id_Client]],Clients_Churn[ID_Client],Clients_Churn[Type_Forfait],"Pas d'information")</f>
        <v>Pas d'information</v>
      </c>
      <c r="K712" s="5" t="str">
        <f>IF(Logs_Reseau6[[#This Row],[Type_Forfait]]="Pro Monde","B2B","B2C")</f>
        <v>B2C</v>
      </c>
      <c r="L712" s="5" t="str">
        <f>_xlfn.XLOOKUP(Logs_Reseau6[[#This Row],[Id_Client]],Clients_Churn[ID_Client],Clients_Churn[Duree_Cumulee_Panne_Min],"Non Trouvée")</f>
        <v>Non Trouvée</v>
      </c>
      <c r="M712" s="5" t="str">
        <f>_xlfn.XLOOKUP(Logs_Reseau6[[#This Row],[Id_Client]],Clients_Churn[ID_Client],Clients_Churn[Anciennete_Mois],"Rien à signaler")</f>
        <v>Rien à signaler</v>
      </c>
      <c r="N712" s="5" t="e">
        <f>Logs_Reseau6[[#This Row],[Anciennette]]/24</f>
        <v>#VALUE!</v>
      </c>
      <c r="O712" s="5" t="e">
        <f>Logs_Reseau6[[#This Row],[Duree_Cumulée_Panne]]/1440</f>
        <v>#VALUE!</v>
      </c>
      <c r="P71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13" spans="1:16" hidden="1" x14ac:dyDescent="0.25">
      <c r="A713" s="2">
        <v>45208</v>
      </c>
      <c r="B713" s="1">
        <v>0.71111111111111114</v>
      </c>
      <c r="C713" t="s">
        <v>1462</v>
      </c>
      <c r="D713">
        <v>75</v>
      </c>
      <c r="E713" t="s">
        <v>1303</v>
      </c>
      <c r="F713" t="str">
        <f>_xlfn.XLOOKUP(Logs_Reseau6[[#This Row],[Cell_ID]],Registre[ID_Antenne],Registre[Province_RDC],"Non Trouvée")</f>
        <v>Non Trouvée</v>
      </c>
      <c r="G713" t="str">
        <f>_xlfn.XLOOKUP(Logs_Reseau6[[#This Row],[Province]],Clients_Churn[Province_Client],Clients_Churn[ID_Client],"Aucun")</f>
        <v>Aucun</v>
      </c>
      <c r="H713" t="str">
        <f>_xlfn.XLOOKUP(Logs_Reseau6[[#This Row],[Cell_ID]],Registre[ID_Antenne],Registre[Technologie],"Rien à signaler")</f>
        <v>Rien à signaler</v>
      </c>
      <c r="I713" t="str">
        <f>_xlfn.XLOOKUP(Logs_Reseau6[[#This Row],[Cell_ID]],Registre[ID_Antenne],Registre[Equipementier],"Non Trouvée")</f>
        <v>Non Trouvée</v>
      </c>
      <c r="J713" t="str">
        <f>_xlfn.XLOOKUP(Logs_Reseau6[[#This Row],[Id_Client]],Clients_Churn[ID_Client],Clients_Churn[Type_Forfait],"Pas d'information")</f>
        <v>Pas d'information</v>
      </c>
      <c r="K713" s="5" t="str">
        <f>IF(Logs_Reseau6[[#This Row],[Type_Forfait]]="Pro Monde","B2B","B2C")</f>
        <v>B2C</v>
      </c>
      <c r="L713" s="5" t="str">
        <f>_xlfn.XLOOKUP(Logs_Reseau6[[#This Row],[Id_Client]],Clients_Churn[ID_Client],Clients_Churn[Duree_Cumulee_Panne_Min],"Non Trouvée")</f>
        <v>Non Trouvée</v>
      </c>
      <c r="M713" s="5" t="str">
        <f>_xlfn.XLOOKUP(Logs_Reseau6[[#This Row],[Id_Client]],Clients_Churn[ID_Client],Clients_Churn[Anciennete_Mois],"Rien à signaler")</f>
        <v>Rien à signaler</v>
      </c>
      <c r="N713" s="5" t="e">
        <f>Logs_Reseau6[[#This Row],[Anciennette]]/24</f>
        <v>#VALUE!</v>
      </c>
      <c r="O713" s="5" t="e">
        <f>Logs_Reseau6[[#This Row],[Duree_Cumulée_Panne]]/1440</f>
        <v>#VALUE!</v>
      </c>
      <c r="P71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14" spans="1:16" x14ac:dyDescent="0.25">
      <c r="A714" s="2">
        <v>45204</v>
      </c>
      <c r="B714" s="1">
        <v>0.29722222222222222</v>
      </c>
      <c r="C714" t="s">
        <v>1157</v>
      </c>
      <c r="D714">
        <v>111</v>
      </c>
      <c r="E714" t="s">
        <v>1303</v>
      </c>
      <c r="F714" t="str">
        <f>_xlfn.XLOOKUP(Logs_Reseau6[[#This Row],[Cell_ID]],Registre[ID_Antenne],Registre[Province_RDC],"Non Trouvée")</f>
        <v>Nord-Ubangi</v>
      </c>
      <c r="G714" t="str">
        <f>_xlfn.XLOOKUP(Logs_Reseau6[[#This Row],[Province]],Clients_Churn[Province_Client],Clients_Churn[ID_Client],"Aucun")</f>
        <v>CLI-00112</v>
      </c>
      <c r="H714" t="str">
        <f>_xlfn.XLOOKUP(Logs_Reseau6[[#This Row],[Cell_ID]],Registre[ID_Antenne],Registre[Technologie],"Rien à signaler")</f>
        <v>4G</v>
      </c>
      <c r="I714" t="str">
        <f>_xlfn.XLOOKUP(Logs_Reseau6[[#This Row],[Cell_ID]],Registre[ID_Antenne],Registre[Equipementier],"Non Trouvée")</f>
        <v>Ericsson</v>
      </c>
      <c r="J714" t="str">
        <f>_xlfn.XLOOKUP(Logs_Reseau6[[#This Row],[Id_Client]],Clients_Churn[ID_Client],Clients_Churn[Type_Forfait],"Pas d'information")</f>
        <v>Bloqué 5Go</v>
      </c>
      <c r="K714" s="5" t="str">
        <f>IF(Logs_Reseau6[[#This Row],[Type_Forfait]]="Pro Monde","B2B","B2C")</f>
        <v>B2C</v>
      </c>
      <c r="L714" s="5">
        <f>_xlfn.XLOOKUP(Logs_Reseau6[[#This Row],[Id_Client]],Clients_Churn[ID_Client],Clients_Churn[Duree_Cumulee_Panne_Min],"Non Trouvée")</f>
        <v>52</v>
      </c>
      <c r="M714" s="5">
        <f>_xlfn.XLOOKUP(Logs_Reseau6[[#This Row],[Id_Client]],Clients_Churn[ID_Client],Clients_Churn[Anciennete_Mois],"Rien à signaler")</f>
        <v>98</v>
      </c>
      <c r="N714" s="11">
        <f>Logs_Reseau6[[#This Row],[Anciennette]]/24</f>
        <v>4.083333333333333</v>
      </c>
      <c r="O714" s="1">
        <f>Logs_Reseau6[[#This Row],[Duree_Cumulée_Panne]]/1440</f>
        <v>3.6111111111111108E-2</v>
      </c>
      <c r="P71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15" spans="1:16" x14ac:dyDescent="0.25">
      <c r="A715" s="2">
        <v>45214</v>
      </c>
      <c r="B715" s="1">
        <v>1.8749999999999999E-2</v>
      </c>
      <c r="C715" t="s">
        <v>1157</v>
      </c>
      <c r="D715">
        <v>115</v>
      </c>
      <c r="E715" t="s">
        <v>1303</v>
      </c>
      <c r="F715" t="str">
        <f>_xlfn.XLOOKUP(Logs_Reseau6[[#This Row],[Cell_ID]],Registre[ID_Antenne],Registre[Province_RDC],"Non Trouvée")</f>
        <v>Nord-Ubangi</v>
      </c>
      <c r="G715" t="str">
        <f>_xlfn.XLOOKUP(Logs_Reseau6[[#This Row],[Province]],Clients_Churn[Province_Client],Clients_Churn[ID_Client],"Aucun")</f>
        <v>CLI-00112</v>
      </c>
      <c r="H715" t="str">
        <f>_xlfn.XLOOKUP(Logs_Reseau6[[#This Row],[Cell_ID]],Registre[ID_Antenne],Registre[Technologie],"Rien à signaler")</f>
        <v>4G</v>
      </c>
      <c r="I715" t="str">
        <f>_xlfn.XLOOKUP(Logs_Reseau6[[#This Row],[Cell_ID]],Registre[ID_Antenne],Registre[Equipementier],"Non Trouvée")</f>
        <v>Ericsson</v>
      </c>
      <c r="J715" t="str">
        <f>_xlfn.XLOOKUP(Logs_Reseau6[[#This Row],[Id_Client]],Clients_Churn[ID_Client],Clients_Churn[Type_Forfait],"Pas d'information")</f>
        <v>Bloqué 5Go</v>
      </c>
      <c r="K715" s="5" t="str">
        <f>IF(Logs_Reseau6[[#This Row],[Type_Forfait]]="Pro Monde","B2B","B2C")</f>
        <v>B2C</v>
      </c>
      <c r="L715" s="5">
        <f>_xlfn.XLOOKUP(Logs_Reseau6[[#This Row],[Id_Client]],Clients_Churn[ID_Client],Clients_Churn[Duree_Cumulee_Panne_Min],"Non Trouvée")</f>
        <v>52</v>
      </c>
      <c r="M715" s="5">
        <f>_xlfn.XLOOKUP(Logs_Reseau6[[#This Row],[Id_Client]],Clients_Churn[ID_Client],Clients_Churn[Anciennete_Mois],"Rien à signaler")</f>
        <v>98</v>
      </c>
      <c r="N715" s="11">
        <f>Logs_Reseau6[[#This Row],[Anciennette]]/24</f>
        <v>4.083333333333333</v>
      </c>
      <c r="O715" s="1">
        <f>Logs_Reseau6[[#This Row],[Duree_Cumulée_Panne]]/1440</f>
        <v>3.6111111111111108E-2</v>
      </c>
      <c r="P71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16" spans="1:16" x14ac:dyDescent="0.25">
      <c r="A716" s="2">
        <v>45227</v>
      </c>
      <c r="B716" s="4">
        <v>0.58750000000000002</v>
      </c>
      <c r="C716" t="s">
        <v>1157</v>
      </c>
      <c r="D716">
        <v>50</v>
      </c>
      <c r="E716" t="s">
        <v>1303</v>
      </c>
      <c r="F716" t="str">
        <f>_xlfn.XLOOKUP(Logs_Reseau6[[#This Row],[Cell_ID]],Registre[ID_Antenne],Registre[Province_RDC],"Non Trouvée")</f>
        <v>Nord-Ubangi</v>
      </c>
      <c r="G716" t="str">
        <f>_xlfn.XLOOKUP(Logs_Reseau6[[#This Row],[Province]],Clients_Churn[Province_Client],Clients_Churn[ID_Client],"Aucun")</f>
        <v>CLI-00112</v>
      </c>
      <c r="H716" t="str">
        <f>_xlfn.XLOOKUP(Logs_Reseau6[[#This Row],[Cell_ID]],Registre[ID_Antenne],Registre[Technologie],"Rien à signaler")</f>
        <v>4G</v>
      </c>
      <c r="I716" t="str">
        <f>_xlfn.XLOOKUP(Logs_Reseau6[[#This Row],[Cell_ID]],Registre[ID_Antenne],Registre[Equipementier],"Non Trouvée")</f>
        <v>Ericsson</v>
      </c>
      <c r="J716" t="str">
        <f>_xlfn.XLOOKUP(Logs_Reseau6[[#This Row],[Id_Client]],Clients_Churn[ID_Client],Clients_Churn[Type_Forfait],"Pas d'information")</f>
        <v>Bloqué 5Go</v>
      </c>
      <c r="K716" s="5" t="str">
        <f>IF(Logs_Reseau6[[#This Row],[Type_Forfait]]="Pro Monde","B2B","B2C")</f>
        <v>B2C</v>
      </c>
      <c r="L716" s="5">
        <f>_xlfn.XLOOKUP(Logs_Reseau6[[#This Row],[Id_Client]],Clients_Churn[ID_Client],Clients_Churn[Duree_Cumulee_Panne_Min],"Non Trouvée")</f>
        <v>52</v>
      </c>
      <c r="M716" s="5">
        <f>_xlfn.XLOOKUP(Logs_Reseau6[[#This Row],[Id_Client]],Clients_Churn[ID_Client],Clients_Churn[Anciennete_Mois],"Rien à signaler")</f>
        <v>98</v>
      </c>
      <c r="N716" s="11">
        <f>Logs_Reseau6[[#This Row],[Anciennette]]/24</f>
        <v>4.083333333333333</v>
      </c>
      <c r="O716" s="1">
        <f>Logs_Reseau6[[#This Row],[Duree_Cumulée_Panne]]/1440</f>
        <v>3.6111111111111108E-2</v>
      </c>
      <c r="P71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17" spans="1:16" x14ac:dyDescent="0.25">
      <c r="A717" s="2">
        <v>45229</v>
      </c>
      <c r="B717" s="1">
        <v>0.72291666666666665</v>
      </c>
      <c r="C717" t="s">
        <v>1157</v>
      </c>
      <c r="D717">
        <v>76</v>
      </c>
      <c r="E717" t="s">
        <v>1303</v>
      </c>
      <c r="F717" t="str">
        <f>_xlfn.XLOOKUP(Logs_Reseau6[[#This Row],[Cell_ID]],Registre[ID_Antenne],Registre[Province_RDC],"Non Trouvée")</f>
        <v>Nord-Ubangi</v>
      </c>
      <c r="G717" t="str">
        <f>_xlfn.XLOOKUP(Logs_Reseau6[[#This Row],[Province]],Clients_Churn[Province_Client],Clients_Churn[ID_Client],"Aucun")</f>
        <v>CLI-00112</v>
      </c>
      <c r="H717" t="str">
        <f>_xlfn.XLOOKUP(Logs_Reseau6[[#This Row],[Cell_ID]],Registre[ID_Antenne],Registre[Technologie],"Rien à signaler")</f>
        <v>4G</v>
      </c>
      <c r="I717" t="str">
        <f>_xlfn.XLOOKUP(Logs_Reseau6[[#This Row],[Cell_ID]],Registre[ID_Antenne],Registre[Equipementier],"Non Trouvée")</f>
        <v>Ericsson</v>
      </c>
      <c r="J717" t="str">
        <f>_xlfn.XLOOKUP(Logs_Reseau6[[#This Row],[Id_Client]],Clients_Churn[ID_Client],Clients_Churn[Type_Forfait],"Pas d'information")</f>
        <v>Bloqué 5Go</v>
      </c>
      <c r="K717" s="5" t="str">
        <f>IF(Logs_Reseau6[[#This Row],[Type_Forfait]]="Pro Monde","B2B","B2C")</f>
        <v>B2C</v>
      </c>
      <c r="L717" s="5">
        <f>_xlfn.XLOOKUP(Logs_Reseau6[[#This Row],[Id_Client]],Clients_Churn[ID_Client],Clients_Churn[Duree_Cumulee_Panne_Min],"Non Trouvée")</f>
        <v>52</v>
      </c>
      <c r="M717" s="5">
        <f>_xlfn.XLOOKUP(Logs_Reseau6[[#This Row],[Id_Client]],Clients_Churn[ID_Client],Clients_Churn[Anciennete_Mois],"Rien à signaler")</f>
        <v>98</v>
      </c>
      <c r="N717" s="11">
        <f>Logs_Reseau6[[#This Row],[Anciennette]]/24</f>
        <v>4.083333333333333</v>
      </c>
      <c r="O717" s="1">
        <f>Logs_Reseau6[[#This Row],[Duree_Cumulée_Panne]]/1440</f>
        <v>3.6111111111111108E-2</v>
      </c>
      <c r="P71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18" spans="1:16" x14ac:dyDescent="0.25">
      <c r="A718" s="2">
        <v>45227</v>
      </c>
      <c r="B718" s="1">
        <v>0.29722222222222222</v>
      </c>
      <c r="C718" t="s">
        <v>968</v>
      </c>
      <c r="D718">
        <v>92</v>
      </c>
      <c r="E718" t="s">
        <v>1305</v>
      </c>
      <c r="F718" t="str">
        <f>_xlfn.XLOOKUP(Logs_Reseau6[[#This Row],[Cell_ID]],Registre[ID_Antenne],Registre[Province_RDC],"Non Trouvée")</f>
        <v>Haut-Lomami</v>
      </c>
      <c r="G718" t="str">
        <f>_xlfn.XLOOKUP(Logs_Reseau6[[#This Row],[Province]],Clients_Churn[Province_Client],Clients_Churn[ID_Client],"Aucun")</f>
        <v>CLI-00022</v>
      </c>
      <c r="H718" t="str">
        <f>_xlfn.XLOOKUP(Logs_Reseau6[[#This Row],[Cell_ID]],Registre[ID_Antenne],Registre[Technologie],"Rien à signaler")</f>
        <v>3G</v>
      </c>
      <c r="I718" t="str">
        <f>_xlfn.XLOOKUP(Logs_Reseau6[[#This Row],[Cell_ID]],Registre[ID_Antenne],Registre[Equipementier],"Non Trouvée")</f>
        <v>Nokia</v>
      </c>
      <c r="J718" t="str">
        <f>_xlfn.XLOOKUP(Logs_Reseau6[[#This Row],[Id_Client]],Clients_Churn[ID_Client],Clients_Churn[Type_Forfait],"Pas d'information")</f>
        <v>Premium 5G 150Go</v>
      </c>
      <c r="K718" s="5" t="str">
        <f>IF(Logs_Reseau6[[#This Row],[Type_Forfait]]="Pro Monde","B2B","B2C")</f>
        <v>B2C</v>
      </c>
      <c r="L718" s="5">
        <f>_xlfn.XLOOKUP(Logs_Reseau6[[#This Row],[Id_Client]],Clients_Churn[ID_Client],Clients_Churn[Duree_Cumulee_Panne_Min],"Non Trouvée")</f>
        <v>488</v>
      </c>
      <c r="M718" s="5">
        <f>_xlfn.XLOOKUP(Logs_Reseau6[[#This Row],[Id_Client]],Clients_Churn[ID_Client],Clients_Churn[Anciennete_Mois],"Rien à signaler")</f>
        <v>77</v>
      </c>
      <c r="N718" s="11">
        <f>Logs_Reseau6[[#This Row],[Anciennette]]/24</f>
        <v>3.2083333333333335</v>
      </c>
      <c r="O718" s="1">
        <f>Logs_Reseau6[[#This Row],[Duree_Cumulée_Panne]]/1440</f>
        <v>0.33888888888888891</v>
      </c>
      <c r="P71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19" spans="1:16" hidden="1" x14ac:dyDescent="0.25">
      <c r="A719" s="2">
        <v>45224</v>
      </c>
      <c r="B719" s="1">
        <v>0.83194444444444449</v>
      </c>
      <c r="C719" t="s">
        <v>1488</v>
      </c>
      <c r="D719">
        <v>100</v>
      </c>
      <c r="E719" t="s">
        <v>1300</v>
      </c>
      <c r="F719" t="str">
        <f>_xlfn.XLOOKUP(Logs_Reseau6[[#This Row],[Cell_ID]],Registre[ID_Antenne],Registre[Province_RDC],"Non Trouvée")</f>
        <v>Non Trouvée</v>
      </c>
      <c r="G719" t="str">
        <f>_xlfn.XLOOKUP(Logs_Reseau6[[#This Row],[Province]],Clients_Churn[Province_Client],Clients_Churn[ID_Client],"Aucun")</f>
        <v>Aucun</v>
      </c>
      <c r="H719" t="str">
        <f>_xlfn.XLOOKUP(Logs_Reseau6[[#This Row],[Cell_ID]],Registre[ID_Antenne],Registre[Technologie],"Rien à signaler")</f>
        <v>Rien à signaler</v>
      </c>
      <c r="I719" t="str">
        <f>_xlfn.XLOOKUP(Logs_Reseau6[[#This Row],[Cell_ID]],Registre[ID_Antenne],Registre[Equipementier],"Non Trouvée")</f>
        <v>Non Trouvée</v>
      </c>
      <c r="J719" t="str">
        <f>_xlfn.XLOOKUP(Logs_Reseau6[[#This Row],[Id_Client]],Clients_Churn[ID_Client],Clients_Churn[Type_Forfait],"Pas d'information")</f>
        <v>Pas d'information</v>
      </c>
      <c r="K719" s="5" t="str">
        <f>IF(Logs_Reseau6[[#This Row],[Type_Forfait]]="Pro Monde","B2B","B2C")</f>
        <v>B2C</v>
      </c>
      <c r="L719" s="5" t="str">
        <f>_xlfn.XLOOKUP(Logs_Reseau6[[#This Row],[Id_Client]],Clients_Churn[ID_Client],Clients_Churn[Duree_Cumulee_Panne_Min],"Non Trouvée")</f>
        <v>Non Trouvée</v>
      </c>
      <c r="M719" s="5" t="str">
        <f>_xlfn.XLOOKUP(Logs_Reseau6[[#This Row],[Id_Client]],Clients_Churn[ID_Client],Clients_Churn[Anciennete_Mois],"Rien à signaler")</f>
        <v>Rien à signaler</v>
      </c>
      <c r="N719" s="5" t="e">
        <f>Logs_Reseau6[[#This Row],[Anciennette]]/24</f>
        <v>#VALUE!</v>
      </c>
      <c r="O719" s="5" t="e">
        <f>Logs_Reseau6[[#This Row],[Duree_Cumulée_Panne]]/1440</f>
        <v>#VALUE!</v>
      </c>
      <c r="P71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20" spans="1:16" x14ac:dyDescent="0.25">
      <c r="A720" s="2">
        <v>45220</v>
      </c>
      <c r="B720" s="1">
        <v>0.15486111111111112</v>
      </c>
      <c r="C720" t="s">
        <v>1099</v>
      </c>
      <c r="D720">
        <v>53</v>
      </c>
      <c r="E720" t="s">
        <v>1300</v>
      </c>
      <c r="F720" t="str">
        <f>_xlfn.XLOOKUP(Logs_Reseau6[[#This Row],[Cell_ID]],Registre[ID_Antenne],Registre[Province_RDC],"Non Trouvée")</f>
        <v>Kongo-Central</v>
      </c>
      <c r="G720" t="str">
        <f>_xlfn.XLOOKUP(Logs_Reseau6[[#This Row],[Province]],Clients_Churn[Province_Client],Clients_Churn[ID_Client],"Aucun")</f>
        <v>CLI-00012</v>
      </c>
      <c r="H720" t="str">
        <f>_xlfn.XLOOKUP(Logs_Reseau6[[#This Row],[Cell_ID]],Registre[ID_Antenne],Registre[Technologie],"Rien à signaler")</f>
        <v>5G</v>
      </c>
      <c r="I720" t="str">
        <f>_xlfn.XLOOKUP(Logs_Reseau6[[#This Row],[Cell_ID]],Registre[ID_Antenne],Registre[Equipementier],"Non Trouvée")</f>
        <v>Nokia</v>
      </c>
      <c r="J720" t="str">
        <f>_xlfn.XLOOKUP(Logs_Reseau6[[#This Row],[Id_Client]],Clients_Churn[ID_Client],Clients_Churn[Type_Forfait],"Pas d'information")</f>
        <v>Illimité 50Go</v>
      </c>
      <c r="K720" s="5" t="str">
        <f>IF(Logs_Reseau6[[#This Row],[Type_Forfait]]="Pro Monde","B2B","B2C")</f>
        <v>B2C</v>
      </c>
      <c r="L720" s="5">
        <f>_xlfn.XLOOKUP(Logs_Reseau6[[#This Row],[Id_Client]],Clients_Churn[ID_Client],Clients_Churn[Duree_Cumulee_Panne_Min],"Non Trouvée")</f>
        <v>172</v>
      </c>
      <c r="M720" s="5">
        <f>_xlfn.XLOOKUP(Logs_Reseau6[[#This Row],[Id_Client]],Clients_Churn[ID_Client],Clients_Churn[Anciennete_Mois],"Rien à signaler")</f>
        <v>105</v>
      </c>
      <c r="N720" s="11">
        <f>Logs_Reseau6[[#This Row],[Anciennette]]/24</f>
        <v>4.375</v>
      </c>
      <c r="O720" s="1">
        <f>Logs_Reseau6[[#This Row],[Duree_Cumulée_Panne]]/1440</f>
        <v>0.11944444444444445</v>
      </c>
      <c r="P72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21" spans="1:16" x14ac:dyDescent="0.25">
      <c r="A721" s="2">
        <v>45230</v>
      </c>
      <c r="B721" s="1">
        <v>0.3034722222222222</v>
      </c>
      <c r="C721" t="s">
        <v>1099</v>
      </c>
      <c r="D721">
        <v>83</v>
      </c>
      <c r="E721" t="s">
        <v>1305</v>
      </c>
      <c r="F721" t="str">
        <f>_xlfn.XLOOKUP(Logs_Reseau6[[#This Row],[Cell_ID]],Registre[ID_Antenne],Registre[Province_RDC],"Non Trouvée")</f>
        <v>Kongo-Central</v>
      </c>
      <c r="G721" t="str">
        <f>_xlfn.XLOOKUP(Logs_Reseau6[[#This Row],[Province]],Clients_Churn[Province_Client],Clients_Churn[ID_Client],"Aucun")</f>
        <v>CLI-00012</v>
      </c>
      <c r="H721" t="str">
        <f>_xlfn.XLOOKUP(Logs_Reseau6[[#This Row],[Cell_ID]],Registre[ID_Antenne],Registre[Technologie],"Rien à signaler")</f>
        <v>5G</v>
      </c>
      <c r="I721" t="str">
        <f>_xlfn.XLOOKUP(Logs_Reseau6[[#This Row],[Cell_ID]],Registre[ID_Antenne],Registre[Equipementier],"Non Trouvée")</f>
        <v>Nokia</v>
      </c>
      <c r="J721" t="str">
        <f>_xlfn.XLOOKUP(Logs_Reseau6[[#This Row],[Id_Client]],Clients_Churn[ID_Client],Clients_Churn[Type_Forfait],"Pas d'information")</f>
        <v>Illimité 50Go</v>
      </c>
      <c r="K721" s="5" t="str">
        <f>IF(Logs_Reseau6[[#This Row],[Type_Forfait]]="Pro Monde","B2B","B2C")</f>
        <v>B2C</v>
      </c>
      <c r="L721" s="5">
        <f>_xlfn.XLOOKUP(Logs_Reseau6[[#This Row],[Id_Client]],Clients_Churn[ID_Client],Clients_Churn[Duree_Cumulee_Panne_Min],"Non Trouvée")</f>
        <v>172</v>
      </c>
      <c r="M721" s="5">
        <f>_xlfn.XLOOKUP(Logs_Reseau6[[#This Row],[Id_Client]],Clients_Churn[ID_Client],Clients_Churn[Anciennete_Mois],"Rien à signaler")</f>
        <v>105</v>
      </c>
      <c r="N721" s="11">
        <f>Logs_Reseau6[[#This Row],[Anciennette]]/24</f>
        <v>4.375</v>
      </c>
      <c r="O721" s="1">
        <f>Logs_Reseau6[[#This Row],[Duree_Cumulée_Panne]]/1440</f>
        <v>0.11944444444444445</v>
      </c>
      <c r="P72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22" spans="1:16" hidden="1" x14ac:dyDescent="0.25">
      <c r="A722" s="2">
        <v>45226</v>
      </c>
      <c r="B722" s="1">
        <v>0.88541666666666663</v>
      </c>
      <c r="C722" t="s">
        <v>1486</v>
      </c>
      <c r="D722">
        <v>96</v>
      </c>
      <c r="E722" t="s">
        <v>1305</v>
      </c>
      <c r="F722" t="str">
        <f>_xlfn.XLOOKUP(Logs_Reseau6[[#This Row],[Cell_ID]],Registre[ID_Antenne],Registre[Province_RDC],"Non Trouvée")</f>
        <v>Non Trouvée</v>
      </c>
      <c r="G722" t="str">
        <f>_xlfn.XLOOKUP(Logs_Reseau6[[#This Row],[Province]],Clients_Churn[Province_Client],Clients_Churn[ID_Client],"Aucun")</f>
        <v>Aucun</v>
      </c>
      <c r="H722" t="str">
        <f>_xlfn.XLOOKUP(Logs_Reseau6[[#This Row],[Cell_ID]],Registre[ID_Antenne],Registre[Technologie],"Rien à signaler")</f>
        <v>Rien à signaler</v>
      </c>
      <c r="I722" t="str">
        <f>_xlfn.XLOOKUP(Logs_Reseau6[[#This Row],[Cell_ID]],Registre[ID_Antenne],Registre[Equipementier],"Non Trouvée")</f>
        <v>Non Trouvée</v>
      </c>
      <c r="J722" t="str">
        <f>_xlfn.XLOOKUP(Logs_Reseau6[[#This Row],[Id_Client]],Clients_Churn[ID_Client],Clients_Churn[Type_Forfait],"Pas d'information")</f>
        <v>Pas d'information</v>
      </c>
      <c r="K722" s="5" t="str">
        <f>IF(Logs_Reseau6[[#This Row],[Type_Forfait]]="Pro Monde","B2B","B2C")</f>
        <v>B2C</v>
      </c>
      <c r="L722" s="5" t="str">
        <f>_xlfn.XLOOKUP(Logs_Reseau6[[#This Row],[Id_Client]],Clients_Churn[ID_Client],Clients_Churn[Duree_Cumulee_Panne_Min],"Non Trouvée")</f>
        <v>Non Trouvée</v>
      </c>
      <c r="M722" s="5" t="str">
        <f>_xlfn.XLOOKUP(Logs_Reseau6[[#This Row],[Id_Client]],Clients_Churn[ID_Client],Clients_Churn[Anciennete_Mois],"Rien à signaler")</f>
        <v>Rien à signaler</v>
      </c>
      <c r="N722" s="5" t="e">
        <f>Logs_Reseau6[[#This Row],[Anciennette]]/24</f>
        <v>#VALUE!</v>
      </c>
      <c r="O722" s="5" t="e">
        <f>Logs_Reseau6[[#This Row],[Duree_Cumulée_Panne]]/1440</f>
        <v>#VALUE!</v>
      </c>
      <c r="P72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23" spans="1:16" x14ac:dyDescent="0.25">
      <c r="A723" s="2">
        <v>45202</v>
      </c>
      <c r="B723" s="1">
        <v>0.52916666666666667</v>
      </c>
      <c r="C723" t="s">
        <v>836</v>
      </c>
      <c r="D723">
        <v>109</v>
      </c>
      <c r="E723" t="s">
        <v>1303</v>
      </c>
      <c r="F723" t="str">
        <f>_xlfn.XLOOKUP(Logs_Reseau6[[#This Row],[Cell_ID]],Registre[ID_Antenne],Registre[Province_RDC],"Non Trouvée")</f>
        <v>Haut-Uele</v>
      </c>
      <c r="G723" t="str">
        <f>_xlfn.XLOOKUP(Logs_Reseau6[[#This Row],[Province]],Clients_Churn[Province_Client],Clients_Churn[ID_Client],"Aucun")</f>
        <v>CLI-00055</v>
      </c>
      <c r="H723" t="str">
        <f>_xlfn.XLOOKUP(Logs_Reseau6[[#This Row],[Cell_ID]],Registre[ID_Antenne],Registre[Technologie],"Rien à signaler")</f>
        <v>5G</v>
      </c>
      <c r="I723" t="str">
        <f>_xlfn.XLOOKUP(Logs_Reseau6[[#This Row],[Cell_ID]],Registre[ID_Antenne],Registre[Equipementier],"Non Trouvée")</f>
        <v>Huawei</v>
      </c>
      <c r="J723" t="str">
        <f>_xlfn.XLOOKUP(Logs_Reseau6[[#This Row],[Id_Client]],Clients_Churn[ID_Client],Clients_Churn[Type_Forfait],"Pas d'information")</f>
        <v>Pro Monde</v>
      </c>
      <c r="K723" s="5" t="str">
        <f>IF(Logs_Reseau6[[#This Row],[Type_Forfait]]="Pro Monde","B2B","B2C")</f>
        <v>B2B</v>
      </c>
      <c r="L723" s="5">
        <f>_xlfn.XLOOKUP(Logs_Reseau6[[#This Row],[Id_Client]],Clients_Churn[ID_Client],Clients_Churn[Duree_Cumulee_Panne_Min],"Non Trouvée")</f>
        <v>206</v>
      </c>
      <c r="M723" s="5">
        <f>_xlfn.XLOOKUP(Logs_Reseau6[[#This Row],[Id_Client]],Clients_Churn[ID_Client],Clients_Churn[Anciennete_Mois],"Rien à signaler")</f>
        <v>6</v>
      </c>
      <c r="N723" s="11">
        <f>Logs_Reseau6[[#This Row],[Anciennette]]/24</f>
        <v>0.25</v>
      </c>
      <c r="O723" s="1">
        <f>Logs_Reseau6[[#This Row],[Duree_Cumulée_Panne]]/1440</f>
        <v>0.14305555555555555</v>
      </c>
      <c r="P72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24" spans="1:16" x14ac:dyDescent="0.25">
      <c r="A724" s="2">
        <v>45211</v>
      </c>
      <c r="B724" s="1">
        <v>0.88888888888888884</v>
      </c>
      <c r="C724" t="s">
        <v>836</v>
      </c>
      <c r="D724">
        <v>87</v>
      </c>
      <c r="E724" t="s">
        <v>1303</v>
      </c>
      <c r="F724" t="str">
        <f>_xlfn.XLOOKUP(Logs_Reseau6[[#This Row],[Cell_ID]],Registre[ID_Antenne],Registre[Province_RDC],"Non Trouvée")</f>
        <v>Haut-Uele</v>
      </c>
      <c r="G724" t="str">
        <f>_xlfn.XLOOKUP(Logs_Reseau6[[#This Row],[Province]],Clients_Churn[Province_Client],Clients_Churn[ID_Client],"Aucun")</f>
        <v>CLI-00055</v>
      </c>
      <c r="H724" t="str">
        <f>_xlfn.XLOOKUP(Logs_Reseau6[[#This Row],[Cell_ID]],Registre[ID_Antenne],Registre[Technologie],"Rien à signaler")</f>
        <v>5G</v>
      </c>
      <c r="I724" t="str">
        <f>_xlfn.XLOOKUP(Logs_Reseau6[[#This Row],[Cell_ID]],Registre[ID_Antenne],Registre[Equipementier],"Non Trouvée")</f>
        <v>Huawei</v>
      </c>
      <c r="J724" t="str">
        <f>_xlfn.XLOOKUP(Logs_Reseau6[[#This Row],[Id_Client]],Clients_Churn[ID_Client],Clients_Churn[Type_Forfait],"Pas d'information")</f>
        <v>Pro Monde</v>
      </c>
      <c r="K724" s="5" t="str">
        <f>IF(Logs_Reseau6[[#This Row],[Type_Forfait]]="Pro Monde","B2B","B2C")</f>
        <v>B2B</v>
      </c>
      <c r="L724" s="5">
        <f>_xlfn.XLOOKUP(Logs_Reseau6[[#This Row],[Id_Client]],Clients_Churn[ID_Client],Clients_Churn[Duree_Cumulee_Panne_Min],"Non Trouvée")</f>
        <v>206</v>
      </c>
      <c r="M724" s="5">
        <f>_xlfn.XLOOKUP(Logs_Reseau6[[#This Row],[Id_Client]],Clients_Churn[ID_Client],Clients_Churn[Anciennete_Mois],"Rien à signaler")</f>
        <v>6</v>
      </c>
      <c r="N724" s="11">
        <f>Logs_Reseau6[[#This Row],[Anciennette]]/24</f>
        <v>0.25</v>
      </c>
      <c r="O724" s="1">
        <f>Logs_Reseau6[[#This Row],[Duree_Cumulée_Panne]]/1440</f>
        <v>0.14305555555555555</v>
      </c>
      <c r="P72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25" spans="1:16" x14ac:dyDescent="0.25">
      <c r="A725" s="2">
        <v>45219</v>
      </c>
      <c r="B725" s="1">
        <v>0.52708333333333335</v>
      </c>
      <c r="C725" t="s">
        <v>836</v>
      </c>
      <c r="D725">
        <v>95</v>
      </c>
      <c r="E725" t="s">
        <v>1300</v>
      </c>
      <c r="F725" t="str">
        <f>_xlfn.XLOOKUP(Logs_Reseau6[[#This Row],[Cell_ID]],Registre[ID_Antenne],Registre[Province_RDC],"Non Trouvée")</f>
        <v>Haut-Uele</v>
      </c>
      <c r="G725" t="str">
        <f>_xlfn.XLOOKUP(Logs_Reseau6[[#This Row],[Province]],Clients_Churn[Province_Client],Clients_Churn[ID_Client],"Aucun")</f>
        <v>CLI-00055</v>
      </c>
      <c r="H725" t="str">
        <f>_xlfn.XLOOKUP(Logs_Reseau6[[#This Row],[Cell_ID]],Registre[ID_Antenne],Registre[Technologie],"Rien à signaler")</f>
        <v>5G</v>
      </c>
      <c r="I725" t="str">
        <f>_xlfn.XLOOKUP(Logs_Reseau6[[#This Row],[Cell_ID]],Registre[ID_Antenne],Registre[Equipementier],"Non Trouvée")</f>
        <v>Huawei</v>
      </c>
      <c r="J725" t="str">
        <f>_xlfn.XLOOKUP(Logs_Reseau6[[#This Row],[Id_Client]],Clients_Churn[ID_Client],Clients_Churn[Type_Forfait],"Pas d'information")</f>
        <v>Pro Monde</v>
      </c>
      <c r="K725" s="5" t="str">
        <f>IF(Logs_Reseau6[[#This Row],[Type_Forfait]]="Pro Monde","B2B","B2C")</f>
        <v>B2B</v>
      </c>
      <c r="L725" s="5">
        <f>_xlfn.XLOOKUP(Logs_Reseau6[[#This Row],[Id_Client]],Clients_Churn[ID_Client],Clients_Churn[Duree_Cumulee_Panne_Min],"Non Trouvée")</f>
        <v>206</v>
      </c>
      <c r="M725" s="5">
        <f>_xlfn.XLOOKUP(Logs_Reseau6[[#This Row],[Id_Client]],Clients_Churn[ID_Client],Clients_Churn[Anciennete_Mois],"Rien à signaler")</f>
        <v>6</v>
      </c>
      <c r="N725" s="11">
        <f>Logs_Reseau6[[#This Row],[Anciennette]]/24</f>
        <v>0.25</v>
      </c>
      <c r="O725" s="1">
        <f>Logs_Reseau6[[#This Row],[Duree_Cumulée_Panne]]/1440</f>
        <v>0.14305555555555555</v>
      </c>
      <c r="P72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26" spans="1:16" x14ac:dyDescent="0.25">
      <c r="A726" s="2">
        <v>45226</v>
      </c>
      <c r="B726" s="1">
        <v>0.99791666666666667</v>
      </c>
      <c r="C726" t="s">
        <v>1090</v>
      </c>
      <c r="D726">
        <v>53</v>
      </c>
      <c r="E726" t="s">
        <v>1305</v>
      </c>
      <c r="F726" t="str">
        <f>_xlfn.XLOOKUP(Logs_Reseau6[[#This Row],[Cell_ID]],Registre[ID_Antenne],Registre[Province_RDC],"Non Trouvée")</f>
        <v>Nord-Ubangi</v>
      </c>
      <c r="G726" t="str">
        <f>_xlfn.XLOOKUP(Logs_Reseau6[[#This Row],[Province]],Clients_Churn[Province_Client],Clients_Churn[ID_Client],"Aucun")</f>
        <v>CLI-00112</v>
      </c>
      <c r="H726" t="str">
        <f>_xlfn.XLOOKUP(Logs_Reseau6[[#This Row],[Cell_ID]],Registre[ID_Antenne],Registre[Technologie],"Rien à signaler")</f>
        <v>4G</v>
      </c>
      <c r="I726" t="str">
        <f>_xlfn.XLOOKUP(Logs_Reseau6[[#This Row],[Cell_ID]],Registre[ID_Antenne],Registre[Equipementier],"Non Trouvée")</f>
        <v>Ericsson</v>
      </c>
      <c r="J726" t="str">
        <f>_xlfn.XLOOKUP(Logs_Reseau6[[#This Row],[Id_Client]],Clients_Churn[ID_Client],Clients_Churn[Type_Forfait],"Pas d'information")</f>
        <v>Bloqué 5Go</v>
      </c>
      <c r="K726" s="5" t="str">
        <f>IF(Logs_Reseau6[[#This Row],[Type_Forfait]]="Pro Monde","B2B","B2C")</f>
        <v>B2C</v>
      </c>
      <c r="L726" s="5">
        <f>_xlfn.XLOOKUP(Logs_Reseau6[[#This Row],[Id_Client]],Clients_Churn[ID_Client],Clients_Churn[Duree_Cumulee_Panne_Min],"Non Trouvée")</f>
        <v>52</v>
      </c>
      <c r="M726" s="5">
        <f>_xlfn.XLOOKUP(Logs_Reseau6[[#This Row],[Id_Client]],Clients_Churn[ID_Client],Clients_Churn[Anciennete_Mois],"Rien à signaler")</f>
        <v>98</v>
      </c>
      <c r="N726" s="11">
        <f>Logs_Reseau6[[#This Row],[Anciennette]]/24</f>
        <v>4.083333333333333</v>
      </c>
      <c r="O726" s="1">
        <f>Logs_Reseau6[[#This Row],[Duree_Cumulée_Panne]]/1440</f>
        <v>3.6111111111111108E-2</v>
      </c>
      <c r="P72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27" spans="1:16" hidden="1" x14ac:dyDescent="0.25">
      <c r="A727" s="2">
        <v>45207</v>
      </c>
      <c r="B727" s="1">
        <v>0.19930555555555557</v>
      </c>
      <c r="C727" t="s">
        <v>1597</v>
      </c>
      <c r="D727">
        <v>28</v>
      </c>
      <c r="E727" t="s">
        <v>1303</v>
      </c>
      <c r="F727" t="str">
        <f>_xlfn.XLOOKUP(Logs_Reseau6[[#This Row],[Cell_ID]],Registre[ID_Antenne],Registre[Province_RDC],"Non Trouvée")</f>
        <v>Non Trouvée</v>
      </c>
      <c r="G727" t="str">
        <f>_xlfn.XLOOKUP(Logs_Reseau6[[#This Row],[Province]],Clients_Churn[Province_Client],Clients_Churn[ID_Client],"Aucun")</f>
        <v>Aucun</v>
      </c>
      <c r="H727" t="str">
        <f>_xlfn.XLOOKUP(Logs_Reseau6[[#This Row],[Cell_ID]],Registre[ID_Antenne],Registre[Technologie],"Rien à signaler")</f>
        <v>Rien à signaler</v>
      </c>
      <c r="I727" t="str">
        <f>_xlfn.XLOOKUP(Logs_Reseau6[[#This Row],[Cell_ID]],Registre[ID_Antenne],Registre[Equipementier],"Non Trouvée")</f>
        <v>Non Trouvée</v>
      </c>
      <c r="J727" t="str">
        <f>_xlfn.XLOOKUP(Logs_Reseau6[[#This Row],[Id_Client]],Clients_Churn[ID_Client],Clients_Churn[Type_Forfait],"Pas d'information")</f>
        <v>Pas d'information</v>
      </c>
      <c r="K727" s="5" t="str">
        <f>IF(Logs_Reseau6[[#This Row],[Type_Forfait]]="Pro Monde","B2B","B2C")</f>
        <v>B2C</v>
      </c>
      <c r="L727" s="5" t="str">
        <f>_xlfn.XLOOKUP(Logs_Reseau6[[#This Row],[Id_Client]],Clients_Churn[ID_Client],Clients_Churn[Duree_Cumulee_Panne_Min],"Non Trouvée")</f>
        <v>Non Trouvée</v>
      </c>
      <c r="M727" s="5" t="str">
        <f>_xlfn.XLOOKUP(Logs_Reseau6[[#This Row],[Id_Client]],Clients_Churn[ID_Client],Clients_Churn[Anciennete_Mois],"Rien à signaler")</f>
        <v>Rien à signaler</v>
      </c>
      <c r="N727" s="5" t="e">
        <f>Logs_Reseau6[[#This Row],[Anciennette]]/24</f>
        <v>#VALUE!</v>
      </c>
      <c r="O727" s="5" t="e">
        <f>Logs_Reseau6[[#This Row],[Duree_Cumulée_Panne]]/1440</f>
        <v>#VALUE!</v>
      </c>
      <c r="P72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28" spans="1:16" hidden="1" x14ac:dyDescent="0.25">
      <c r="A728" s="2">
        <v>45214</v>
      </c>
      <c r="B728" s="1">
        <v>8.1944444444444445E-2</v>
      </c>
      <c r="C728" t="s">
        <v>1597</v>
      </c>
      <c r="D728">
        <v>87</v>
      </c>
      <c r="E728" t="s">
        <v>1303</v>
      </c>
      <c r="F728" t="str">
        <f>_xlfn.XLOOKUP(Logs_Reseau6[[#This Row],[Cell_ID]],Registre[ID_Antenne],Registre[Province_RDC],"Non Trouvée")</f>
        <v>Non Trouvée</v>
      </c>
      <c r="G728" t="str">
        <f>_xlfn.XLOOKUP(Logs_Reseau6[[#This Row],[Province]],Clients_Churn[Province_Client],Clients_Churn[ID_Client],"Aucun")</f>
        <v>Aucun</v>
      </c>
      <c r="H728" t="str">
        <f>_xlfn.XLOOKUP(Logs_Reseau6[[#This Row],[Cell_ID]],Registre[ID_Antenne],Registre[Technologie],"Rien à signaler")</f>
        <v>Rien à signaler</v>
      </c>
      <c r="I728" t="str">
        <f>_xlfn.XLOOKUP(Logs_Reseau6[[#This Row],[Cell_ID]],Registre[ID_Antenne],Registre[Equipementier],"Non Trouvée")</f>
        <v>Non Trouvée</v>
      </c>
      <c r="J728" t="str">
        <f>_xlfn.XLOOKUP(Logs_Reseau6[[#This Row],[Id_Client]],Clients_Churn[ID_Client],Clients_Churn[Type_Forfait],"Pas d'information")</f>
        <v>Pas d'information</v>
      </c>
      <c r="K728" s="5" t="str">
        <f>IF(Logs_Reseau6[[#This Row],[Type_Forfait]]="Pro Monde","B2B","B2C")</f>
        <v>B2C</v>
      </c>
      <c r="L728" s="5" t="str">
        <f>_xlfn.XLOOKUP(Logs_Reseau6[[#This Row],[Id_Client]],Clients_Churn[ID_Client],Clients_Churn[Duree_Cumulee_Panne_Min],"Non Trouvée")</f>
        <v>Non Trouvée</v>
      </c>
      <c r="M728" s="5" t="str">
        <f>_xlfn.XLOOKUP(Logs_Reseau6[[#This Row],[Id_Client]],Clients_Churn[ID_Client],Clients_Churn[Anciennete_Mois],"Rien à signaler")</f>
        <v>Rien à signaler</v>
      </c>
      <c r="N728" s="5" t="e">
        <f>Logs_Reseau6[[#This Row],[Anciennette]]/24</f>
        <v>#VALUE!</v>
      </c>
      <c r="O728" s="5" t="e">
        <f>Logs_Reseau6[[#This Row],[Duree_Cumulée_Panne]]/1440</f>
        <v>#VALUE!</v>
      </c>
      <c r="P72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29" spans="1:16" x14ac:dyDescent="0.25">
      <c r="A729" s="2">
        <v>45219</v>
      </c>
      <c r="B729" s="1">
        <v>0.80138888888888893</v>
      </c>
      <c r="C729" t="s">
        <v>1281</v>
      </c>
      <c r="D729">
        <v>65</v>
      </c>
      <c r="E729" t="s">
        <v>1303</v>
      </c>
      <c r="F729" t="str">
        <f>_xlfn.XLOOKUP(Logs_Reseau6[[#This Row],[Cell_ID]],Registre[ID_Antenne],Registre[Province_RDC],"Non Trouvée")</f>
        <v>Tshuapa</v>
      </c>
      <c r="G729" t="str">
        <f>_xlfn.XLOOKUP(Logs_Reseau6[[#This Row],[Province]],Clients_Churn[Province_Client],Clients_Churn[ID_Client],"Aucun")</f>
        <v>CLI-00033</v>
      </c>
      <c r="H729" t="str">
        <f>_xlfn.XLOOKUP(Logs_Reseau6[[#This Row],[Cell_ID]],Registre[ID_Antenne],Registre[Technologie],"Rien à signaler")</f>
        <v>3G</v>
      </c>
      <c r="I729" t="str">
        <f>_xlfn.XLOOKUP(Logs_Reseau6[[#This Row],[Cell_ID]],Registre[ID_Antenne],Registre[Equipementier],"Non Trouvée")</f>
        <v>ZTE</v>
      </c>
      <c r="J729" t="str">
        <f>_xlfn.XLOOKUP(Logs_Reseau6[[#This Row],[Id_Client]],Clients_Churn[ID_Client],Clients_Churn[Type_Forfait],"Pas d'information")</f>
        <v>Premium 5G 150Go</v>
      </c>
      <c r="K729" s="5" t="str">
        <f>IF(Logs_Reseau6[[#This Row],[Type_Forfait]]="Pro Monde","B2B","B2C")</f>
        <v>B2C</v>
      </c>
      <c r="L729" s="5">
        <f>_xlfn.XLOOKUP(Logs_Reseau6[[#This Row],[Id_Client]],Clients_Churn[ID_Client],Clients_Churn[Duree_Cumulee_Panne_Min],"Non Trouvée")</f>
        <v>201</v>
      </c>
      <c r="M729" s="5">
        <f>_xlfn.XLOOKUP(Logs_Reseau6[[#This Row],[Id_Client]],Clients_Churn[ID_Client],Clients_Churn[Anciennete_Mois],"Rien à signaler")</f>
        <v>2</v>
      </c>
      <c r="N729" s="11">
        <f>Logs_Reseau6[[#This Row],[Anciennette]]/24</f>
        <v>8.3333333333333329E-2</v>
      </c>
      <c r="O729" s="1">
        <f>Logs_Reseau6[[#This Row],[Duree_Cumulée_Panne]]/1440</f>
        <v>0.13958333333333334</v>
      </c>
      <c r="P72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30" spans="1:16" hidden="1" x14ac:dyDescent="0.25">
      <c r="A730" s="2">
        <v>45227</v>
      </c>
      <c r="B730" s="1">
        <v>0.11805555555555555</v>
      </c>
      <c r="C730" t="s">
        <v>1541</v>
      </c>
      <c r="D730">
        <v>61</v>
      </c>
      <c r="E730" t="s">
        <v>1303</v>
      </c>
      <c r="F730" t="str">
        <f>_xlfn.XLOOKUP(Logs_Reseau6[[#This Row],[Cell_ID]],Registre[ID_Antenne],Registre[Province_RDC],"Non Trouvée")</f>
        <v>Non Trouvée</v>
      </c>
      <c r="G730" t="str">
        <f>_xlfn.XLOOKUP(Logs_Reseau6[[#This Row],[Province]],Clients_Churn[Province_Client],Clients_Churn[ID_Client],"Aucun")</f>
        <v>Aucun</v>
      </c>
      <c r="H730" t="str">
        <f>_xlfn.XLOOKUP(Logs_Reseau6[[#This Row],[Cell_ID]],Registre[ID_Antenne],Registre[Technologie],"Rien à signaler")</f>
        <v>Rien à signaler</v>
      </c>
      <c r="I730" t="str">
        <f>_xlfn.XLOOKUP(Logs_Reseau6[[#This Row],[Cell_ID]],Registre[ID_Antenne],Registre[Equipementier],"Non Trouvée")</f>
        <v>Non Trouvée</v>
      </c>
      <c r="J730" t="str">
        <f>_xlfn.XLOOKUP(Logs_Reseau6[[#This Row],[Id_Client]],Clients_Churn[ID_Client],Clients_Churn[Type_Forfait],"Pas d'information")</f>
        <v>Pas d'information</v>
      </c>
      <c r="K730" s="5" t="str">
        <f>IF(Logs_Reseau6[[#This Row],[Type_Forfait]]="Pro Monde","B2B","B2C")</f>
        <v>B2C</v>
      </c>
      <c r="L730" s="5" t="str">
        <f>_xlfn.XLOOKUP(Logs_Reseau6[[#This Row],[Id_Client]],Clients_Churn[ID_Client],Clients_Churn[Duree_Cumulee_Panne_Min],"Non Trouvée")</f>
        <v>Non Trouvée</v>
      </c>
      <c r="M730" s="5" t="str">
        <f>_xlfn.XLOOKUP(Logs_Reseau6[[#This Row],[Id_Client]],Clients_Churn[ID_Client],Clients_Churn[Anciennete_Mois],"Rien à signaler")</f>
        <v>Rien à signaler</v>
      </c>
      <c r="N730" s="5" t="e">
        <f>Logs_Reseau6[[#This Row],[Anciennette]]/24</f>
        <v>#VALUE!</v>
      </c>
      <c r="O730" s="5" t="e">
        <f>Logs_Reseau6[[#This Row],[Duree_Cumulée_Panne]]/1440</f>
        <v>#VALUE!</v>
      </c>
      <c r="P73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31" spans="1:16" x14ac:dyDescent="0.25">
      <c r="A731" s="2">
        <v>45225</v>
      </c>
      <c r="B731" s="1">
        <v>0.40694444444444444</v>
      </c>
      <c r="C731" t="s">
        <v>954</v>
      </c>
      <c r="D731">
        <v>74</v>
      </c>
      <c r="E731" t="s">
        <v>1300</v>
      </c>
      <c r="F731" t="str">
        <f>_xlfn.XLOOKUP(Logs_Reseau6[[#This Row],[Cell_ID]],Registre[ID_Antenne],Registre[Province_RDC],"Non Trouvée")</f>
        <v>Kwango</v>
      </c>
      <c r="G731" t="str">
        <f>_xlfn.XLOOKUP(Logs_Reseau6[[#This Row],[Province]],Clients_Churn[Province_Client],Clients_Churn[ID_Client],"Aucun")</f>
        <v>CLI-00094</v>
      </c>
      <c r="H731" t="str">
        <f>_xlfn.XLOOKUP(Logs_Reseau6[[#This Row],[Cell_ID]],Registre[ID_Antenne],Registre[Technologie],"Rien à signaler")</f>
        <v>4G</v>
      </c>
      <c r="I731" t="str">
        <f>_xlfn.XLOOKUP(Logs_Reseau6[[#This Row],[Cell_ID]],Registre[ID_Antenne],Registre[Equipementier],"Non Trouvée")</f>
        <v>Nokia</v>
      </c>
      <c r="J731" t="str">
        <f>_xlfn.XLOOKUP(Logs_Reseau6[[#This Row],[Id_Client]],Clients_Churn[ID_Client],Clients_Churn[Type_Forfait],"Pas d'information")</f>
        <v>Pro Monde</v>
      </c>
      <c r="K731" s="5" t="str">
        <f>IF(Logs_Reseau6[[#This Row],[Type_Forfait]]="Pro Monde","B2B","B2C")</f>
        <v>B2B</v>
      </c>
      <c r="L731" s="5">
        <f>_xlfn.XLOOKUP(Logs_Reseau6[[#This Row],[Id_Client]],Clients_Churn[ID_Client],Clients_Churn[Duree_Cumulee_Panne_Min],"Non Trouvée")</f>
        <v>493</v>
      </c>
      <c r="M731" s="5">
        <f>_xlfn.XLOOKUP(Logs_Reseau6[[#This Row],[Id_Client]],Clients_Churn[ID_Client],Clients_Churn[Anciennete_Mois],"Rien à signaler")</f>
        <v>29</v>
      </c>
      <c r="N731" s="11">
        <f>Logs_Reseau6[[#This Row],[Anciennette]]/24</f>
        <v>1.2083333333333333</v>
      </c>
      <c r="O731" s="1">
        <f>Logs_Reseau6[[#This Row],[Duree_Cumulée_Panne]]/1440</f>
        <v>0.34236111111111112</v>
      </c>
      <c r="P73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32" spans="1:16" x14ac:dyDescent="0.25">
      <c r="A732" s="2">
        <v>45213</v>
      </c>
      <c r="B732" s="1">
        <v>0.90763888888888888</v>
      </c>
      <c r="C732" t="s">
        <v>995</v>
      </c>
      <c r="D732">
        <v>52</v>
      </c>
      <c r="E732" t="s">
        <v>1300</v>
      </c>
      <c r="F732" t="str">
        <f>_xlfn.XLOOKUP(Logs_Reseau6[[#This Row],[Cell_ID]],Registre[ID_Antenne],Registre[Province_RDC],"Non Trouvée")</f>
        <v>Nord-Kivu</v>
      </c>
      <c r="G732" t="str">
        <f>_xlfn.XLOOKUP(Logs_Reseau6[[#This Row],[Province]],Clients_Churn[Province_Client],Clients_Churn[ID_Client],"Aucun")</f>
        <v>CLI-00043</v>
      </c>
      <c r="H732" t="str">
        <f>_xlfn.XLOOKUP(Logs_Reseau6[[#This Row],[Cell_ID]],Registre[ID_Antenne],Registre[Technologie],"Rien à signaler")</f>
        <v>5G</v>
      </c>
      <c r="I732" t="str">
        <f>_xlfn.XLOOKUP(Logs_Reseau6[[#This Row],[Cell_ID]],Registre[ID_Antenne],Registre[Equipementier],"Non Trouvée")</f>
        <v>Nokia</v>
      </c>
      <c r="J732" t="str">
        <f>_xlfn.XLOOKUP(Logs_Reseau6[[#This Row],[Id_Client]],Clients_Churn[ID_Client],Clients_Churn[Type_Forfait],"Pas d'information")</f>
        <v>Pro Monde</v>
      </c>
      <c r="K732" s="5" t="str">
        <f>IF(Logs_Reseau6[[#This Row],[Type_Forfait]]="Pro Monde","B2B","B2C")</f>
        <v>B2B</v>
      </c>
      <c r="L732" s="5">
        <f>_xlfn.XLOOKUP(Logs_Reseau6[[#This Row],[Id_Client]],Clients_Churn[ID_Client],Clients_Churn[Duree_Cumulee_Panne_Min],"Non Trouvée")</f>
        <v>132</v>
      </c>
      <c r="M732" s="5">
        <f>_xlfn.XLOOKUP(Logs_Reseau6[[#This Row],[Id_Client]],Clients_Churn[ID_Client],Clients_Churn[Anciennete_Mois],"Rien à signaler")</f>
        <v>118</v>
      </c>
      <c r="N732" s="11">
        <f>Logs_Reseau6[[#This Row],[Anciennette]]/24</f>
        <v>4.916666666666667</v>
      </c>
      <c r="O732" s="1">
        <f>Logs_Reseau6[[#This Row],[Duree_Cumulée_Panne]]/1440</f>
        <v>9.166666666666666E-2</v>
      </c>
      <c r="P73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33" spans="1:16" x14ac:dyDescent="0.25">
      <c r="A733" s="2">
        <v>45224</v>
      </c>
      <c r="B733" s="1">
        <v>0.2298611111111111</v>
      </c>
      <c r="C733" t="s">
        <v>995</v>
      </c>
      <c r="D733">
        <v>20</v>
      </c>
      <c r="E733" t="s">
        <v>1300</v>
      </c>
      <c r="F733" t="str">
        <f>_xlfn.XLOOKUP(Logs_Reseau6[[#This Row],[Cell_ID]],Registre[ID_Antenne],Registre[Province_RDC],"Non Trouvée")</f>
        <v>Nord-Kivu</v>
      </c>
      <c r="G733" t="str">
        <f>_xlfn.XLOOKUP(Logs_Reseau6[[#This Row],[Province]],Clients_Churn[Province_Client],Clients_Churn[ID_Client],"Aucun")</f>
        <v>CLI-00043</v>
      </c>
      <c r="H733" t="str">
        <f>_xlfn.XLOOKUP(Logs_Reseau6[[#This Row],[Cell_ID]],Registre[ID_Antenne],Registre[Technologie],"Rien à signaler")</f>
        <v>5G</v>
      </c>
      <c r="I733" t="str">
        <f>_xlfn.XLOOKUP(Logs_Reseau6[[#This Row],[Cell_ID]],Registre[ID_Antenne],Registre[Equipementier],"Non Trouvée")</f>
        <v>Nokia</v>
      </c>
      <c r="J733" t="str">
        <f>_xlfn.XLOOKUP(Logs_Reseau6[[#This Row],[Id_Client]],Clients_Churn[ID_Client],Clients_Churn[Type_Forfait],"Pas d'information")</f>
        <v>Pro Monde</v>
      </c>
      <c r="K733" s="5" t="str">
        <f>IF(Logs_Reseau6[[#This Row],[Type_Forfait]]="Pro Monde","B2B","B2C")</f>
        <v>B2B</v>
      </c>
      <c r="L733" s="5">
        <f>_xlfn.XLOOKUP(Logs_Reseau6[[#This Row],[Id_Client]],Clients_Churn[ID_Client],Clients_Churn[Duree_Cumulee_Panne_Min],"Non Trouvée")</f>
        <v>132</v>
      </c>
      <c r="M733" s="5">
        <f>_xlfn.XLOOKUP(Logs_Reseau6[[#This Row],[Id_Client]],Clients_Churn[ID_Client],Clients_Churn[Anciennete_Mois],"Rien à signaler")</f>
        <v>118</v>
      </c>
      <c r="N733" s="11">
        <f>Logs_Reseau6[[#This Row],[Anciennette]]/24</f>
        <v>4.916666666666667</v>
      </c>
      <c r="O733" s="1">
        <f>Logs_Reseau6[[#This Row],[Duree_Cumulée_Panne]]/1440</f>
        <v>9.166666666666666E-2</v>
      </c>
      <c r="P73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34" spans="1:16" x14ac:dyDescent="0.25">
      <c r="A734" s="2">
        <v>45207</v>
      </c>
      <c r="B734" s="1">
        <v>0.66805555555555551</v>
      </c>
      <c r="C734" t="s">
        <v>857</v>
      </c>
      <c r="D734">
        <v>113</v>
      </c>
      <c r="E734" t="s">
        <v>1300</v>
      </c>
      <c r="F734" t="str">
        <f>_xlfn.XLOOKUP(Logs_Reseau6[[#This Row],[Cell_ID]],Registre[ID_Antenne],Registre[Province_RDC],"Non Trouvée")</f>
        <v>Kongo-Central</v>
      </c>
      <c r="G734" t="str">
        <f>_xlfn.XLOOKUP(Logs_Reseau6[[#This Row],[Province]],Clients_Churn[Province_Client],Clients_Churn[ID_Client],"Aucun")</f>
        <v>CLI-00012</v>
      </c>
      <c r="H734" t="str">
        <f>_xlfn.XLOOKUP(Logs_Reseau6[[#This Row],[Cell_ID]],Registre[ID_Antenne],Registre[Technologie],"Rien à signaler")</f>
        <v>5G</v>
      </c>
      <c r="I734" t="str">
        <f>_xlfn.XLOOKUP(Logs_Reseau6[[#This Row],[Cell_ID]],Registre[ID_Antenne],Registre[Equipementier],"Non Trouvée")</f>
        <v>Ericsson</v>
      </c>
      <c r="J734" t="str">
        <f>_xlfn.XLOOKUP(Logs_Reseau6[[#This Row],[Id_Client]],Clients_Churn[ID_Client],Clients_Churn[Type_Forfait],"Pas d'information")</f>
        <v>Illimité 50Go</v>
      </c>
      <c r="K734" s="5" t="str">
        <f>IF(Logs_Reseau6[[#This Row],[Type_Forfait]]="Pro Monde","B2B","B2C")</f>
        <v>B2C</v>
      </c>
      <c r="L734" s="5">
        <f>_xlfn.XLOOKUP(Logs_Reseau6[[#This Row],[Id_Client]],Clients_Churn[ID_Client],Clients_Churn[Duree_Cumulee_Panne_Min],"Non Trouvée")</f>
        <v>172</v>
      </c>
      <c r="M734" s="5">
        <f>_xlfn.XLOOKUP(Logs_Reseau6[[#This Row],[Id_Client]],Clients_Churn[ID_Client],Clients_Churn[Anciennete_Mois],"Rien à signaler")</f>
        <v>105</v>
      </c>
      <c r="N734" s="11">
        <f>Logs_Reseau6[[#This Row],[Anciennette]]/24</f>
        <v>4.375</v>
      </c>
      <c r="O734" s="1">
        <f>Logs_Reseau6[[#This Row],[Duree_Cumulée_Panne]]/1440</f>
        <v>0.11944444444444445</v>
      </c>
      <c r="P73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35" spans="1:16" x14ac:dyDescent="0.25">
      <c r="A735" s="2">
        <v>45207</v>
      </c>
      <c r="B735" s="1">
        <v>7.4305555555555555E-2</v>
      </c>
      <c r="C735" t="s">
        <v>857</v>
      </c>
      <c r="D735">
        <v>57</v>
      </c>
      <c r="E735" t="s">
        <v>1300</v>
      </c>
      <c r="F735" t="str">
        <f>_xlfn.XLOOKUP(Logs_Reseau6[[#This Row],[Cell_ID]],Registre[ID_Antenne],Registre[Province_RDC],"Non Trouvée")</f>
        <v>Kongo-Central</v>
      </c>
      <c r="G735" t="str">
        <f>_xlfn.XLOOKUP(Logs_Reseau6[[#This Row],[Province]],Clients_Churn[Province_Client],Clients_Churn[ID_Client],"Aucun")</f>
        <v>CLI-00012</v>
      </c>
      <c r="H735" t="str">
        <f>_xlfn.XLOOKUP(Logs_Reseau6[[#This Row],[Cell_ID]],Registre[ID_Antenne],Registre[Technologie],"Rien à signaler")</f>
        <v>5G</v>
      </c>
      <c r="I735" t="str">
        <f>_xlfn.XLOOKUP(Logs_Reseau6[[#This Row],[Cell_ID]],Registre[ID_Antenne],Registre[Equipementier],"Non Trouvée")</f>
        <v>Ericsson</v>
      </c>
      <c r="J735" t="str">
        <f>_xlfn.XLOOKUP(Logs_Reseau6[[#This Row],[Id_Client]],Clients_Churn[ID_Client],Clients_Churn[Type_Forfait],"Pas d'information")</f>
        <v>Illimité 50Go</v>
      </c>
      <c r="K735" s="5" t="str">
        <f>IF(Logs_Reseau6[[#This Row],[Type_Forfait]]="Pro Monde","B2B","B2C")</f>
        <v>B2C</v>
      </c>
      <c r="L735" s="5">
        <f>_xlfn.XLOOKUP(Logs_Reseau6[[#This Row],[Id_Client]],Clients_Churn[ID_Client],Clients_Churn[Duree_Cumulee_Panne_Min],"Non Trouvée")</f>
        <v>172</v>
      </c>
      <c r="M735" s="5">
        <f>_xlfn.XLOOKUP(Logs_Reseau6[[#This Row],[Id_Client]],Clients_Churn[ID_Client],Clients_Churn[Anciennete_Mois],"Rien à signaler")</f>
        <v>105</v>
      </c>
      <c r="N735" s="11">
        <f>Logs_Reseau6[[#This Row],[Anciennette]]/24</f>
        <v>4.375</v>
      </c>
      <c r="O735" s="1">
        <f>Logs_Reseau6[[#This Row],[Duree_Cumulée_Panne]]/1440</f>
        <v>0.11944444444444445</v>
      </c>
      <c r="P73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36" spans="1:16" x14ac:dyDescent="0.25">
      <c r="A736" s="2">
        <v>45219</v>
      </c>
      <c r="B736" s="1">
        <v>0.56944444444444442</v>
      </c>
      <c r="C736" t="s">
        <v>857</v>
      </c>
      <c r="D736">
        <v>96</v>
      </c>
      <c r="E736" t="s">
        <v>1300</v>
      </c>
      <c r="F736" t="str">
        <f>_xlfn.XLOOKUP(Logs_Reseau6[[#This Row],[Cell_ID]],Registre[ID_Antenne],Registre[Province_RDC],"Non Trouvée")</f>
        <v>Kongo-Central</v>
      </c>
      <c r="G736" t="str">
        <f>_xlfn.XLOOKUP(Logs_Reseau6[[#This Row],[Province]],Clients_Churn[Province_Client],Clients_Churn[ID_Client],"Aucun")</f>
        <v>CLI-00012</v>
      </c>
      <c r="H736" t="str">
        <f>_xlfn.XLOOKUP(Logs_Reseau6[[#This Row],[Cell_ID]],Registre[ID_Antenne],Registre[Technologie],"Rien à signaler")</f>
        <v>5G</v>
      </c>
      <c r="I736" t="str">
        <f>_xlfn.XLOOKUP(Logs_Reseau6[[#This Row],[Cell_ID]],Registre[ID_Antenne],Registre[Equipementier],"Non Trouvée")</f>
        <v>Ericsson</v>
      </c>
      <c r="J736" t="str">
        <f>_xlfn.XLOOKUP(Logs_Reseau6[[#This Row],[Id_Client]],Clients_Churn[ID_Client],Clients_Churn[Type_Forfait],"Pas d'information")</f>
        <v>Illimité 50Go</v>
      </c>
      <c r="K736" s="5" t="str">
        <f>IF(Logs_Reseau6[[#This Row],[Type_Forfait]]="Pro Monde","B2B","B2C")</f>
        <v>B2C</v>
      </c>
      <c r="L736" s="5">
        <f>_xlfn.XLOOKUP(Logs_Reseau6[[#This Row],[Id_Client]],Clients_Churn[ID_Client],Clients_Churn[Duree_Cumulee_Panne_Min],"Non Trouvée")</f>
        <v>172</v>
      </c>
      <c r="M736" s="5">
        <f>_xlfn.XLOOKUP(Logs_Reseau6[[#This Row],[Id_Client]],Clients_Churn[ID_Client],Clients_Churn[Anciennete_Mois],"Rien à signaler")</f>
        <v>105</v>
      </c>
      <c r="N736" s="11">
        <f>Logs_Reseau6[[#This Row],[Anciennette]]/24</f>
        <v>4.375</v>
      </c>
      <c r="O736" s="1">
        <f>Logs_Reseau6[[#This Row],[Duree_Cumulée_Panne]]/1440</f>
        <v>0.11944444444444445</v>
      </c>
      <c r="P73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37" spans="1:16" x14ac:dyDescent="0.25">
      <c r="A737" s="2">
        <v>45203</v>
      </c>
      <c r="B737" s="1">
        <v>0.9506944444444444</v>
      </c>
      <c r="C737" t="s">
        <v>1273</v>
      </c>
      <c r="D737">
        <v>8</v>
      </c>
      <c r="E737" t="s">
        <v>1303</v>
      </c>
      <c r="F737" t="str">
        <f>_xlfn.XLOOKUP(Logs_Reseau6[[#This Row],[Cell_ID]],Registre[ID_Antenne],Registre[Province_RDC],"Non Trouvée")</f>
        <v>Tshuapa</v>
      </c>
      <c r="G737" t="str">
        <f>_xlfn.XLOOKUP(Logs_Reseau6[[#This Row],[Province]],Clients_Churn[Province_Client],Clients_Churn[ID_Client],"Aucun")</f>
        <v>CLI-00033</v>
      </c>
      <c r="H737" t="str">
        <f>_xlfn.XLOOKUP(Logs_Reseau6[[#This Row],[Cell_ID]],Registre[ID_Antenne],Registre[Technologie],"Rien à signaler")</f>
        <v>3G</v>
      </c>
      <c r="I737" t="str">
        <f>_xlfn.XLOOKUP(Logs_Reseau6[[#This Row],[Cell_ID]],Registre[ID_Antenne],Registre[Equipementier],"Non Trouvée")</f>
        <v>Huawei</v>
      </c>
      <c r="J737" t="str">
        <f>_xlfn.XLOOKUP(Logs_Reseau6[[#This Row],[Id_Client]],Clients_Churn[ID_Client],Clients_Churn[Type_Forfait],"Pas d'information")</f>
        <v>Premium 5G 150Go</v>
      </c>
      <c r="K737" s="5" t="str">
        <f>IF(Logs_Reseau6[[#This Row],[Type_Forfait]]="Pro Monde","B2B","B2C")</f>
        <v>B2C</v>
      </c>
      <c r="L737" s="5">
        <f>_xlfn.XLOOKUP(Logs_Reseau6[[#This Row],[Id_Client]],Clients_Churn[ID_Client],Clients_Churn[Duree_Cumulee_Panne_Min],"Non Trouvée")</f>
        <v>201</v>
      </c>
      <c r="M737" s="5">
        <f>_xlfn.XLOOKUP(Logs_Reseau6[[#This Row],[Id_Client]],Clients_Churn[ID_Client],Clients_Churn[Anciennete_Mois],"Rien à signaler")</f>
        <v>2</v>
      </c>
      <c r="N737" s="11">
        <f>Logs_Reseau6[[#This Row],[Anciennette]]/24</f>
        <v>8.3333333333333329E-2</v>
      </c>
      <c r="O737" s="1">
        <f>Logs_Reseau6[[#This Row],[Duree_Cumulée_Panne]]/1440</f>
        <v>0.13958333333333334</v>
      </c>
      <c r="P73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38" spans="1:16" hidden="1" x14ac:dyDescent="0.25">
      <c r="A738" s="2">
        <v>45205</v>
      </c>
      <c r="B738" s="1">
        <v>0.80555555555555558</v>
      </c>
      <c r="C738" t="s">
        <v>1580</v>
      </c>
      <c r="D738">
        <v>110</v>
      </c>
      <c r="E738" t="s">
        <v>1300</v>
      </c>
      <c r="F738" t="str">
        <f>_xlfn.XLOOKUP(Logs_Reseau6[[#This Row],[Cell_ID]],Registre[ID_Antenne],Registre[Province_RDC],"Non Trouvée")</f>
        <v>Non Trouvée</v>
      </c>
      <c r="G738" t="str">
        <f>_xlfn.XLOOKUP(Logs_Reseau6[[#This Row],[Province]],Clients_Churn[Province_Client],Clients_Churn[ID_Client],"Aucun")</f>
        <v>Aucun</v>
      </c>
      <c r="H738" t="str">
        <f>_xlfn.XLOOKUP(Logs_Reseau6[[#This Row],[Cell_ID]],Registre[ID_Antenne],Registre[Technologie],"Rien à signaler")</f>
        <v>Rien à signaler</v>
      </c>
      <c r="I738" t="str">
        <f>_xlfn.XLOOKUP(Logs_Reseau6[[#This Row],[Cell_ID]],Registre[ID_Antenne],Registre[Equipementier],"Non Trouvée")</f>
        <v>Non Trouvée</v>
      </c>
      <c r="J738" t="str">
        <f>_xlfn.XLOOKUP(Logs_Reseau6[[#This Row],[Id_Client]],Clients_Churn[ID_Client],Clients_Churn[Type_Forfait],"Pas d'information")</f>
        <v>Pas d'information</v>
      </c>
      <c r="K738" s="5" t="str">
        <f>IF(Logs_Reseau6[[#This Row],[Type_Forfait]]="Pro Monde","B2B","B2C")</f>
        <v>B2C</v>
      </c>
      <c r="L738" s="5" t="str">
        <f>_xlfn.XLOOKUP(Logs_Reseau6[[#This Row],[Id_Client]],Clients_Churn[ID_Client],Clients_Churn[Duree_Cumulee_Panne_Min],"Non Trouvée")</f>
        <v>Non Trouvée</v>
      </c>
      <c r="M738" s="5" t="str">
        <f>_xlfn.XLOOKUP(Logs_Reseau6[[#This Row],[Id_Client]],Clients_Churn[ID_Client],Clients_Churn[Anciennete_Mois],"Rien à signaler")</f>
        <v>Rien à signaler</v>
      </c>
      <c r="N738" s="5" t="e">
        <f>Logs_Reseau6[[#This Row],[Anciennette]]/24</f>
        <v>#VALUE!</v>
      </c>
      <c r="O738" s="5" t="e">
        <f>Logs_Reseau6[[#This Row],[Duree_Cumulée_Panne]]/1440</f>
        <v>#VALUE!</v>
      </c>
      <c r="P73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39" spans="1:16" x14ac:dyDescent="0.25">
      <c r="A739" s="2">
        <v>45229</v>
      </c>
      <c r="B739" s="1">
        <v>0.63124999999999998</v>
      </c>
      <c r="C739" t="s">
        <v>889</v>
      </c>
      <c r="D739">
        <v>81</v>
      </c>
      <c r="E739" t="s">
        <v>1300</v>
      </c>
      <c r="F739" t="str">
        <f>_xlfn.XLOOKUP(Logs_Reseau6[[#This Row],[Cell_ID]],Registre[ID_Antenne],Registre[Province_RDC],"Non Trouvée")</f>
        <v>Tshuapa</v>
      </c>
      <c r="G739" t="str">
        <f>_xlfn.XLOOKUP(Logs_Reseau6[[#This Row],[Province]],Clients_Churn[Province_Client],Clients_Churn[ID_Client],"Aucun")</f>
        <v>CLI-00033</v>
      </c>
      <c r="H739" t="str">
        <f>_xlfn.XLOOKUP(Logs_Reseau6[[#This Row],[Cell_ID]],Registre[ID_Antenne],Registre[Technologie],"Rien à signaler")</f>
        <v>5G</v>
      </c>
      <c r="I739" t="str">
        <f>_xlfn.XLOOKUP(Logs_Reseau6[[#This Row],[Cell_ID]],Registre[ID_Antenne],Registre[Equipementier],"Non Trouvée")</f>
        <v>Ericsson</v>
      </c>
      <c r="J739" t="str">
        <f>_xlfn.XLOOKUP(Logs_Reseau6[[#This Row],[Id_Client]],Clients_Churn[ID_Client],Clients_Churn[Type_Forfait],"Pas d'information")</f>
        <v>Premium 5G 150Go</v>
      </c>
      <c r="K739" s="5" t="str">
        <f>IF(Logs_Reseau6[[#This Row],[Type_Forfait]]="Pro Monde","B2B","B2C")</f>
        <v>B2C</v>
      </c>
      <c r="L739" s="5">
        <f>_xlfn.XLOOKUP(Logs_Reseau6[[#This Row],[Id_Client]],Clients_Churn[ID_Client],Clients_Churn[Duree_Cumulee_Panne_Min],"Non Trouvée")</f>
        <v>201</v>
      </c>
      <c r="M739" s="5">
        <f>_xlfn.XLOOKUP(Logs_Reseau6[[#This Row],[Id_Client]],Clients_Churn[ID_Client],Clients_Churn[Anciennete_Mois],"Rien à signaler")</f>
        <v>2</v>
      </c>
      <c r="N739" s="11">
        <f>Logs_Reseau6[[#This Row],[Anciennette]]/24</f>
        <v>8.3333333333333329E-2</v>
      </c>
      <c r="O739" s="1">
        <f>Logs_Reseau6[[#This Row],[Duree_Cumulée_Panne]]/1440</f>
        <v>0.13958333333333334</v>
      </c>
      <c r="P73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40" spans="1:16" hidden="1" x14ac:dyDescent="0.25">
      <c r="A740" s="2">
        <v>45204</v>
      </c>
      <c r="B740" s="1">
        <v>0.93125000000000002</v>
      </c>
      <c r="C740" t="s">
        <v>1483</v>
      </c>
      <c r="D740">
        <v>66</v>
      </c>
      <c r="E740" t="s">
        <v>1300</v>
      </c>
      <c r="F740" t="str">
        <f>_xlfn.XLOOKUP(Logs_Reseau6[[#This Row],[Cell_ID]],Registre[ID_Antenne],Registre[Province_RDC],"Non Trouvée")</f>
        <v>Non Trouvée</v>
      </c>
      <c r="G740" t="str">
        <f>_xlfn.XLOOKUP(Logs_Reseau6[[#This Row],[Province]],Clients_Churn[Province_Client],Clients_Churn[ID_Client],"Aucun")</f>
        <v>Aucun</v>
      </c>
      <c r="H740" t="str">
        <f>_xlfn.XLOOKUP(Logs_Reseau6[[#This Row],[Cell_ID]],Registre[ID_Antenne],Registre[Technologie],"Rien à signaler")</f>
        <v>Rien à signaler</v>
      </c>
      <c r="I740" t="str">
        <f>_xlfn.XLOOKUP(Logs_Reseau6[[#This Row],[Cell_ID]],Registre[ID_Antenne],Registre[Equipementier],"Non Trouvée")</f>
        <v>Non Trouvée</v>
      </c>
      <c r="J740" t="str">
        <f>_xlfn.XLOOKUP(Logs_Reseau6[[#This Row],[Id_Client]],Clients_Churn[ID_Client],Clients_Churn[Type_Forfait],"Pas d'information")</f>
        <v>Pas d'information</v>
      </c>
      <c r="K740" s="5" t="str">
        <f>IF(Logs_Reseau6[[#This Row],[Type_Forfait]]="Pro Monde","B2B","B2C")</f>
        <v>B2C</v>
      </c>
      <c r="L740" s="5" t="str">
        <f>_xlfn.XLOOKUP(Logs_Reseau6[[#This Row],[Id_Client]],Clients_Churn[ID_Client],Clients_Churn[Duree_Cumulee_Panne_Min],"Non Trouvée")</f>
        <v>Non Trouvée</v>
      </c>
      <c r="M740" s="5" t="str">
        <f>_xlfn.XLOOKUP(Logs_Reseau6[[#This Row],[Id_Client]],Clients_Churn[ID_Client],Clients_Churn[Anciennete_Mois],"Rien à signaler")</f>
        <v>Rien à signaler</v>
      </c>
      <c r="N740" s="5" t="e">
        <f>Logs_Reseau6[[#This Row],[Anciennette]]/24</f>
        <v>#VALUE!</v>
      </c>
      <c r="O740" s="5" t="e">
        <f>Logs_Reseau6[[#This Row],[Duree_Cumulée_Panne]]/1440</f>
        <v>#VALUE!</v>
      </c>
      <c r="P74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41" spans="1:16" hidden="1" x14ac:dyDescent="0.25">
      <c r="A741" s="2">
        <v>45204</v>
      </c>
      <c r="B741" s="1">
        <v>0.66527777777777775</v>
      </c>
      <c r="C741" t="s">
        <v>1456</v>
      </c>
      <c r="D741">
        <v>56</v>
      </c>
      <c r="E741" t="s">
        <v>1300</v>
      </c>
      <c r="F741" t="str">
        <f>_xlfn.XLOOKUP(Logs_Reseau6[[#This Row],[Cell_ID]],Registre[ID_Antenne],Registre[Province_RDC],"Non Trouvée")</f>
        <v>Non Trouvée</v>
      </c>
      <c r="G741" t="str">
        <f>_xlfn.XLOOKUP(Logs_Reseau6[[#This Row],[Province]],Clients_Churn[Province_Client],Clients_Churn[ID_Client],"Aucun")</f>
        <v>Aucun</v>
      </c>
      <c r="H741" t="str">
        <f>_xlfn.XLOOKUP(Logs_Reseau6[[#This Row],[Cell_ID]],Registre[ID_Antenne],Registre[Technologie],"Rien à signaler")</f>
        <v>Rien à signaler</v>
      </c>
      <c r="I741" t="str">
        <f>_xlfn.XLOOKUP(Logs_Reseau6[[#This Row],[Cell_ID]],Registre[ID_Antenne],Registre[Equipementier],"Non Trouvée")</f>
        <v>Non Trouvée</v>
      </c>
      <c r="J741" t="str">
        <f>_xlfn.XLOOKUP(Logs_Reseau6[[#This Row],[Id_Client]],Clients_Churn[ID_Client],Clients_Churn[Type_Forfait],"Pas d'information")</f>
        <v>Pas d'information</v>
      </c>
      <c r="K741" s="5" t="str">
        <f>IF(Logs_Reseau6[[#This Row],[Type_Forfait]]="Pro Monde","B2B","B2C")</f>
        <v>B2C</v>
      </c>
      <c r="L741" s="5" t="str">
        <f>_xlfn.XLOOKUP(Logs_Reseau6[[#This Row],[Id_Client]],Clients_Churn[ID_Client],Clients_Churn[Duree_Cumulee_Panne_Min],"Non Trouvée")</f>
        <v>Non Trouvée</v>
      </c>
      <c r="M741" s="5" t="str">
        <f>_xlfn.XLOOKUP(Logs_Reseau6[[#This Row],[Id_Client]],Clients_Churn[ID_Client],Clients_Churn[Anciennete_Mois],"Rien à signaler")</f>
        <v>Rien à signaler</v>
      </c>
      <c r="N741" s="5" t="e">
        <f>Logs_Reseau6[[#This Row],[Anciennette]]/24</f>
        <v>#VALUE!</v>
      </c>
      <c r="O741" s="5" t="e">
        <f>Logs_Reseau6[[#This Row],[Duree_Cumulée_Panne]]/1440</f>
        <v>#VALUE!</v>
      </c>
      <c r="P74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42" spans="1:16" hidden="1" x14ac:dyDescent="0.25">
      <c r="A742" s="2">
        <v>45213</v>
      </c>
      <c r="B742" s="1">
        <v>0.41736111111111113</v>
      </c>
      <c r="C742" t="s">
        <v>1456</v>
      </c>
      <c r="D742">
        <v>100</v>
      </c>
      <c r="E742" t="s">
        <v>1300</v>
      </c>
      <c r="F742" t="str">
        <f>_xlfn.XLOOKUP(Logs_Reseau6[[#This Row],[Cell_ID]],Registre[ID_Antenne],Registre[Province_RDC],"Non Trouvée")</f>
        <v>Non Trouvée</v>
      </c>
      <c r="G742" t="str">
        <f>_xlfn.XLOOKUP(Logs_Reseau6[[#This Row],[Province]],Clients_Churn[Province_Client],Clients_Churn[ID_Client],"Aucun")</f>
        <v>Aucun</v>
      </c>
      <c r="H742" t="str">
        <f>_xlfn.XLOOKUP(Logs_Reseau6[[#This Row],[Cell_ID]],Registre[ID_Antenne],Registre[Technologie],"Rien à signaler")</f>
        <v>Rien à signaler</v>
      </c>
      <c r="I742" t="str">
        <f>_xlfn.XLOOKUP(Logs_Reseau6[[#This Row],[Cell_ID]],Registre[ID_Antenne],Registre[Equipementier],"Non Trouvée")</f>
        <v>Non Trouvée</v>
      </c>
      <c r="J742" t="str">
        <f>_xlfn.XLOOKUP(Logs_Reseau6[[#This Row],[Id_Client]],Clients_Churn[ID_Client],Clients_Churn[Type_Forfait],"Pas d'information")</f>
        <v>Pas d'information</v>
      </c>
      <c r="K742" s="5" t="str">
        <f>IF(Logs_Reseau6[[#This Row],[Type_Forfait]]="Pro Monde","B2B","B2C")</f>
        <v>B2C</v>
      </c>
      <c r="L742" s="5" t="str">
        <f>_xlfn.XLOOKUP(Logs_Reseau6[[#This Row],[Id_Client]],Clients_Churn[ID_Client],Clients_Churn[Duree_Cumulee_Panne_Min],"Non Trouvée")</f>
        <v>Non Trouvée</v>
      </c>
      <c r="M742" s="5" t="str">
        <f>_xlfn.XLOOKUP(Logs_Reseau6[[#This Row],[Id_Client]],Clients_Churn[ID_Client],Clients_Churn[Anciennete_Mois],"Rien à signaler")</f>
        <v>Rien à signaler</v>
      </c>
      <c r="N742" s="5" t="e">
        <f>Logs_Reseau6[[#This Row],[Anciennette]]/24</f>
        <v>#VALUE!</v>
      </c>
      <c r="O742" s="5" t="e">
        <f>Logs_Reseau6[[#This Row],[Duree_Cumulée_Panne]]/1440</f>
        <v>#VALUE!</v>
      </c>
      <c r="P74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43" spans="1:16" hidden="1" x14ac:dyDescent="0.25">
      <c r="A743" s="2">
        <v>45215</v>
      </c>
      <c r="B743" s="1">
        <v>0.23194444444444445</v>
      </c>
      <c r="C743" t="s">
        <v>1456</v>
      </c>
      <c r="D743">
        <v>25</v>
      </c>
      <c r="E743" t="s">
        <v>1303</v>
      </c>
      <c r="F743" t="str">
        <f>_xlfn.XLOOKUP(Logs_Reseau6[[#This Row],[Cell_ID]],Registre[ID_Antenne],Registre[Province_RDC],"Non Trouvée")</f>
        <v>Non Trouvée</v>
      </c>
      <c r="G743" t="str">
        <f>_xlfn.XLOOKUP(Logs_Reseau6[[#This Row],[Province]],Clients_Churn[Province_Client],Clients_Churn[ID_Client],"Aucun")</f>
        <v>Aucun</v>
      </c>
      <c r="H743" t="str">
        <f>_xlfn.XLOOKUP(Logs_Reseau6[[#This Row],[Cell_ID]],Registre[ID_Antenne],Registre[Technologie],"Rien à signaler")</f>
        <v>Rien à signaler</v>
      </c>
      <c r="I743" t="str">
        <f>_xlfn.XLOOKUP(Logs_Reseau6[[#This Row],[Cell_ID]],Registre[ID_Antenne],Registre[Equipementier],"Non Trouvée")</f>
        <v>Non Trouvée</v>
      </c>
      <c r="J743" t="str">
        <f>_xlfn.XLOOKUP(Logs_Reseau6[[#This Row],[Id_Client]],Clients_Churn[ID_Client],Clients_Churn[Type_Forfait],"Pas d'information")</f>
        <v>Pas d'information</v>
      </c>
      <c r="K743" s="5" t="str">
        <f>IF(Logs_Reseau6[[#This Row],[Type_Forfait]]="Pro Monde","B2B","B2C")</f>
        <v>B2C</v>
      </c>
      <c r="L743" s="5" t="str">
        <f>_xlfn.XLOOKUP(Logs_Reseau6[[#This Row],[Id_Client]],Clients_Churn[ID_Client],Clients_Churn[Duree_Cumulee_Panne_Min],"Non Trouvée")</f>
        <v>Non Trouvée</v>
      </c>
      <c r="M743" s="5" t="str">
        <f>_xlfn.XLOOKUP(Logs_Reseau6[[#This Row],[Id_Client]],Clients_Churn[ID_Client],Clients_Churn[Anciennete_Mois],"Rien à signaler")</f>
        <v>Rien à signaler</v>
      </c>
      <c r="N743" s="5" t="e">
        <f>Logs_Reseau6[[#This Row],[Anciennette]]/24</f>
        <v>#VALUE!</v>
      </c>
      <c r="O743" s="5" t="e">
        <f>Logs_Reseau6[[#This Row],[Duree_Cumulée_Panne]]/1440</f>
        <v>#VALUE!</v>
      </c>
      <c r="P74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44" spans="1:16" hidden="1" x14ac:dyDescent="0.25">
      <c r="A744" s="2">
        <v>45220</v>
      </c>
      <c r="B744" s="1">
        <v>0.51597222222222228</v>
      </c>
      <c r="C744" t="s">
        <v>1456</v>
      </c>
      <c r="D744">
        <v>15</v>
      </c>
      <c r="E744" t="s">
        <v>1305</v>
      </c>
      <c r="F744" t="str">
        <f>_xlfn.XLOOKUP(Logs_Reseau6[[#This Row],[Cell_ID]],Registre[ID_Antenne],Registre[Province_RDC],"Non Trouvée")</f>
        <v>Non Trouvée</v>
      </c>
      <c r="G744" t="str">
        <f>_xlfn.XLOOKUP(Logs_Reseau6[[#This Row],[Province]],Clients_Churn[Province_Client],Clients_Churn[ID_Client],"Aucun")</f>
        <v>Aucun</v>
      </c>
      <c r="H744" t="str">
        <f>_xlfn.XLOOKUP(Logs_Reseau6[[#This Row],[Cell_ID]],Registre[ID_Antenne],Registre[Technologie],"Rien à signaler")</f>
        <v>Rien à signaler</v>
      </c>
      <c r="I744" t="str">
        <f>_xlfn.XLOOKUP(Logs_Reseau6[[#This Row],[Cell_ID]],Registre[ID_Antenne],Registre[Equipementier],"Non Trouvée")</f>
        <v>Non Trouvée</v>
      </c>
      <c r="J744" t="str">
        <f>_xlfn.XLOOKUP(Logs_Reseau6[[#This Row],[Id_Client]],Clients_Churn[ID_Client],Clients_Churn[Type_Forfait],"Pas d'information")</f>
        <v>Pas d'information</v>
      </c>
      <c r="K744" s="5" t="str">
        <f>IF(Logs_Reseau6[[#This Row],[Type_Forfait]]="Pro Monde","B2B","B2C")</f>
        <v>B2C</v>
      </c>
      <c r="L744" s="5" t="str">
        <f>_xlfn.XLOOKUP(Logs_Reseau6[[#This Row],[Id_Client]],Clients_Churn[ID_Client],Clients_Churn[Duree_Cumulee_Panne_Min],"Non Trouvée")</f>
        <v>Non Trouvée</v>
      </c>
      <c r="M744" s="5" t="str">
        <f>_xlfn.XLOOKUP(Logs_Reseau6[[#This Row],[Id_Client]],Clients_Churn[ID_Client],Clients_Churn[Anciennete_Mois],"Rien à signaler")</f>
        <v>Rien à signaler</v>
      </c>
      <c r="N744" s="5" t="e">
        <f>Logs_Reseau6[[#This Row],[Anciennette]]/24</f>
        <v>#VALUE!</v>
      </c>
      <c r="O744" s="5" t="e">
        <f>Logs_Reseau6[[#This Row],[Duree_Cumulée_Panne]]/1440</f>
        <v>#VALUE!</v>
      </c>
      <c r="P74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45" spans="1:16" hidden="1" x14ac:dyDescent="0.25">
      <c r="A745" s="2">
        <v>45224</v>
      </c>
      <c r="B745" s="1">
        <v>0.28819444444444442</v>
      </c>
      <c r="C745" t="s">
        <v>1456</v>
      </c>
      <c r="D745">
        <v>116</v>
      </c>
      <c r="E745" t="s">
        <v>1305</v>
      </c>
      <c r="F745" t="str">
        <f>_xlfn.XLOOKUP(Logs_Reseau6[[#This Row],[Cell_ID]],Registre[ID_Antenne],Registre[Province_RDC],"Non Trouvée")</f>
        <v>Non Trouvée</v>
      </c>
      <c r="G745" t="str">
        <f>_xlfn.XLOOKUP(Logs_Reseau6[[#This Row],[Province]],Clients_Churn[Province_Client],Clients_Churn[ID_Client],"Aucun")</f>
        <v>Aucun</v>
      </c>
      <c r="H745" t="str">
        <f>_xlfn.XLOOKUP(Logs_Reseau6[[#This Row],[Cell_ID]],Registre[ID_Antenne],Registre[Technologie],"Rien à signaler")</f>
        <v>Rien à signaler</v>
      </c>
      <c r="I745" t="str">
        <f>_xlfn.XLOOKUP(Logs_Reseau6[[#This Row],[Cell_ID]],Registre[ID_Antenne],Registre[Equipementier],"Non Trouvée")</f>
        <v>Non Trouvée</v>
      </c>
      <c r="J745" t="str">
        <f>_xlfn.XLOOKUP(Logs_Reseau6[[#This Row],[Id_Client]],Clients_Churn[ID_Client],Clients_Churn[Type_Forfait],"Pas d'information")</f>
        <v>Pas d'information</v>
      </c>
      <c r="K745" s="5" t="str">
        <f>IF(Logs_Reseau6[[#This Row],[Type_Forfait]]="Pro Monde","B2B","B2C")</f>
        <v>B2C</v>
      </c>
      <c r="L745" s="5" t="str">
        <f>_xlfn.XLOOKUP(Logs_Reseau6[[#This Row],[Id_Client]],Clients_Churn[ID_Client],Clients_Churn[Duree_Cumulee_Panne_Min],"Non Trouvée")</f>
        <v>Non Trouvée</v>
      </c>
      <c r="M745" s="5" t="str">
        <f>_xlfn.XLOOKUP(Logs_Reseau6[[#This Row],[Id_Client]],Clients_Churn[ID_Client],Clients_Churn[Anciennete_Mois],"Rien à signaler")</f>
        <v>Rien à signaler</v>
      </c>
      <c r="N745" s="5" t="e">
        <f>Logs_Reseau6[[#This Row],[Anciennette]]/24</f>
        <v>#VALUE!</v>
      </c>
      <c r="O745" s="5" t="e">
        <f>Logs_Reseau6[[#This Row],[Duree_Cumulée_Panne]]/1440</f>
        <v>#VALUE!</v>
      </c>
      <c r="P74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46" spans="1:16" x14ac:dyDescent="0.25">
      <c r="A746" s="2">
        <v>45204</v>
      </c>
      <c r="B746" s="1">
        <v>0.61597222222222225</v>
      </c>
      <c r="C746" t="s">
        <v>1182</v>
      </c>
      <c r="D746">
        <v>41</v>
      </c>
      <c r="E746" t="s">
        <v>1305</v>
      </c>
      <c r="F746" t="str">
        <f>_xlfn.XLOOKUP(Logs_Reseau6[[#This Row],[Cell_ID]],Registre[ID_Antenne],Registre[Province_RDC],"Non Trouvée")</f>
        <v>Kinshasa</v>
      </c>
      <c r="G746" t="str">
        <f>_xlfn.XLOOKUP(Logs_Reseau6[[#This Row],[Province]],Clients_Churn[Province_Client],Clients_Churn[ID_Client],"Aucun")</f>
        <v>CLI-00184</v>
      </c>
      <c r="H746" t="str">
        <f>_xlfn.XLOOKUP(Logs_Reseau6[[#This Row],[Cell_ID]],Registre[ID_Antenne],Registre[Technologie],"Rien à signaler")</f>
        <v>3G</v>
      </c>
      <c r="I746" t="str">
        <f>_xlfn.XLOOKUP(Logs_Reseau6[[#This Row],[Cell_ID]],Registre[ID_Antenne],Registre[Equipementier],"Non Trouvée")</f>
        <v>ZTE</v>
      </c>
      <c r="J746" t="str">
        <f>_xlfn.XLOOKUP(Logs_Reseau6[[#This Row],[Id_Client]],Clients_Churn[ID_Client],Clients_Churn[Type_Forfait],"Pas d'information")</f>
        <v>Premium 5G 150Go</v>
      </c>
      <c r="K746" s="5" t="str">
        <f>IF(Logs_Reseau6[[#This Row],[Type_Forfait]]="Pro Monde","B2B","B2C")</f>
        <v>B2C</v>
      </c>
      <c r="L746" s="5">
        <f>_xlfn.XLOOKUP(Logs_Reseau6[[#This Row],[Id_Client]],Clients_Churn[ID_Client],Clients_Churn[Duree_Cumulee_Panne_Min],"Non Trouvée")</f>
        <v>191</v>
      </c>
      <c r="M746" s="5">
        <f>_xlfn.XLOOKUP(Logs_Reseau6[[#This Row],[Id_Client]],Clients_Churn[ID_Client],Clients_Churn[Anciennete_Mois],"Rien à signaler")</f>
        <v>71</v>
      </c>
      <c r="N746" s="11">
        <f>Logs_Reseau6[[#This Row],[Anciennette]]/24</f>
        <v>2.9583333333333335</v>
      </c>
      <c r="O746" s="1">
        <f>Logs_Reseau6[[#This Row],[Duree_Cumulée_Panne]]/1440</f>
        <v>0.13263888888888889</v>
      </c>
      <c r="P74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47" spans="1:16" x14ac:dyDescent="0.25">
      <c r="A747" s="2">
        <v>45209</v>
      </c>
      <c r="B747" s="1">
        <v>0.35486111111111113</v>
      </c>
      <c r="C747" t="s">
        <v>1182</v>
      </c>
      <c r="D747">
        <v>99</v>
      </c>
      <c r="E747" t="s">
        <v>1303</v>
      </c>
      <c r="F747" t="str">
        <f>_xlfn.XLOOKUP(Logs_Reseau6[[#This Row],[Cell_ID]],Registre[ID_Antenne],Registre[Province_RDC],"Non Trouvée")</f>
        <v>Kinshasa</v>
      </c>
      <c r="G747" t="str">
        <f>_xlfn.XLOOKUP(Logs_Reseau6[[#This Row],[Province]],Clients_Churn[Province_Client],Clients_Churn[ID_Client],"Aucun")</f>
        <v>CLI-00184</v>
      </c>
      <c r="H747" t="str">
        <f>_xlfn.XLOOKUP(Logs_Reseau6[[#This Row],[Cell_ID]],Registre[ID_Antenne],Registre[Technologie],"Rien à signaler")</f>
        <v>3G</v>
      </c>
      <c r="I747" t="str">
        <f>_xlfn.XLOOKUP(Logs_Reseau6[[#This Row],[Cell_ID]],Registre[ID_Antenne],Registre[Equipementier],"Non Trouvée")</f>
        <v>ZTE</v>
      </c>
      <c r="J747" t="str">
        <f>_xlfn.XLOOKUP(Logs_Reseau6[[#This Row],[Id_Client]],Clients_Churn[ID_Client],Clients_Churn[Type_Forfait],"Pas d'information")</f>
        <v>Premium 5G 150Go</v>
      </c>
      <c r="K747" s="5" t="str">
        <f>IF(Logs_Reseau6[[#This Row],[Type_Forfait]]="Pro Monde","B2B","B2C")</f>
        <v>B2C</v>
      </c>
      <c r="L747" s="5">
        <f>_xlfn.XLOOKUP(Logs_Reseau6[[#This Row],[Id_Client]],Clients_Churn[ID_Client],Clients_Churn[Duree_Cumulee_Panne_Min],"Non Trouvée")</f>
        <v>191</v>
      </c>
      <c r="M747" s="5">
        <f>_xlfn.XLOOKUP(Logs_Reseau6[[#This Row],[Id_Client]],Clients_Churn[ID_Client],Clients_Churn[Anciennete_Mois],"Rien à signaler")</f>
        <v>71</v>
      </c>
      <c r="N747" s="11">
        <f>Logs_Reseau6[[#This Row],[Anciennette]]/24</f>
        <v>2.9583333333333335</v>
      </c>
      <c r="O747" s="1">
        <f>Logs_Reseau6[[#This Row],[Duree_Cumulée_Panne]]/1440</f>
        <v>0.13263888888888889</v>
      </c>
      <c r="P74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48" spans="1:16" x14ac:dyDescent="0.25">
      <c r="A748" s="2">
        <v>45229</v>
      </c>
      <c r="B748" s="1">
        <v>0.62083333333333335</v>
      </c>
      <c r="C748" t="s">
        <v>1238</v>
      </c>
      <c r="D748">
        <v>74</v>
      </c>
      <c r="E748" t="s">
        <v>1305</v>
      </c>
      <c r="F748" t="str">
        <f>_xlfn.XLOOKUP(Logs_Reseau6[[#This Row],[Cell_ID]],Registre[ID_Antenne],Registre[Province_RDC],"Non Trouvée")</f>
        <v>Haut-Uele</v>
      </c>
      <c r="G748" t="str">
        <f>_xlfn.XLOOKUP(Logs_Reseau6[[#This Row],[Province]],Clients_Churn[Province_Client],Clients_Churn[ID_Client],"Aucun")</f>
        <v>CLI-00055</v>
      </c>
      <c r="H748" t="str">
        <f>_xlfn.XLOOKUP(Logs_Reseau6[[#This Row],[Cell_ID]],Registre[ID_Antenne],Registre[Technologie],"Rien à signaler")</f>
        <v>4G</v>
      </c>
      <c r="I748" t="str">
        <f>_xlfn.XLOOKUP(Logs_Reseau6[[#This Row],[Cell_ID]],Registre[ID_Antenne],Registre[Equipementier],"Non Trouvée")</f>
        <v>Huawei</v>
      </c>
      <c r="J748" t="str">
        <f>_xlfn.XLOOKUP(Logs_Reseau6[[#This Row],[Id_Client]],Clients_Churn[ID_Client],Clients_Churn[Type_Forfait],"Pas d'information")</f>
        <v>Pro Monde</v>
      </c>
      <c r="K748" s="5" t="str">
        <f>IF(Logs_Reseau6[[#This Row],[Type_Forfait]]="Pro Monde","B2B","B2C")</f>
        <v>B2B</v>
      </c>
      <c r="L748" s="5">
        <f>_xlfn.XLOOKUP(Logs_Reseau6[[#This Row],[Id_Client]],Clients_Churn[ID_Client],Clients_Churn[Duree_Cumulee_Panne_Min],"Non Trouvée")</f>
        <v>206</v>
      </c>
      <c r="M748" s="5">
        <f>_xlfn.XLOOKUP(Logs_Reseau6[[#This Row],[Id_Client]],Clients_Churn[ID_Client],Clients_Churn[Anciennete_Mois],"Rien à signaler")</f>
        <v>6</v>
      </c>
      <c r="N748" s="11">
        <f>Logs_Reseau6[[#This Row],[Anciennette]]/24</f>
        <v>0.25</v>
      </c>
      <c r="O748" s="1">
        <f>Logs_Reseau6[[#This Row],[Duree_Cumulée_Panne]]/1440</f>
        <v>0.14305555555555555</v>
      </c>
      <c r="P74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49" spans="1:16" x14ac:dyDescent="0.25">
      <c r="A749" s="2">
        <v>45206</v>
      </c>
      <c r="B749" s="1">
        <v>0.44305555555555554</v>
      </c>
      <c r="C749" t="s">
        <v>1052</v>
      </c>
      <c r="D749">
        <v>48</v>
      </c>
      <c r="E749" t="s">
        <v>1305</v>
      </c>
      <c r="F749" t="str">
        <f>_xlfn.XLOOKUP(Logs_Reseau6[[#This Row],[Cell_ID]],Registre[ID_Antenne],Registre[Province_RDC],"Non Trouvée")</f>
        <v>Haut-Lomami</v>
      </c>
      <c r="G749" t="str">
        <f>_xlfn.XLOOKUP(Logs_Reseau6[[#This Row],[Province]],Clients_Churn[Province_Client],Clients_Churn[ID_Client],"Aucun")</f>
        <v>CLI-00022</v>
      </c>
      <c r="H749" t="str">
        <f>_xlfn.XLOOKUP(Logs_Reseau6[[#This Row],[Cell_ID]],Registre[ID_Antenne],Registre[Technologie],"Rien à signaler")</f>
        <v>4G</v>
      </c>
      <c r="I749" t="str">
        <f>_xlfn.XLOOKUP(Logs_Reseau6[[#This Row],[Cell_ID]],Registre[ID_Antenne],Registre[Equipementier],"Non Trouvée")</f>
        <v>Huawei</v>
      </c>
      <c r="J749" t="str">
        <f>_xlfn.XLOOKUP(Logs_Reseau6[[#This Row],[Id_Client]],Clients_Churn[ID_Client],Clients_Churn[Type_Forfait],"Pas d'information")</f>
        <v>Premium 5G 150Go</v>
      </c>
      <c r="K749" s="5" t="str">
        <f>IF(Logs_Reseau6[[#This Row],[Type_Forfait]]="Pro Monde","B2B","B2C")</f>
        <v>B2C</v>
      </c>
      <c r="L749" s="5">
        <f>_xlfn.XLOOKUP(Logs_Reseau6[[#This Row],[Id_Client]],Clients_Churn[ID_Client],Clients_Churn[Duree_Cumulee_Panne_Min],"Non Trouvée")</f>
        <v>488</v>
      </c>
      <c r="M749" s="5">
        <f>_xlfn.XLOOKUP(Logs_Reseau6[[#This Row],[Id_Client]],Clients_Churn[ID_Client],Clients_Churn[Anciennete_Mois],"Rien à signaler")</f>
        <v>77</v>
      </c>
      <c r="N749" s="11">
        <f>Logs_Reseau6[[#This Row],[Anciennette]]/24</f>
        <v>3.2083333333333335</v>
      </c>
      <c r="O749" s="1">
        <f>Logs_Reseau6[[#This Row],[Duree_Cumulée_Panne]]/1440</f>
        <v>0.33888888888888891</v>
      </c>
      <c r="P74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50" spans="1:16" x14ac:dyDescent="0.25">
      <c r="A750" s="2">
        <v>45225</v>
      </c>
      <c r="B750" s="1">
        <v>0.28888888888888886</v>
      </c>
      <c r="C750" t="s">
        <v>1052</v>
      </c>
      <c r="D750">
        <v>89</v>
      </c>
      <c r="E750" t="s">
        <v>1300</v>
      </c>
      <c r="F750" t="str">
        <f>_xlfn.XLOOKUP(Logs_Reseau6[[#This Row],[Cell_ID]],Registre[ID_Antenne],Registre[Province_RDC],"Non Trouvée")</f>
        <v>Haut-Lomami</v>
      </c>
      <c r="G750" t="str">
        <f>_xlfn.XLOOKUP(Logs_Reseau6[[#This Row],[Province]],Clients_Churn[Province_Client],Clients_Churn[ID_Client],"Aucun")</f>
        <v>CLI-00022</v>
      </c>
      <c r="H750" t="str">
        <f>_xlfn.XLOOKUP(Logs_Reseau6[[#This Row],[Cell_ID]],Registre[ID_Antenne],Registre[Technologie],"Rien à signaler")</f>
        <v>4G</v>
      </c>
      <c r="I750" t="str">
        <f>_xlfn.XLOOKUP(Logs_Reseau6[[#This Row],[Cell_ID]],Registre[ID_Antenne],Registre[Equipementier],"Non Trouvée")</f>
        <v>Huawei</v>
      </c>
      <c r="J750" t="str">
        <f>_xlfn.XLOOKUP(Logs_Reseau6[[#This Row],[Id_Client]],Clients_Churn[ID_Client],Clients_Churn[Type_Forfait],"Pas d'information")</f>
        <v>Premium 5G 150Go</v>
      </c>
      <c r="K750" s="5" t="str">
        <f>IF(Logs_Reseau6[[#This Row],[Type_Forfait]]="Pro Monde","B2B","B2C")</f>
        <v>B2C</v>
      </c>
      <c r="L750" s="5">
        <f>_xlfn.XLOOKUP(Logs_Reseau6[[#This Row],[Id_Client]],Clients_Churn[ID_Client],Clients_Churn[Duree_Cumulee_Panne_Min],"Non Trouvée")</f>
        <v>488</v>
      </c>
      <c r="M750" s="5">
        <f>_xlfn.XLOOKUP(Logs_Reseau6[[#This Row],[Id_Client]],Clients_Churn[ID_Client],Clients_Churn[Anciennete_Mois],"Rien à signaler")</f>
        <v>77</v>
      </c>
      <c r="N750" s="11">
        <f>Logs_Reseau6[[#This Row],[Anciennette]]/24</f>
        <v>3.2083333333333335</v>
      </c>
      <c r="O750" s="1">
        <f>Logs_Reseau6[[#This Row],[Duree_Cumulée_Panne]]/1440</f>
        <v>0.33888888888888891</v>
      </c>
      <c r="P75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51" spans="1:16" x14ac:dyDescent="0.25">
      <c r="A751" s="2">
        <v>45211</v>
      </c>
      <c r="B751" s="1">
        <v>0.72291666666666665</v>
      </c>
      <c r="C751" t="s">
        <v>1206</v>
      </c>
      <c r="D751">
        <v>28</v>
      </c>
      <c r="E751" t="s">
        <v>1300</v>
      </c>
      <c r="F751" t="str">
        <f>_xlfn.XLOOKUP(Logs_Reseau6[[#This Row],[Cell_ID]],Registre[ID_Antenne],Registre[Province_RDC],"Non Trouvée")</f>
        <v>Haut-Uele</v>
      </c>
      <c r="G751" t="str">
        <f>_xlfn.XLOOKUP(Logs_Reseau6[[#This Row],[Province]],Clients_Churn[Province_Client],Clients_Churn[ID_Client],"Aucun")</f>
        <v>CLI-00055</v>
      </c>
      <c r="H751" t="str">
        <f>_xlfn.XLOOKUP(Logs_Reseau6[[#This Row],[Cell_ID]],Registre[ID_Antenne],Registre[Technologie],"Rien à signaler")</f>
        <v>4G</v>
      </c>
      <c r="I751" t="str">
        <f>_xlfn.XLOOKUP(Logs_Reseau6[[#This Row],[Cell_ID]],Registre[ID_Antenne],Registre[Equipementier],"Non Trouvée")</f>
        <v>Huawei</v>
      </c>
      <c r="J751" t="str">
        <f>_xlfn.XLOOKUP(Logs_Reseau6[[#This Row],[Id_Client]],Clients_Churn[ID_Client],Clients_Churn[Type_Forfait],"Pas d'information")</f>
        <v>Pro Monde</v>
      </c>
      <c r="K751" s="5" t="str">
        <f>IF(Logs_Reseau6[[#This Row],[Type_Forfait]]="Pro Monde","B2B","B2C")</f>
        <v>B2B</v>
      </c>
      <c r="L751" s="5">
        <f>_xlfn.XLOOKUP(Logs_Reseau6[[#This Row],[Id_Client]],Clients_Churn[ID_Client],Clients_Churn[Duree_Cumulee_Panne_Min],"Non Trouvée")</f>
        <v>206</v>
      </c>
      <c r="M751" s="5">
        <f>_xlfn.XLOOKUP(Logs_Reseau6[[#This Row],[Id_Client]],Clients_Churn[ID_Client],Clients_Churn[Anciennete_Mois],"Rien à signaler")</f>
        <v>6</v>
      </c>
      <c r="N751" s="11">
        <f>Logs_Reseau6[[#This Row],[Anciennette]]/24</f>
        <v>0.25</v>
      </c>
      <c r="O751" s="1">
        <f>Logs_Reseau6[[#This Row],[Duree_Cumulée_Panne]]/1440</f>
        <v>0.14305555555555555</v>
      </c>
      <c r="P75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52" spans="1:16" hidden="1" x14ac:dyDescent="0.25">
      <c r="A752" s="2">
        <v>45207</v>
      </c>
      <c r="B752" s="1">
        <v>0.54305555555555551</v>
      </c>
      <c r="C752" t="s">
        <v>1396</v>
      </c>
      <c r="D752">
        <v>54</v>
      </c>
      <c r="E752" t="s">
        <v>1300</v>
      </c>
      <c r="F752" t="str">
        <f>_xlfn.XLOOKUP(Logs_Reseau6[[#This Row],[Cell_ID]],Registre[ID_Antenne],Registre[Province_RDC],"Non Trouvée")</f>
        <v>Non Trouvée</v>
      </c>
      <c r="G752" t="str">
        <f>_xlfn.XLOOKUP(Logs_Reseau6[[#This Row],[Province]],Clients_Churn[Province_Client],Clients_Churn[ID_Client],"Aucun")</f>
        <v>Aucun</v>
      </c>
      <c r="H752" t="str">
        <f>_xlfn.XLOOKUP(Logs_Reseau6[[#This Row],[Cell_ID]],Registre[ID_Antenne],Registre[Technologie],"Rien à signaler")</f>
        <v>Rien à signaler</v>
      </c>
      <c r="I752" t="str">
        <f>_xlfn.XLOOKUP(Logs_Reseau6[[#This Row],[Cell_ID]],Registre[ID_Antenne],Registre[Equipementier],"Non Trouvée")</f>
        <v>Non Trouvée</v>
      </c>
      <c r="J752" t="str">
        <f>_xlfn.XLOOKUP(Logs_Reseau6[[#This Row],[Id_Client]],Clients_Churn[ID_Client],Clients_Churn[Type_Forfait],"Pas d'information")</f>
        <v>Pas d'information</v>
      </c>
      <c r="K752" s="5" t="str">
        <f>IF(Logs_Reseau6[[#This Row],[Type_Forfait]]="Pro Monde","B2B","B2C")</f>
        <v>B2C</v>
      </c>
      <c r="L752" s="5" t="str">
        <f>_xlfn.XLOOKUP(Logs_Reseau6[[#This Row],[Id_Client]],Clients_Churn[ID_Client],Clients_Churn[Duree_Cumulee_Panne_Min],"Non Trouvée")</f>
        <v>Non Trouvée</v>
      </c>
      <c r="M752" s="5" t="str">
        <f>_xlfn.XLOOKUP(Logs_Reseau6[[#This Row],[Id_Client]],Clients_Churn[ID_Client],Clients_Churn[Anciennete_Mois],"Rien à signaler")</f>
        <v>Rien à signaler</v>
      </c>
      <c r="N752" s="5" t="e">
        <f>Logs_Reseau6[[#This Row],[Anciennette]]/24</f>
        <v>#VALUE!</v>
      </c>
      <c r="O752" s="5" t="e">
        <f>Logs_Reseau6[[#This Row],[Duree_Cumulée_Panne]]/1440</f>
        <v>#VALUE!</v>
      </c>
      <c r="P75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53" spans="1:16" hidden="1" x14ac:dyDescent="0.25">
      <c r="A753" s="2">
        <v>45225</v>
      </c>
      <c r="B753" s="1">
        <v>0.99652777777777779</v>
      </c>
      <c r="C753" t="s">
        <v>1396</v>
      </c>
      <c r="D753">
        <v>55</v>
      </c>
      <c r="E753" t="s">
        <v>1303</v>
      </c>
      <c r="F753" t="str">
        <f>_xlfn.XLOOKUP(Logs_Reseau6[[#This Row],[Cell_ID]],Registre[ID_Antenne],Registre[Province_RDC],"Non Trouvée")</f>
        <v>Non Trouvée</v>
      </c>
      <c r="G753" t="str">
        <f>_xlfn.XLOOKUP(Logs_Reseau6[[#This Row],[Province]],Clients_Churn[Province_Client],Clients_Churn[ID_Client],"Aucun")</f>
        <v>Aucun</v>
      </c>
      <c r="H753" t="str">
        <f>_xlfn.XLOOKUP(Logs_Reseau6[[#This Row],[Cell_ID]],Registre[ID_Antenne],Registre[Technologie],"Rien à signaler")</f>
        <v>Rien à signaler</v>
      </c>
      <c r="I753" t="str">
        <f>_xlfn.XLOOKUP(Logs_Reseau6[[#This Row],[Cell_ID]],Registre[ID_Antenne],Registre[Equipementier],"Non Trouvée")</f>
        <v>Non Trouvée</v>
      </c>
      <c r="J753" t="str">
        <f>_xlfn.XLOOKUP(Logs_Reseau6[[#This Row],[Id_Client]],Clients_Churn[ID_Client],Clients_Churn[Type_Forfait],"Pas d'information")</f>
        <v>Pas d'information</v>
      </c>
      <c r="K753" s="5" t="str">
        <f>IF(Logs_Reseau6[[#This Row],[Type_Forfait]]="Pro Monde","B2B","B2C")</f>
        <v>B2C</v>
      </c>
      <c r="L753" s="5" t="str">
        <f>_xlfn.XLOOKUP(Logs_Reseau6[[#This Row],[Id_Client]],Clients_Churn[ID_Client],Clients_Churn[Duree_Cumulee_Panne_Min],"Non Trouvée")</f>
        <v>Non Trouvée</v>
      </c>
      <c r="M753" s="5" t="str">
        <f>_xlfn.XLOOKUP(Logs_Reseau6[[#This Row],[Id_Client]],Clients_Churn[ID_Client],Clients_Churn[Anciennete_Mois],"Rien à signaler")</f>
        <v>Rien à signaler</v>
      </c>
      <c r="N753" s="5" t="e">
        <f>Logs_Reseau6[[#This Row],[Anciennette]]/24</f>
        <v>#VALUE!</v>
      </c>
      <c r="O753" s="5" t="e">
        <f>Logs_Reseau6[[#This Row],[Duree_Cumulée_Panne]]/1440</f>
        <v>#VALUE!</v>
      </c>
      <c r="P75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54" spans="1:16" hidden="1" x14ac:dyDescent="0.25">
      <c r="A754" s="2">
        <v>45225</v>
      </c>
      <c r="B754" s="1">
        <v>0.32291666666666669</v>
      </c>
      <c r="C754" t="s">
        <v>1519</v>
      </c>
      <c r="D754">
        <v>47</v>
      </c>
      <c r="E754" t="s">
        <v>1305</v>
      </c>
      <c r="F754" t="str">
        <f>_xlfn.XLOOKUP(Logs_Reseau6[[#This Row],[Cell_ID]],Registre[ID_Antenne],Registre[Province_RDC],"Non Trouvée")</f>
        <v>Non Trouvée</v>
      </c>
      <c r="G754" t="str">
        <f>_xlfn.XLOOKUP(Logs_Reseau6[[#This Row],[Province]],Clients_Churn[Province_Client],Clients_Churn[ID_Client],"Aucun")</f>
        <v>Aucun</v>
      </c>
      <c r="H754" t="str">
        <f>_xlfn.XLOOKUP(Logs_Reseau6[[#This Row],[Cell_ID]],Registre[ID_Antenne],Registre[Technologie],"Rien à signaler")</f>
        <v>Rien à signaler</v>
      </c>
      <c r="I754" t="str">
        <f>_xlfn.XLOOKUP(Logs_Reseau6[[#This Row],[Cell_ID]],Registre[ID_Antenne],Registre[Equipementier],"Non Trouvée")</f>
        <v>Non Trouvée</v>
      </c>
      <c r="J754" t="str">
        <f>_xlfn.XLOOKUP(Logs_Reseau6[[#This Row],[Id_Client]],Clients_Churn[ID_Client],Clients_Churn[Type_Forfait],"Pas d'information")</f>
        <v>Pas d'information</v>
      </c>
      <c r="K754" s="5" t="str">
        <f>IF(Logs_Reseau6[[#This Row],[Type_Forfait]]="Pro Monde","B2B","B2C")</f>
        <v>B2C</v>
      </c>
      <c r="L754" s="5" t="str">
        <f>_xlfn.XLOOKUP(Logs_Reseau6[[#This Row],[Id_Client]],Clients_Churn[ID_Client],Clients_Churn[Duree_Cumulee_Panne_Min],"Non Trouvée")</f>
        <v>Non Trouvée</v>
      </c>
      <c r="M754" s="5" t="str">
        <f>_xlfn.XLOOKUP(Logs_Reseau6[[#This Row],[Id_Client]],Clients_Churn[ID_Client],Clients_Churn[Anciennete_Mois],"Rien à signaler")</f>
        <v>Rien à signaler</v>
      </c>
      <c r="N754" s="5" t="e">
        <f>Logs_Reseau6[[#This Row],[Anciennette]]/24</f>
        <v>#VALUE!</v>
      </c>
      <c r="O754" s="5" t="e">
        <f>Logs_Reseau6[[#This Row],[Duree_Cumulée_Panne]]/1440</f>
        <v>#VALUE!</v>
      </c>
      <c r="P75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55" spans="1:16" x14ac:dyDescent="0.25">
      <c r="A755" s="2">
        <v>45214</v>
      </c>
      <c r="B755" s="1">
        <v>0.2902777777777778</v>
      </c>
      <c r="C755" t="s">
        <v>862</v>
      </c>
      <c r="D755">
        <v>27</v>
      </c>
      <c r="E755" t="s">
        <v>1303</v>
      </c>
      <c r="F755" t="str">
        <f>_xlfn.XLOOKUP(Logs_Reseau6[[#This Row],[Cell_ID]],Registre[ID_Antenne],Registre[Province_RDC],"Non Trouvée")</f>
        <v>Equateur</v>
      </c>
      <c r="G755" t="str">
        <f>_xlfn.XLOOKUP(Logs_Reseau6[[#This Row],[Province]],Clients_Churn[Province_Client],Clients_Churn[ID_Client],"Aucun")</f>
        <v>CLI-00091</v>
      </c>
      <c r="H755" t="str">
        <f>_xlfn.XLOOKUP(Logs_Reseau6[[#This Row],[Cell_ID]],Registre[ID_Antenne],Registre[Technologie],"Rien à signaler")</f>
        <v>3G</v>
      </c>
      <c r="I755" t="str">
        <f>_xlfn.XLOOKUP(Logs_Reseau6[[#This Row],[Cell_ID]],Registre[ID_Antenne],Registre[Equipementier],"Non Trouvée")</f>
        <v>Huawei</v>
      </c>
      <c r="J755" t="str">
        <f>_xlfn.XLOOKUP(Logs_Reseau6[[#This Row],[Id_Client]],Clients_Churn[ID_Client],Clients_Churn[Type_Forfait],"Pas d'information")</f>
        <v>Bloqué 5Go</v>
      </c>
      <c r="K755" s="5" t="str">
        <f>IF(Logs_Reseau6[[#This Row],[Type_Forfait]]="Pro Monde","B2B","B2C")</f>
        <v>B2C</v>
      </c>
      <c r="L755" s="5">
        <f>_xlfn.XLOOKUP(Logs_Reseau6[[#This Row],[Id_Client]],Clients_Churn[ID_Client],Clients_Churn[Duree_Cumulee_Panne_Min],"Non Trouvée")</f>
        <v>435</v>
      </c>
      <c r="M755" s="5">
        <f>_xlfn.XLOOKUP(Logs_Reseau6[[#This Row],[Id_Client]],Clients_Churn[ID_Client],Clients_Churn[Anciennete_Mois],"Rien à signaler")</f>
        <v>50</v>
      </c>
      <c r="N755" s="11">
        <f>Logs_Reseau6[[#This Row],[Anciennette]]/24</f>
        <v>2.0833333333333335</v>
      </c>
      <c r="O755" s="1">
        <f>Logs_Reseau6[[#This Row],[Duree_Cumulée_Panne]]/1440</f>
        <v>0.30208333333333331</v>
      </c>
      <c r="P75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56" spans="1:16" x14ac:dyDescent="0.25">
      <c r="A756" s="2">
        <v>45226</v>
      </c>
      <c r="B756" s="1">
        <v>0.31319444444444444</v>
      </c>
      <c r="C756" t="s">
        <v>862</v>
      </c>
      <c r="D756">
        <v>66</v>
      </c>
      <c r="E756" t="s">
        <v>1305</v>
      </c>
      <c r="F756" t="str">
        <f>_xlfn.XLOOKUP(Logs_Reseau6[[#This Row],[Cell_ID]],Registre[ID_Antenne],Registre[Province_RDC],"Non Trouvée")</f>
        <v>Equateur</v>
      </c>
      <c r="G756" t="str">
        <f>_xlfn.XLOOKUP(Logs_Reseau6[[#This Row],[Province]],Clients_Churn[Province_Client],Clients_Churn[ID_Client],"Aucun")</f>
        <v>CLI-00091</v>
      </c>
      <c r="H756" t="str">
        <f>_xlfn.XLOOKUP(Logs_Reseau6[[#This Row],[Cell_ID]],Registre[ID_Antenne],Registre[Technologie],"Rien à signaler")</f>
        <v>3G</v>
      </c>
      <c r="I756" t="str">
        <f>_xlfn.XLOOKUP(Logs_Reseau6[[#This Row],[Cell_ID]],Registre[ID_Antenne],Registre[Equipementier],"Non Trouvée")</f>
        <v>Huawei</v>
      </c>
      <c r="J756" t="str">
        <f>_xlfn.XLOOKUP(Logs_Reseau6[[#This Row],[Id_Client]],Clients_Churn[ID_Client],Clients_Churn[Type_Forfait],"Pas d'information")</f>
        <v>Bloqué 5Go</v>
      </c>
      <c r="K756" s="5" t="str">
        <f>IF(Logs_Reseau6[[#This Row],[Type_Forfait]]="Pro Monde","B2B","B2C")</f>
        <v>B2C</v>
      </c>
      <c r="L756" s="5">
        <f>_xlfn.XLOOKUP(Logs_Reseau6[[#This Row],[Id_Client]],Clients_Churn[ID_Client],Clients_Churn[Duree_Cumulee_Panne_Min],"Non Trouvée")</f>
        <v>435</v>
      </c>
      <c r="M756" s="5">
        <f>_xlfn.XLOOKUP(Logs_Reseau6[[#This Row],[Id_Client]],Clients_Churn[ID_Client],Clients_Churn[Anciennete_Mois],"Rien à signaler")</f>
        <v>50</v>
      </c>
      <c r="N756" s="11">
        <f>Logs_Reseau6[[#This Row],[Anciennette]]/24</f>
        <v>2.0833333333333335</v>
      </c>
      <c r="O756" s="1">
        <f>Logs_Reseau6[[#This Row],[Duree_Cumulée_Panne]]/1440</f>
        <v>0.30208333333333331</v>
      </c>
      <c r="P75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57" spans="1:16" x14ac:dyDescent="0.25">
      <c r="A757" s="2">
        <v>45224</v>
      </c>
      <c r="B757" s="1">
        <v>0.10486111111111111</v>
      </c>
      <c r="C757" t="s">
        <v>1017</v>
      </c>
      <c r="D757">
        <v>98</v>
      </c>
      <c r="E757" t="s">
        <v>1305</v>
      </c>
      <c r="F757" t="str">
        <f>_xlfn.XLOOKUP(Logs_Reseau6[[#This Row],[Cell_ID]],Registre[ID_Antenne],Registre[Province_RDC],"Non Trouvée")</f>
        <v>Tanganyika</v>
      </c>
      <c r="G757" t="str">
        <f>_xlfn.XLOOKUP(Logs_Reseau6[[#This Row],[Province]],Clients_Churn[Province_Client],Clients_Churn[ID_Client],"Aucun")</f>
        <v>CLI-00007</v>
      </c>
      <c r="H757" t="str">
        <f>_xlfn.XLOOKUP(Logs_Reseau6[[#This Row],[Cell_ID]],Registre[ID_Antenne],Registre[Technologie],"Rien à signaler")</f>
        <v>5G</v>
      </c>
      <c r="I757" t="str">
        <f>_xlfn.XLOOKUP(Logs_Reseau6[[#This Row],[Cell_ID]],Registre[ID_Antenne],Registre[Equipementier],"Non Trouvée")</f>
        <v>ZTE</v>
      </c>
      <c r="J757" t="str">
        <f>_xlfn.XLOOKUP(Logs_Reseau6[[#This Row],[Id_Client]],Clients_Churn[ID_Client],Clients_Churn[Type_Forfait],"Pas d'information")</f>
        <v>Bloqué 5Go</v>
      </c>
      <c r="K757" s="5" t="str">
        <f>IF(Logs_Reseau6[[#This Row],[Type_Forfait]]="Pro Monde","B2B","B2C")</f>
        <v>B2C</v>
      </c>
      <c r="L757" s="5">
        <f>_xlfn.XLOOKUP(Logs_Reseau6[[#This Row],[Id_Client]],Clients_Churn[ID_Client],Clients_Churn[Duree_Cumulee_Panne_Min],"Non Trouvée")</f>
        <v>112</v>
      </c>
      <c r="M757" s="5">
        <f>_xlfn.XLOOKUP(Logs_Reseau6[[#This Row],[Id_Client]],Clients_Churn[ID_Client],Clients_Churn[Anciennete_Mois],"Rien à signaler")</f>
        <v>110</v>
      </c>
      <c r="N757" s="11">
        <f>Logs_Reseau6[[#This Row],[Anciennette]]/24</f>
        <v>4.583333333333333</v>
      </c>
      <c r="O757" s="1">
        <f>Logs_Reseau6[[#This Row],[Duree_Cumulée_Panne]]/1440</f>
        <v>7.7777777777777779E-2</v>
      </c>
      <c r="P75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58" spans="1:16" hidden="1" x14ac:dyDescent="0.25">
      <c r="A758" s="2">
        <v>45224</v>
      </c>
      <c r="B758" s="1">
        <v>0.88472222222222219</v>
      </c>
      <c r="C758" t="s">
        <v>1585</v>
      </c>
      <c r="D758">
        <v>119</v>
      </c>
      <c r="E758" t="s">
        <v>1303</v>
      </c>
      <c r="F758" t="str">
        <f>_xlfn.XLOOKUP(Logs_Reseau6[[#This Row],[Cell_ID]],Registre[ID_Antenne],Registre[Province_RDC],"Non Trouvée")</f>
        <v>Non Trouvée</v>
      </c>
      <c r="G758" t="str">
        <f>_xlfn.XLOOKUP(Logs_Reseau6[[#This Row],[Province]],Clients_Churn[Province_Client],Clients_Churn[ID_Client],"Aucun")</f>
        <v>Aucun</v>
      </c>
      <c r="H758" t="str">
        <f>_xlfn.XLOOKUP(Logs_Reseau6[[#This Row],[Cell_ID]],Registre[ID_Antenne],Registre[Technologie],"Rien à signaler")</f>
        <v>Rien à signaler</v>
      </c>
      <c r="I758" t="str">
        <f>_xlfn.XLOOKUP(Logs_Reseau6[[#This Row],[Cell_ID]],Registre[ID_Antenne],Registre[Equipementier],"Non Trouvée")</f>
        <v>Non Trouvée</v>
      </c>
      <c r="J758" t="str">
        <f>_xlfn.XLOOKUP(Logs_Reseau6[[#This Row],[Id_Client]],Clients_Churn[ID_Client],Clients_Churn[Type_Forfait],"Pas d'information")</f>
        <v>Pas d'information</v>
      </c>
      <c r="K758" s="5" t="str">
        <f>IF(Logs_Reseau6[[#This Row],[Type_Forfait]]="Pro Monde","B2B","B2C")</f>
        <v>B2C</v>
      </c>
      <c r="L758" s="5" t="str">
        <f>_xlfn.XLOOKUP(Logs_Reseau6[[#This Row],[Id_Client]],Clients_Churn[ID_Client],Clients_Churn[Duree_Cumulee_Panne_Min],"Non Trouvée")</f>
        <v>Non Trouvée</v>
      </c>
      <c r="M758" s="5" t="str">
        <f>_xlfn.XLOOKUP(Logs_Reseau6[[#This Row],[Id_Client]],Clients_Churn[ID_Client],Clients_Churn[Anciennete_Mois],"Rien à signaler")</f>
        <v>Rien à signaler</v>
      </c>
      <c r="N758" s="5" t="e">
        <f>Logs_Reseau6[[#This Row],[Anciennette]]/24</f>
        <v>#VALUE!</v>
      </c>
      <c r="O758" s="5" t="e">
        <f>Logs_Reseau6[[#This Row],[Duree_Cumulée_Panne]]/1440</f>
        <v>#VALUE!</v>
      </c>
      <c r="P75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59" spans="1:16" hidden="1" x14ac:dyDescent="0.25">
      <c r="A759" s="2">
        <v>45200</v>
      </c>
      <c r="B759" s="1">
        <v>0.22013888888888888</v>
      </c>
      <c r="C759" t="s">
        <v>1435</v>
      </c>
      <c r="D759">
        <v>53</v>
      </c>
      <c r="E759" t="s">
        <v>1303</v>
      </c>
      <c r="F759" t="str">
        <f>_xlfn.XLOOKUP(Logs_Reseau6[[#This Row],[Cell_ID]],Registre[ID_Antenne],Registre[Province_RDC],"Non Trouvée")</f>
        <v>Non Trouvée</v>
      </c>
      <c r="G759" t="str">
        <f>_xlfn.XLOOKUP(Logs_Reseau6[[#This Row],[Province]],Clients_Churn[Province_Client],Clients_Churn[ID_Client],"Aucun")</f>
        <v>Aucun</v>
      </c>
      <c r="H759" t="str">
        <f>_xlfn.XLOOKUP(Logs_Reseau6[[#This Row],[Cell_ID]],Registre[ID_Antenne],Registre[Technologie],"Rien à signaler")</f>
        <v>Rien à signaler</v>
      </c>
      <c r="I759" t="str">
        <f>_xlfn.XLOOKUP(Logs_Reseau6[[#This Row],[Cell_ID]],Registre[ID_Antenne],Registre[Equipementier],"Non Trouvée")</f>
        <v>Non Trouvée</v>
      </c>
      <c r="J759" t="str">
        <f>_xlfn.XLOOKUP(Logs_Reseau6[[#This Row],[Id_Client]],Clients_Churn[ID_Client],Clients_Churn[Type_Forfait],"Pas d'information")</f>
        <v>Pas d'information</v>
      </c>
      <c r="K759" s="5" t="str">
        <f>IF(Logs_Reseau6[[#This Row],[Type_Forfait]]="Pro Monde","B2B","B2C")</f>
        <v>B2C</v>
      </c>
      <c r="L759" s="5" t="str">
        <f>_xlfn.XLOOKUP(Logs_Reseau6[[#This Row],[Id_Client]],Clients_Churn[ID_Client],Clients_Churn[Duree_Cumulee_Panne_Min],"Non Trouvée")</f>
        <v>Non Trouvée</v>
      </c>
      <c r="M759" s="5" t="str">
        <f>_xlfn.XLOOKUP(Logs_Reseau6[[#This Row],[Id_Client]],Clients_Churn[ID_Client],Clients_Churn[Anciennete_Mois],"Rien à signaler")</f>
        <v>Rien à signaler</v>
      </c>
      <c r="N759" s="5" t="e">
        <f>Logs_Reseau6[[#This Row],[Anciennette]]/24</f>
        <v>#VALUE!</v>
      </c>
      <c r="O759" s="5" t="e">
        <f>Logs_Reseau6[[#This Row],[Duree_Cumulée_Panne]]/1440</f>
        <v>#VALUE!</v>
      </c>
      <c r="P75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60" spans="1:16" hidden="1" x14ac:dyDescent="0.25">
      <c r="A760" s="2">
        <v>45227</v>
      </c>
      <c r="B760" s="1">
        <v>0.39305555555555555</v>
      </c>
      <c r="C760" t="s">
        <v>1435</v>
      </c>
      <c r="D760">
        <v>67</v>
      </c>
      <c r="E760" t="s">
        <v>1300</v>
      </c>
      <c r="F760" t="str">
        <f>_xlfn.XLOOKUP(Logs_Reseau6[[#This Row],[Cell_ID]],Registre[ID_Antenne],Registre[Province_RDC],"Non Trouvée")</f>
        <v>Non Trouvée</v>
      </c>
      <c r="G760" t="str">
        <f>_xlfn.XLOOKUP(Logs_Reseau6[[#This Row],[Province]],Clients_Churn[Province_Client],Clients_Churn[ID_Client],"Aucun")</f>
        <v>Aucun</v>
      </c>
      <c r="H760" t="str">
        <f>_xlfn.XLOOKUP(Logs_Reseau6[[#This Row],[Cell_ID]],Registre[ID_Antenne],Registre[Technologie],"Rien à signaler")</f>
        <v>Rien à signaler</v>
      </c>
      <c r="I760" t="str">
        <f>_xlfn.XLOOKUP(Logs_Reseau6[[#This Row],[Cell_ID]],Registre[ID_Antenne],Registre[Equipementier],"Non Trouvée")</f>
        <v>Non Trouvée</v>
      </c>
      <c r="J760" t="str">
        <f>_xlfn.XLOOKUP(Logs_Reseau6[[#This Row],[Id_Client]],Clients_Churn[ID_Client],Clients_Churn[Type_Forfait],"Pas d'information")</f>
        <v>Pas d'information</v>
      </c>
      <c r="K760" s="5" t="str">
        <f>IF(Logs_Reseau6[[#This Row],[Type_Forfait]]="Pro Monde","B2B","B2C")</f>
        <v>B2C</v>
      </c>
      <c r="L760" s="5" t="str">
        <f>_xlfn.XLOOKUP(Logs_Reseau6[[#This Row],[Id_Client]],Clients_Churn[ID_Client],Clients_Churn[Duree_Cumulee_Panne_Min],"Non Trouvée")</f>
        <v>Non Trouvée</v>
      </c>
      <c r="M760" s="5" t="str">
        <f>_xlfn.XLOOKUP(Logs_Reseau6[[#This Row],[Id_Client]],Clients_Churn[ID_Client],Clients_Churn[Anciennete_Mois],"Rien à signaler")</f>
        <v>Rien à signaler</v>
      </c>
      <c r="N760" s="5" t="e">
        <f>Logs_Reseau6[[#This Row],[Anciennette]]/24</f>
        <v>#VALUE!</v>
      </c>
      <c r="O760" s="5" t="e">
        <f>Logs_Reseau6[[#This Row],[Duree_Cumulée_Panne]]/1440</f>
        <v>#VALUE!</v>
      </c>
      <c r="P76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61" spans="1:16" x14ac:dyDescent="0.25">
      <c r="A761" s="2">
        <v>45218</v>
      </c>
      <c r="B761" s="1">
        <v>3.8194444444444448E-2</v>
      </c>
      <c r="C761" t="s">
        <v>1235</v>
      </c>
      <c r="D761">
        <v>6</v>
      </c>
      <c r="E761" t="s">
        <v>1300</v>
      </c>
      <c r="F761" t="str">
        <f>_xlfn.XLOOKUP(Logs_Reseau6[[#This Row],[Cell_ID]],Registre[ID_Antenne],Registre[Province_RDC],"Non Trouvée")</f>
        <v>Kwango</v>
      </c>
      <c r="G761" t="str">
        <f>_xlfn.XLOOKUP(Logs_Reseau6[[#This Row],[Province]],Clients_Churn[Province_Client],Clients_Churn[ID_Client],"Aucun")</f>
        <v>CLI-00094</v>
      </c>
      <c r="H761" t="str">
        <f>_xlfn.XLOOKUP(Logs_Reseau6[[#This Row],[Cell_ID]],Registre[ID_Antenne],Registre[Technologie],"Rien à signaler")</f>
        <v>3G</v>
      </c>
      <c r="I761" t="str">
        <f>_xlfn.XLOOKUP(Logs_Reseau6[[#This Row],[Cell_ID]],Registre[ID_Antenne],Registre[Equipementier],"Non Trouvée")</f>
        <v>ZTE</v>
      </c>
      <c r="J761" t="str">
        <f>_xlfn.XLOOKUP(Logs_Reseau6[[#This Row],[Id_Client]],Clients_Churn[ID_Client],Clients_Churn[Type_Forfait],"Pas d'information")</f>
        <v>Pro Monde</v>
      </c>
      <c r="K761" s="5" t="str">
        <f>IF(Logs_Reseau6[[#This Row],[Type_Forfait]]="Pro Monde","B2B","B2C")</f>
        <v>B2B</v>
      </c>
      <c r="L761" s="5">
        <f>_xlfn.XLOOKUP(Logs_Reseau6[[#This Row],[Id_Client]],Clients_Churn[ID_Client],Clients_Churn[Duree_Cumulee_Panne_Min],"Non Trouvée")</f>
        <v>493</v>
      </c>
      <c r="M761" s="5">
        <f>_xlfn.XLOOKUP(Logs_Reseau6[[#This Row],[Id_Client]],Clients_Churn[ID_Client],Clients_Churn[Anciennete_Mois],"Rien à signaler")</f>
        <v>29</v>
      </c>
      <c r="N761" s="11">
        <f>Logs_Reseau6[[#This Row],[Anciennette]]/24</f>
        <v>1.2083333333333333</v>
      </c>
      <c r="O761" s="1">
        <f>Logs_Reseau6[[#This Row],[Duree_Cumulée_Panne]]/1440</f>
        <v>0.34236111111111112</v>
      </c>
      <c r="P76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62" spans="1:16" x14ac:dyDescent="0.25">
      <c r="A762" s="2">
        <v>45219</v>
      </c>
      <c r="B762" s="1">
        <v>0.11319444444444444</v>
      </c>
      <c r="C762" t="s">
        <v>1235</v>
      </c>
      <c r="D762">
        <v>19</v>
      </c>
      <c r="E762" t="s">
        <v>1300</v>
      </c>
      <c r="F762" t="str">
        <f>_xlfn.XLOOKUP(Logs_Reseau6[[#This Row],[Cell_ID]],Registre[ID_Antenne],Registre[Province_RDC],"Non Trouvée")</f>
        <v>Kwango</v>
      </c>
      <c r="G762" t="str">
        <f>_xlfn.XLOOKUP(Logs_Reseau6[[#This Row],[Province]],Clients_Churn[Province_Client],Clients_Churn[ID_Client],"Aucun")</f>
        <v>CLI-00094</v>
      </c>
      <c r="H762" t="str">
        <f>_xlfn.XLOOKUP(Logs_Reseau6[[#This Row],[Cell_ID]],Registre[ID_Antenne],Registre[Technologie],"Rien à signaler")</f>
        <v>3G</v>
      </c>
      <c r="I762" t="str">
        <f>_xlfn.XLOOKUP(Logs_Reseau6[[#This Row],[Cell_ID]],Registre[ID_Antenne],Registre[Equipementier],"Non Trouvée")</f>
        <v>ZTE</v>
      </c>
      <c r="J762" t="str">
        <f>_xlfn.XLOOKUP(Logs_Reseau6[[#This Row],[Id_Client]],Clients_Churn[ID_Client],Clients_Churn[Type_Forfait],"Pas d'information")</f>
        <v>Pro Monde</v>
      </c>
      <c r="K762" s="5" t="str">
        <f>IF(Logs_Reseau6[[#This Row],[Type_Forfait]]="Pro Monde","B2B","B2C")</f>
        <v>B2B</v>
      </c>
      <c r="L762" s="5">
        <f>_xlfn.XLOOKUP(Logs_Reseau6[[#This Row],[Id_Client]],Clients_Churn[ID_Client],Clients_Churn[Duree_Cumulee_Panne_Min],"Non Trouvée")</f>
        <v>493</v>
      </c>
      <c r="M762" s="5">
        <f>_xlfn.XLOOKUP(Logs_Reseau6[[#This Row],[Id_Client]],Clients_Churn[ID_Client],Clients_Churn[Anciennete_Mois],"Rien à signaler")</f>
        <v>29</v>
      </c>
      <c r="N762" s="11">
        <f>Logs_Reseau6[[#This Row],[Anciennette]]/24</f>
        <v>1.2083333333333333</v>
      </c>
      <c r="O762" s="1">
        <f>Logs_Reseau6[[#This Row],[Duree_Cumulée_Panne]]/1440</f>
        <v>0.34236111111111112</v>
      </c>
      <c r="P76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63" spans="1:16" x14ac:dyDescent="0.25">
      <c r="A763" s="2">
        <v>45224</v>
      </c>
      <c r="B763" s="1">
        <v>1.0416666666666666E-2</v>
      </c>
      <c r="C763" t="s">
        <v>1235</v>
      </c>
      <c r="D763">
        <v>114</v>
      </c>
      <c r="E763" t="s">
        <v>1305</v>
      </c>
      <c r="F763" t="str">
        <f>_xlfn.XLOOKUP(Logs_Reseau6[[#This Row],[Cell_ID]],Registre[ID_Antenne],Registre[Province_RDC],"Non Trouvée")</f>
        <v>Kwango</v>
      </c>
      <c r="G763" t="str">
        <f>_xlfn.XLOOKUP(Logs_Reseau6[[#This Row],[Province]],Clients_Churn[Province_Client],Clients_Churn[ID_Client],"Aucun")</f>
        <v>CLI-00094</v>
      </c>
      <c r="H763" t="str">
        <f>_xlfn.XLOOKUP(Logs_Reseau6[[#This Row],[Cell_ID]],Registre[ID_Antenne],Registre[Technologie],"Rien à signaler")</f>
        <v>3G</v>
      </c>
      <c r="I763" t="str">
        <f>_xlfn.XLOOKUP(Logs_Reseau6[[#This Row],[Cell_ID]],Registre[ID_Antenne],Registre[Equipementier],"Non Trouvée")</f>
        <v>ZTE</v>
      </c>
      <c r="J763" t="str">
        <f>_xlfn.XLOOKUP(Logs_Reseau6[[#This Row],[Id_Client]],Clients_Churn[ID_Client],Clients_Churn[Type_Forfait],"Pas d'information")</f>
        <v>Pro Monde</v>
      </c>
      <c r="K763" s="5" t="str">
        <f>IF(Logs_Reseau6[[#This Row],[Type_Forfait]]="Pro Monde","B2B","B2C")</f>
        <v>B2B</v>
      </c>
      <c r="L763" s="5">
        <f>_xlfn.XLOOKUP(Logs_Reseau6[[#This Row],[Id_Client]],Clients_Churn[ID_Client],Clients_Churn[Duree_Cumulee_Panne_Min],"Non Trouvée")</f>
        <v>493</v>
      </c>
      <c r="M763" s="5">
        <f>_xlfn.XLOOKUP(Logs_Reseau6[[#This Row],[Id_Client]],Clients_Churn[ID_Client],Clients_Churn[Anciennete_Mois],"Rien à signaler")</f>
        <v>29</v>
      </c>
      <c r="N763" s="11">
        <f>Logs_Reseau6[[#This Row],[Anciennette]]/24</f>
        <v>1.2083333333333333</v>
      </c>
      <c r="O763" s="1">
        <f>Logs_Reseau6[[#This Row],[Duree_Cumulée_Panne]]/1440</f>
        <v>0.34236111111111112</v>
      </c>
      <c r="P76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64" spans="1:16" hidden="1" x14ac:dyDescent="0.25">
      <c r="A764" s="2">
        <v>45230</v>
      </c>
      <c r="B764" s="1">
        <v>0.92500000000000004</v>
      </c>
      <c r="C764" t="s">
        <v>1371</v>
      </c>
      <c r="D764">
        <v>90</v>
      </c>
      <c r="E764" t="s">
        <v>1300</v>
      </c>
      <c r="F764" t="str">
        <f>_xlfn.XLOOKUP(Logs_Reseau6[[#This Row],[Cell_ID]],Registre[ID_Antenne],Registre[Province_RDC],"Non Trouvée")</f>
        <v>Non Trouvée</v>
      </c>
      <c r="G764" t="str">
        <f>_xlfn.XLOOKUP(Logs_Reseau6[[#This Row],[Province]],Clients_Churn[Province_Client],Clients_Churn[ID_Client],"Aucun")</f>
        <v>Aucun</v>
      </c>
      <c r="H764" t="str">
        <f>_xlfn.XLOOKUP(Logs_Reseau6[[#This Row],[Cell_ID]],Registre[ID_Antenne],Registre[Technologie],"Rien à signaler")</f>
        <v>Rien à signaler</v>
      </c>
      <c r="I764" t="str">
        <f>_xlfn.XLOOKUP(Logs_Reseau6[[#This Row],[Cell_ID]],Registre[ID_Antenne],Registre[Equipementier],"Non Trouvée")</f>
        <v>Non Trouvée</v>
      </c>
      <c r="J764" t="str">
        <f>_xlfn.XLOOKUP(Logs_Reseau6[[#This Row],[Id_Client]],Clients_Churn[ID_Client],Clients_Churn[Type_Forfait],"Pas d'information")</f>
        <v>Pas d'information</v>
      </c>
      <c r="K764" s="5" t="str">
        <f>IF(Logs_Reseau6[[#This Row],[Type_Forfait]]="Pro Monde","B2B","B2C")</f>
        <v>B2C</v>
      </c>
      <c r="L764" s="5" t="str">
        <f>_xlfn.XLOOKUP(Logs_Reseau6[[#This Row],[Id_Client]],Clients_Churn[ID_Client],Clients_Churn[Duree_Cumulee_Panne_Min],"Non Trouvée")</f>
        <v>Non Trouvée</v>
      </c>
      <c r="M764" s="5" t="str">
        <f>_xlfn.XLOOKUP(Logs_Reseau6[[#This Row],[Id_Client]],Clients_Churn[ID_Client],Clients_Churn[Anciennete_Mois],"Rien à signaler")</f>
        <v>Rien à signaler</v>
      </c>
      <c r="N764" s="5" t="e">
        <f>Logs_Reseau6[[#This Row],[Anciennette]]/24</f>
        <v>#VALUE!</v>
      </c>
      <c r="O764" s="5" t="e">
        <f>Logs_Reseau6[[#This Row],[Duree_Cumulée_Panne]]/1440</f>
        <v>#VALUE!</v>
      </c>
      <c r="P76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65" spans="1:16" hidden="1" x14ac:dyDescent="0.25">
      <c r="A765" s="2">
        <v>45210</v>
      </c>
      <c r="B765" s="1">
        <v>0.5</v>
      </c>
      <c r="C765" t="s">
        <v>1526</v>
      </c>
      <c r="D765">
        <v>30</v>
      </c>
      <c r="E765" t="s">
        <v>1300</v>
      </c>
      <c r="F765" t="str">
        <f>_xlfn.XLOOKUP(Logs_Reseau6[[#This Row],[Cell_ID]],Registre[ID_Antenne],Registre[Province_RDC],"Non Trouvée")</f>
        <v>Non Trouvée</v>
      </c>
      <c r="G765" t="str">
        <f>_xlfn.XLOOKUP(Logs_Reseau6[[#This Row],[Province]],Clients_Churn[Province_Client],Clients_Churn[ID_Client],"Aucun")</f>
        <v>Aucun</v>
      </c>
      <c r="H765" t="str">
        <f>_xlfn.XLOOKUP(Logs_Reseau6[[#This Row],[Cell_ID]],Registre[ID_Antenne],Registre[Technologie],"Rien à signaler")</f>
        <v>Rien à signaler</v>
      </c>
      <c r="I765" t="str">
        <f>_xlfn.XLOOKUP(Logs_Reseau6[[#This Row],[Cell_ID]],Registre[ID_Antenne],Registre[Equipementier],"Non Trouvée")</f>
        <v>Non Trouvée</v>
      </c>
      <c r="J765" t="str">
        <f>_xlfn.XLOOKUP(Logs_Reseau6[[#This Row],[Id_Client]],Clients_Churn[ID_Client],Clients_Churn[Type_Forfait],"Pas d'information")</f>
        <v>Pas d'information</v>
      </c>
      <c r="K765" s="5" t="str">
        <f>IF(Logs_Reseau6[[#This Row],[Type_Forfait]]="Pro Monde","B2B","B2C")</f>
        <v>B2C</v>
      </c>
      <c r="L765" s="5" t="str">
        <f>_xlfn.XLOOKUP(Logs_Reseau6[[#This Row],[Id_Client]],Clients_Churn[ID_Client],Clients_Churn[Duree_Cumulee_Panne_Min],"Non Trouvée")</f>
        <v>Non Trouvée</v>
      </c>
      <c r="M765" s="5" t="str">
        <f>_xlfn.XLOOKUP(Logs_Reseau6[[#This Row],[Id_Client]],Clients_Churn[ID_Client],Clients_Churn[Anciennete_Mois],"Rien à signaler")</f>
        <v>Rien à signaler</v>
      </c>
      <c r="N765" s="5" t="e">
        <f>Logs_Reseau6[[#This Row],[Anciennette]]/24</f>
        <v>#VALUE!</v>
      </c>
      <c r="O765" s="5" t="e">
        <f>Logs_Reseau6[[#This Row],[Duree_Cumulée_Panne]]/1440</f>
        <v>#VALUE!</v>
      </c>
      <c r="P76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66" spans="1:16" hidden="1" x14ac:dyDescent="0.25">
      <c r="A766" s="2">
        <v>45210</v>
      </c>
      <c r="B766" s="1">
        <v>0.9243055555555556</v>
      </c>
      <c r="C766" t="s">
        <v>1606</v>
      </c>
      <c r="D766">
        <v>32</v>
      </c>
      <c r="E766" t="s">
        <v>1303</v>
      </c>
      <c r="F766" t="str">
        <f>_xlfn.XLOOKUP(Logs_Reseau6[[#This Row],[Cell_ID]],Registre[ID_Antenne],Registre[Province_RDC],"Non Trouvée")</f>
        <v>Non Trouvée</v>
      </c>
      <c r="G766" t="str">
        <f>_xlfn.XLOOKUP(Logs_Reseau6[[#This Row],[Province]],Clients_Churn[Province_Client],Clients_Churn[ID_Client],"Aucun")</f>
        <v>Aucun</v>
      </c>
      <c r="H766" t="str">
        <f>_xlfn.XLOOKUP(Logs_Reseau6[[#This Row],[Cell_ID]],Registre[ID_Antenne],Registre[Technologie],"Rien à signaler")</f>
        <v>Rien à signaler</v>
      </c>
      <c r="I766" t="str">
        <f>_xlfn.XLOOKUP(Logs_Reseau6[[#This Row],[Cell_ID]],Registre[ID_Antenne],Registre[Equipementier],"Non Trouvée")</f>
        <v>Non Trouvée</v>
      </c>
      <c r="J766" t="str">
        <f>_xlfn.XLOOKUP(Logs_Reseau6[[#This Row],[Id_Client]],Clients_Churn[ID_Client],Clients_Churn[Type_Forfait],"Pas d'information")</f>
        <v>Pas d'information</v>
      </c>
      <c r="K766" s="5" t="str">
        <f>IF(Logs_Reseau6[[#This Row],[Type_Forfait]]="Pro Monde","B2B","B2C")</f>
        <v>B2C</v>
      </c>
      <c r="L766" s="5" t="str">
        <f>_xlfn.XLOOKUP(Logs_Reseau6[[#This Row],[Id_Client]],Clients_Churn[ID_Client],Clients_Churn[Duree_Cumulee_Panne_Min],"Non Trouvée")</f>
        <v>Non Trouvée</v>
      </c>
      <c r="M766" s="5" t="str">
        <f>_xlfn.XLOOKUP(Logs_Reseau6[[#This Row],[Id_Client]],Clients_Churn[ID_Client],Clients_Churn[Anciennete_Mois],"Rien à signaler")</f>
        <v>Rien à signaler</v>
      </c>
      <c r="N766" s="5" t="e">
        <f>Logs_Reseau6[[#This Row],[Anciennette]]/24</f>
        <v>#VALUE!</v>
      </c>
      <c r="O766" s="5" t="e">
        <f>Logs_Reseau6[[#This Row],[Duree_Cumulée_Panne]]/1440</f>
        <v>#VALUE!</v>
      </c>
      <c r="P76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67" spans="1:16" x14ac:dyDescent="0.25">
      <c r="A767" s="2">
        <v>45223</v>
      </c>
      <c r="B767" s="1">
        <v>0.5541666666666667</v>
      </c>
      <c r="C767" t="s">
        <v>1067</v>
      </c>
      <c r="D767">
        <v>86</v>
      </c>
      <c r="E767" t="s">
        <v>1303</v>
      </c>
      <c r="F767" t="str">
        <f>_xlfn.XLOOKUP(Logs_Reseau6[[#This Row],[Cell_ID]],Registre[ID_Antenne],Registre[Province_RDC],"Non Trouvée")</f>
        <v>Sud-Ubangi</v>
      </c>
      <c r="G767" t="str">
        <f>_xlfn.XLOOKUP(Logs_Reseau6[[#This Row],[Province]],Clients_Churn[Province_Client],Clients_Churn[ID_Client],"Aucun")</f>
        <v>CLI-00070</v>
      </c>
      <c r="H767" t="str">
        <f>_xlfn.XLOOKUP(Logs_Reseau6[[#This Row],[Cell_ID]],Registre[ID_Antenne],Registre[Technologie],"Rien à signaler")</f>
        <v>3G</v>
      </c>
      <c r="I767" t="str">
        <f>_xlfn.XLOOKUP(Logs_Reseau6[[#This Row],[Cell_ID]],Registre[ID_Antenne],Registre[Equipementier],"Non Trouvée")</f>
        <v>Nokia</v>
      </c>
      <c r="J767" t="str">
        <f>_xlfn.XLOOKUP(Logs_Reseau6[[#This Row],[Id_Client]],Clients_Churn[ID_Client],Clients_Churn[Type_Forfait],"Pas d'information")</f>
        <v>Illimité 50Go</v>
      </c>
      <c r="K767" s="5" t="str">
        <f>IF(Logs_Reseau6[[#This Row],[Type_Forfait]]="Pro Monde","B2B","B2C")</f>
        <v>B2C</v>
      </c>
      <c r="L767" s="5">
        <f>_xlfn.XLOOKUP(Logs_Reseau6[[#This Row],[Id_Client]],Clients_Churn[ID_Client],Clients_Churn[Duree_Cumulee_Panne_Min],"Non Trouvée")</f>
        <v>119</v>
      </c>
      <c r="M767" s="5">
        <f>_xlfn.XLOOKUP(Logs_Reseau6[[#This Row],[Id_Client]],Clients_Churn[ID_Client],Clients_Churn[Anciennete_Mois],"Rien à signaler")</f>
        <v>52</v>
      </c>
      <c r="N767" s="11">
        <f>Logs_Reseau6[[#This Row],[Anciennette]]/24</f>
        <v>2.1666666666666665</v>
      </c>
      <c r="O767" s="1">
        <f>Logs_Reseau6[[#This Row],[Duree_Cumulée_Panne]]/1440</f>
        <v>8.2638888888888887E-2</v>
      </c>
      <c r="P76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68" spans="1:16" x14ac:dyDescent="0.25">
      <c r="A768" s="2">
        <v>45227</v>
      </c>
      <c r="B768" s="1">
        <v>0.75138888888888888</v>
      </c>
      <c r="C768" t="s">
        <v>1067</v>
      </c>
      <c r="D768">
        <v>42</v>
      </c>
      <c r="E768" t="s">
        <v>1300</v>
      </c>
      <c r="F768" t="str">
        <f>_xlfn.XLOOKUP(Logs_Reseau6[[#This Row],[Cell_ID]],Registre[ID_Antenne],Registre[Province_RDC],"Non Trouvée")</f>
        <v>Sud-Ubangi</v>
      </c>
      <c r="G768" t="str">
        <f>_xlfn.XLOOKUP(Logs_Reseau6[[#This Row],[Province]],Clients_Churn[Province_Client],Clients_Churn[ID_Client],"Aucun")</f>
        <v>CLI-00070</v>
      </c>
      <c r="H768" t="str">
        <f>_xlfn.XLOOKUP(Logs_Reseau6[[#This Row],[Cell_ID]],Registre[ID_Antenne],Registre[Technologie],"Rien à signaler")</f>
        <v>3G</v>
      </c>
      <c r="I768" t="str">
        <f>_xlfn.XLOOKUP(Logs_Reseau6[[#This Row],[Cell_ID]],Registre[ID_Antenne],Registre[Equipementier],"Non Trouvée")</f>
        <v>Nokia</v>
      </c>
      <c r="J768" t="str">
        <f>_xlfn.XLOOKUP(Logs_Reseau6[[#This Row],[Id_Client]],Clients_Churn[ID_Client],Clients_Churn[Type_Forfait],"Pas d'information")</f>
        <v>Illimité 50Go</v>
      </c>
      <c r="K768" s="5" t="str">
        <f>IF(Logs_Reseau6[[#This Row],[Type_Forfait]]="Pro Monde","B2B","B2C")</f>
        <v>B2C</v>
      </c>
      <c r="L768" s="5">
        <f>_xlfn.XLOOKUP(Logs_Reseau6[[#This Row],[Id_Client]],Clients_Churn[ID_Client],Clients_Churn[Duree_Cumulee_Panne_Min],"Non Trouvée")</f>
        <v>119</v>
      </c>
      <c r="M768" s="5">
        <f>_xlfn.XLOOKUP(Logs_Reseau6[[#This Row],[Id_Client]],Clients_Churn[ID_Client],Clients_Churn[Anciennete_Mois],"Rien à signaler")</f>
        <v>52</v>
      </c>
      <c r="N768" s="11">
        <f>Logs_Reseau6[[#This Row],[Anciennette]]/24</f>
        <v>2.1666666666666665</v>
      </c>
      <c r="O768" s="1">
        <f>Logs_Reseau6[[#This Row],[Duree_Cumulée_Panne]]/1440</f>
        <v>8.2638888888888887E-2</v>
      </c>
      <c r="P76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69" spans="1:16" x14ac:dyDescent="0.25">
      <c r="A769" s="2">
        <v>45210</v>
      </c>
      <c r="B769" s="1">
        <v>0.83680555555555558</v>
      </c>
      <c r="C769" t="s">
        <v>1059</v>
      </c>
      <c r="D769">
        <v>118</v>
      </c>
      <c r="E769" t="s">
        <v>1300</v>
      </c>
      <c r="F769" t="str">
        <f>_xlfn.XLOOKUP(Logs_Reseau6[[#This Row],[Cell_ID]],Registre[ID_Antenne],Registre[Province_RDC],"Non Trouvée")</f>
        <v>Mongala</v>
      </c>
      <c r="G769" t="str">
        <f>_xlfn.XLOOKUP(Logs_Reseau6[[#This Row],[Province]],Clients_Churn[Province_Client],Clients_Churn[ID_Client],"Aucun")</f>
        <v>CLI-00011</v>
      </c>
      <c r="H769" t="str">
        <f>_xlfn.XLOOKUP(Logs_Reseau6[[#This Row],[Cell_ID]],Registre[ID_Antenne],Registre[Technologie],"Rien à signaler")</f>
        <v>4G</v>
      </c>
      <c r="I769" t="str">
        <f>_xlfn.XLOOKUP(Logs_Reseau6[[#This Row],[Cell_ID]],Registre[ID_Antenne],Registre[Equipementier],"Non Trouvée")</f>
        <v>ZTE</v>
      </c>
      <c r="J769" t="str">
        <f>_xlfn.XLOOKUP(Logs_Reseau6[[#This Row],[Id_Client]],Clients_Churn[ID_Client],Clients_Churn[Type_Forfait],"Pas d'information")</f>
        <v>Illimité 50Go</v>
      </c>
      <c r="K769" s="5" t="str">
        <f>IF(Logs_Reseau6[[#This Row],[Type_Forfait]]="Pro Monde","B2B","B2C")</f>
        <v>B2C</v>
      </c>
      <c r="L769" s="5">
        <f>_xlfn.XLOOKUP(Logs_Reseau6[[#This Row],[Id_Client]],Clients_Churn[ID_Client],Clients_Churn[Duree_Cumulee_Panne_Min],"Non Trouvée")</f>
        <v>86</v>
      </c>
      <c r="M769" s="5">
        <f>_xlfn.XLOOKUP(Logs_Reseau6[[#This Row],[Id_Client]],Clients_Churn[ID_Client],Clients_Churn[Anciennete_Mois],"Rien à signaler")</f>
        <v>49</v>
      </c>
      <c r="N769" s="11">
        <f>Logs_Reseau6[[#This Row],[Anciennette]]/24</f>
        <v>2.0416666666666665</v>
      </c>
      <c r="O769" s="1">
        <f>Logs_Reseau6[[#This Row],[Duree_Cumulée_Panne]]/1440</f>
        <v>5.9722222222222225E-2</v>
      </c>
      <c r="P76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70" spans="1:16" x14ac:dyDescent="0.25">
      <c r="A770" s="2">
        <v>45214</v>
      </c>
      <c r="B770" s="1">
        <v>0.16041666666666668</v>
      </c>
      <c r="C770" t="s">
        <v>1059</v>
      </c>
      <c r="D770">
        <v>108</v>
      </c>
      <c r="E770" t="s">
        <v>1305</v>
      </c>
      <c r="F770" t="str">
        <f>_xlfn.XLOOKUP(Logs_Reseau6[[#This Row],[Cell_ID]],Registre[ID_Antenne],Registre[Province_RDC],"Non Trouvée")</f>
        <v>Mongala</v>
      </c>
      <c r="G770" t="str">
        <f>_xlfn.XLOOKUP(Logs_Reseau6[[#This Row],[Province]],Clients_Churn[Province_Client],Clients_Churn[ID_Client],"Aucun")</f>
        <v>CLI-00011</v>
      </c>
      <c r="H770" t="str">
        <f>_xlfn.XLOOKUP(Logs_Reseau6[[#This Row],[Cell_ID]],Registre[ID_Antenne],Registre[Technologie],"Rien à signaler")</f>
        <v>4G</v>
      </c>
      <c r="I770" t="str">
        <f>_xlfn.XLOOKUP(Logs_Reseau6[[#This Row],[Cell_ID]],Registre[ID_Antenne],Registre[Equipementier],"Non Trouvée")</f>
        <v>ZTE</v>
      </c>
      <c r="J770" t="str">
        <f>_xlfn.XLOOKUP(Logs_Reseau6[[#This Row],[Id_Client]],Clients_Churn[ID_Client],Clients_Churn[Type_Forfait],"Pas d'information")</f>
        <v>Illimité 50Go</v>
      </c>
      <c r="K770" s="5" t="str">
        <f>IF(Logs_Reseau6[[#This Row],[Type_Forfait]]="Pro Monde","B2B","B2C")</f>
        <v>B2C</v>
      </c>
      <c r="L770" s="5">
        <f>_xlfn.XLOOKUP(Logs_Reseau6[[#This Row],[Id_Client]],Clients_Churn[ID_Client],Clients_Churn[Duree_Cumulee_Panne_Min],"Non Trouvée")</f>
        <v>86</v>
      </c>
      <c r="M770" s="5">
        <f>_xlfn.XLOOKUP(Logs_Reseau6[[#This Row],[Id_Client]],Clients_Churn[ID_Client],Clients_Churn[Anciennete_Mois],"Rien à signaler")</f>
        <v>49</v>
      </c>
      <c r="N770" s="11">
        <f>Logs_Reseau6[[#This Row],[Anciennette]]/24</f>
        <v>2.0416666666666665</v>
      </c>
      <c r="O770" s="1">
        <f>Logs_Reseau6[[#This Row],[Duree_Cumulée_Panne]]/1440</f>
        <v>5.9722222222222225E-2</v>
      </c>
      <c r="P77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71" spans="1:16" x14ac:dyDescent="0.25">
      <c r="A771" s="2">
        <v>45226</v>
      </c>
      <c r="B771" s="1">
        <v>0.79027777777777775</v>
      </c>
      <c r="C771" t="s">
        <v>1141</v>
      </c>
      <c r="D771">
        <v>68</v>
      </c>
      <c r="E771" t="s">
        <v>1305</v>
      </c>
      <c r="F771" t="str">
        <f>_xlfn.XLOOKUP(Logs_Reseau6[[#This Row],[Cell_ID]],Registre[ID_Antenne],Registre[Province_RDC],"Non Trouvée")</f>
        <v>Equateur</v>
      </c>
      <c r="G771" t="str">
        <f>_xlfn.XLOOKUP(Logs_Reseau6[[#This Row],[Province]],Clients_Churn[Province_Client],Clients_Churn[ID_Client],"Aucun")</f>
        <v>CLI-00091</v>
      </c>
      <c r="H771" t="str">
        <f>_xlfn.XLOOKUP(Logs_Reseau6[[#This Row],[Cell_ID]],Registre[ID_Antenne],Registre[Technologie],"Rien à signaler")</f>
        <v>3G</v>
      </c>
      <c r="I771" t="str">
        <f>_xlfn.XLOOKUP(Logs_Reseau6[[#This Row],[Cell_ID]],Registre[ID_Antenne],Registre[Equipementier],"Non Trouvée")</f>
        <v>Nokia</v>
      </c>
      <c r="J771" t="str">
        <f>_xlfn.XLOOKUP(Logs_Reseau6[[#This Row],[Id_Client]],Clients_Churn[ID_Client],Clients_Churn[Type_Forfait],"Pas d'information")</f>
        <v>Bloqué 5Go</v>
      </c>
      <c r="K771" s="5" t="str">
        <f>IF(Logs_Reseau6[[#This Row],[Type_Forfait]]="Pro Monde","B2B","B2C")</f>
        <v>B2C</v>
      </c>
      <c r="L771" s="5">
        <f>_xlfn.XLOOKUP(Logs_Reseau6[[#This Row],[Id_Client]],Clients_Churn[ID_Client],Clients_Churn[Duree_Cumulee_Panne_Min],"Non Trouvée")</f>
        <v>435</v>
      </c>
      <c r="M771" s="5">
        <f>_xlfn.XLOOKUP(Logs_Reseau6[[#This Row],[Id_Client]],Clients_Churn[ID_Client],Clients_Churn[Anciennete_Mois],"Rien à signaler")</f>
        <v>50</v>
      </c>
      <c r="N771" s="11">
        <f>Logs_Reseau6[[#This Row],[Anciennette]]/24</f>
        <v>2.0833333333333335</v>
      </c>
      <c r="O771" s="1">
        <f>Logs_Reseau6[[#This Row],[Duree_Cumulée_Panne]]/1440</f>
        <v>0.30208333333333331</v>
      </c>
      <c r="P77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72" spans="1:16" x14ac:dyDescent="0.25">
      <c r="A772" s="2">
        <v>45202</v>
      </c>
      <c r="B772" s="1">
        <v>0.64513888888888893</v>
      </c>
      <c r="C772" t="s">
        <v>1218</v>
      </c>
      <c r="D772">
        <v>106</v>
      </c>
      <c r="E772" t="s">
        <v>1305</v>
      </c>
      <c r="F772" t="str">
        <f>_xlfn.XLOOKUP(Logs_Reseau6[[#This Row],[Cell_ID]],Registre[ID_Antenne],Registre[Province_RDC],"Non Trouvée")</f>
        <v>Kongo-Central</v>
      </c>
      <c r="G772" t="str">
        <f>_xlfn.XLOOKUP(Logs_Reseau6[[#This Row],[Province]],Clients_Churn[Province_Client],Clients_Churn[ID_Client],"Aucun")</f>
        <v>CLI-00012</v>
      </c>
      <c r="H772" t="str">
        <f>_xlfn.XLOOKUP(Logs_Reseau6[[#This Row],[Cell_ID]],Registre[ID_Antenne],Registre[Technologie],"Rien à signaler")</f>
        <v>3G</v>
      </c>
      <c r="I772" t="str">
        <f>_xlfn.XLOOKUP(Logs_Reseau6[[#This Row],[Cell_ID]],Registre[ID_Antenne],Registre[Equipementier],"Non Trouvée")</f>
        <v>Nokia</v>
      </c>
      <c r="J772" t="str">
        <f>_xlfn.XLOOKUP(Logs_Reseau6[[#This Row],[Id_Client]],Clients_Churn[ID_Client],Clients_Churn[Type_Forfait],"Pas d'information")</f>
        <v>Illimité 50Go</v>
      </c>
      <c r="K772" s="5" t="str">
        <f>IF(Logs_Reseau6[[#This Row],[Type_Forfait]]="Pro Monde","B2B","B2C")</f>
        <v>B2C</v>
      </c>
      <c r="L772" s="5">
        <f>_xlfn.XLOOKUP(Logs_Reseau6[[#This Row],[Id_Client]],Clients_Churn[ID_Client],Clients_Churn[Duree_Cumulee_Panne_Min],"Non Trouvée")</f>
        <v>172</v>
      </c>
      <c r="M772" s="5">
        <f>_xlfn.XLOOKUP(Logs_Reseau6[[#This Row],[Id_Client]],Clients_Churn[ID_Client],Clients_Churn[Anciennete_Mois],"Rien à signaler")</f>
        <v>105</v>
      </c>
      <c r="N772" s="11">
        <f>Logs_Reseau6[[#This Row],[Anciennette]]/24</f>
        <v>4.375</v>
      </c>
      <c r="O772" s="1">
        <f>Logs_Reseau6[[#This Row],[Duree_Cumulée_Panne]]/1440</f>
        <v>0.11944444444444445</v>
      </c>
      <c r="P77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73" spans="1:16" x14ac:dyDescent="0.25">
      <c r="A773" s="2">
        <v>45202</v>
      </c>
      <c r="B773" s="1">
        <v>0.77569444444444446</v>
      </c>
      <c r="C773" t="s">
        <v>1218</v>
      </c>
      <c r="D773">
        <v>72</v>
      </c>
      <c r="E773" t="s">
        <v>1300</v>
      </c>
      <c r="F773" t="str">
        <f>_xlfn.XLOOKUP(Logs_Reseau6[[#This Row],[Cell_ID]],Registre[ID_Antenne],Registre[Province_RDC],"Non Trouvée")</f>
        <v>Kongo-Central</v>
      </c>
      <c r="G773" t="str">
        <f>_xlfn.XLOOKUP(Logs_Reseau6[[#This Row],[Province]],Clients_Churn[Province_Client],Clients_Churn[ID_Client],"Aucun")</f>
        <v>CLI-00012</v>
      </c>
      <c r="H773" t="str">
        <f>_xlfn.XLOOKUP(Logs_Reseau6[[#This Row],[Cell_ID]],Registre[ID_Antenne],Registre[Technologie],"Rien à signaler")</f>
        <v>3G</v>
      </c>
      <c r="I773" t="str">
        <f>_xlfn.XLOOKUP(Logs_Reseau6[[#This Row],[Cell_ID]],Registre[ID_Antenne],Registre[Equipementier],"Non Trouvée")</f>
        <v>Nokia</v>
      </c>
      <c r="J773" t="str">
        <f>_xlfn.XLOOKUP(Logs_Reseau6[[#This Row],[Id_Client]],Clients_Churn[ID_Client],Clients_Churn[Type_Forfait],"Pas d'information")</f>
        <v>Illimité 50Go</v>
      </c>
      <c r="K773" s="5" t="str">
        <f>IF(Logs_Reseau6[[#This Row],[Type_Forfait]]="Pro Monde","B2B","B2C")</f>
        <v>B2C</v>
      </c>
      <c r="L773" s="5">
        <f>_xlfn.XLOOKUP(Logs_Reseau6[[#This Row],[Id_Client]],Clients_Churn[ID_Client],Clients_Churn[Duree_Cumulee_Panne_Min],"Non Trouvée")</f>
        <v>172</v>
      </c>
      <c r="M773" s="5">
        <f>_xlfn.XLOOKUP(Logs_Reseau6[[#This Row],[Id_Client]],Clients_Churn[ID_Client],Clients_Churn[Anciennete_Mois],"Rien à signaler")</f>
        <v>105</v>
      </c>
      <c r="N773" s="11">
        <f>Logs_Reseau6[[#This Row],[Anciennette]]/24</f>
        <v>4.375</v>
      </c>
      <c r="O773" s="1">
        <f>Logs_Reseau6[[#This Row],[Duree_Cumulée_Panne]]/1440</f>
        <v>0.11944444444444445</v>
      </c>
      <c r="P77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74" spans="1:16" x14ac:dyDescent="0.25">
      <c r="A774" s="2">
        <v>45230</v>
      </c>
      <c r="B774" s="1">
        <v>3.9583333333333331E-2</v>
      </c>
      <c r="C774" t="s">
        <v>1218</v>
      </c>
      <c r="D774">
        <v>117</v>
      </c>
      <c r="E774" t="s">
        <v>1303</v>
      </c>
      <c r="F774" t="str">
        <f>_xlfn.XLOOKUP(Logs_Reseau6[[#This Row],[Cell_ID]],Registre[ID_Antenne],Registre[Province_RDC],"Non Trouvée")</f>
        <v>Kongo-Central</v>
      </c>
      <c r="G774" t="str">
        <f>_xlfn.XLOOKUP(Logs_Reseau6[[#This Row],[Province]],Clients_Churn[Province_Client],Clients_Churn[ID_Client],"Aucun")</f>
        <v>CLI-00012</v>
      </c>
      <c r="H774" t="str">
        <f>_xlfn.XLOOKUP(Logs_Reseau6[[#This Row],[Cell_ID]],Registre[ID_Antenne],Registre[Technologie],"Rien à signaler")</f>
        <v>3G</v>
      </c>
      <c r="I774" t="str">
        <f>_xlfn.XLOOKUP(Logs_Reseau6[[#This Row],[Cell_ID]],Registre[ID_Antenne],Registre[Equipementier],"Non Trouvée")</f>
        <v>Nokia</v>
      </c>
      <c r="J774" t="str">
        <f>_xlfn.XLOOKUP(Logs_Reseau6[[#This Row],[Id_Client]],Clients_Churn[ID_Client],Clients_Churn[Type_Forfait],"Pas d'information")</f>
        <v>Illimité 50Go</v>
      </c>
      <c r="K774" s="5" t="str">
        <f>IF(Logs_Reseau6[[#This Row],[Type_Forfait]]="Pro Monde","B2B","B2C")</f>
        <v>B2C</v>
      </c>
      <c r="L774" s="5">
        <f>_xlfn.XLOOKUP(Logs_Reseau6[[#This Row],[Id_Client]],Clients_Churn[ID_Client],Clients_Churn[Duree_Cumulee_Panne_Min],"Non Trouvée")</f>
        <v>172</v>
      </c>
      <c r="M774" s="5">
        <f>_xlfn.XLOOKUP(Logs_Reseau6[[#This Row],[Id_Client]],Clients_Churn[ID_Client],Clients_Churn[Anciennete_Mois],"Rien à signaler")</f>
        <v>105</v>
      </c>
      <c r="N774" s="11">
        <f>Logs_Reseau6[[#This Row],[Anciennette]]/24</f>
        <v>4.375</v>
      </c>
      <c r="O774" s="1">
        <f>Logs_Reseau6[[#This Row],[Duree_Cumulée_Panne]]/1440</f>
        <v>0.11944444444444445</v>
      </c>
      <c r="P77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75" spans="1:16" x14ac:dyDescent="0.25">
      <c r="A775" s="2">
        <v>45201</v>
      </c>
      <c r="B775" s="1">
        <v>0.17222222222222222</v>
      </c>
      <c r="C775" t="s">
        <v>1094</v>
      </c>
      <c r="D775">
        <v>33</v>
      </c>
      <c r="E775" t="s">
        <v>1305</v>
      </c>
      <c r="F775" t="str">
        <f>_xlfn.XLOOKUP(Logs_Reseau6[[#This Row],[Cell_ID]],Registre[ID_Antenne],Registre[Province_RDC],"Non Trouvée")</f>
        <v>Nord-Ubangi</v>
      </c>
      <c r="G775" t="str">
        <f>_xlfn.XLOOKUP(Logs_Reseau6[[#This Row],[Province]],Clients_Churn[Province_Client],Clients_Churn[ID_Client],"Aucun")</f>
        <v>CLI-00112</v>
      </c>
      <c r="H775" t="str">
        <f>_xlfn.XLOOKUP(Logs_Reseau6[[#This Row],[Cell_ID]],Registre[ID_Antenne],Registre[Technologie],"Rien à signaler")</f>
        <v>5G</v>
      </c>
      <c r="I775" t="str">
        <f>_xlfn.XLOOKUP(Logs_Reseau6[[#This Row],[Cell_ID]],Registre[ID_Antenne],Registre[Equipementier],"Non Trouvée")</f>
        <v>Nokia</v>
      </c>
      <c r="J775" t="str">
        <f>_xlfn.XLOOKUP(Logs_Reseau6[[#This Row],[Id_Client]],Clients_Churn[ID_Client],Clients_Churn[Type_Forfait],"Pas d'information")</f>
        <v>Bloqué 5Go</v>
      </c>
      <c r="K775" s="5" t="str">
        <f>IF(Logs_Reseau6[[#This Row],[Type_Forfait]]="Pro Monde","B2B","B2C")</f>
        <v>B2C</v>
      </c>
      <c r="L775" s="5">
        <f>_xlfn.XLOOKUP(Logs_Reseau6[[#This Row],[Id_Client]],Clients_Churn[ID_Client],Clients_Churn[Duree_Cumulee_Panne_Min],"Non Trouvée")</f>
        <v>52</v>
      </c>
      <c r="M775" s="5">
        <f>_xlfn.XLOOKUP(Logs_Reseau6[[#This Row],[Id_Client]],Clients_Churn[ID_Client],Clients_Churn[Anciennete_Mois],"Rien à signaler")</f>
        <v>98</v>
      </c>
      <c r="N775" s="11">
        <f>Logs_Reseau6[[#This Row],[Anciennette]]/24</f>
        <v>4.083333333333333</v>
      </c>
      <c r="O775" s="1">
        <f>Logs_Reseau6[[#This Row],[Duree_Cumulée_Panne]]/1440</f>
        <v>3.6111111111111108E-2</v>
      </c>
      <c r="P77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76" spans="1:16" x14ac:dyDescent="0.25">
      <c r="A776" s="2">
        <v>45225</v>
      </c>
      <c r="B776" s="1">
        <v>0.31736111111111109</v>
      </c>
      <c r="C776" t="s">
        <v>1094</v>
      </c>
      <c r="D776">
        <v>56</v>
      </c>
      <c r="E776" t="s">
        <v>1303</v>
      </c>
      <c r="F776" t="str">
        <f>_xlfn.XLOOKUP(Logs_Reseau6[[#This Row],[Cell_ID]],Registre[ID_Antenne],Registre[Province_RDC],"Non Trouvée")</f>
        <v>Nord-Ubangi</v>
      </c>
      <c r="G776" t="str">
        <f>_xlfn.XLOOKUP(Logs_Reseau6[[#This Row],[Province]],Clients_Churn[Province_Client],Clients_Churn[ID_Client],"Aucun")</f>
        <v>CLI-00112</v>
      </c>
      <c r="H776" t="str">
        <f>_xlfn.XLOOKUP(Logs_Reseau6[[#This Row],[Cell_ID]],Registre[ID_Antenne],Registre[Technologie],"Rien à signaler")</f>
        <v>5G</v>
      </c>
      <c r="I776" t="str">
        <f>_xlfn.XLOOKUP(Logs_Reseau6[[#This Row],[Cell_ID]],Registre[ID_Antenne],Registre[Equipementier],"Non Trouvée")</f>
        <v>Nokia</v>
      </c>
      <c r="J776" t="str">
        <f>_xlfn.XLOOKUP(Logs_Reseau6[[#This Row],[Id_Client]],Clients_Churn[ID_Client],Clients_Churn[Type_Forfait],"Pas d'information")</f>
        <v>Bloqué 5Go</v>
      </c>
      <c r="K776" s="5" t="str">
        <f>IF(Logs_Reseau6[[#This Row],[Type_Forfait]]="Pro Monde","B2B","B2C")</f>
        <v>B2C</v>
      </c>
      <c r="L776" s="5">
        <f>_xlfn.XLOOKUP(Logs_Reseau6[[#This Row],[Id_Client]],Clients_Churn[ID_Client],Clients_Churn[Duree_Cumulee_Panne_Min],"Non Trouvée")</f>
        <v>52</v>
      </c>
      <c r="M776" s="5">
        <f>_xlfn.XLOOKUP(Logs_Reseau6[[#This Row],[Id_Client]],Clients_Churn[ID_Client],Clients_Churn[Anciennete_Mois],"Rien à signaler")</f>
        <v>98</v>
      </c>
      <c r="N776" s="11">
        <f>Logs_Reseau6[[#This Row],[Anciennette]]/24</f>
        <v>4.083333333333333</v>
      </c>
      <c r="O776" s="1">
        <f>Logs_Reseau6[[#This Row],[Duree_Cumulée_Panne]]/1440</f>
        <v>3.6111111111111108E-2</v>
      </c>
      <c r="P77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77" spans="1:16" x14ac:dyDescent="0.25">
      <c r="A777" s="2">
        <v>45226</v>
      </c>
      <c r="B777" s="1">
        <v>0.62361111111111112</v>
      </c>
      <c r="C777" t="s">
        <v>1094</v>
      </c>
      <c r="D777">
        <v>98</v>
      </c>
      <c r="E777" t="s">
        <v>1305</v>
      </c>
      <c r="F777" t="str">
        <f>_xlfn.XLOOKUP(Logs_Reseau6[[#This Row],[Cell_ID]],Registre[ID_Antenne],Registre[Province_RDC],"Non Trouvée")</f>
        <v>Nord-Ubangi</v>
      </c>
      <c r="G777" t="str">
        <f>_xlfn.XLOOKUP(Logs_Reseau6[[#This Row],[Province]],Clients_Churn[Province_Client],Clients_Churn[ID_Client],"Aucun")</f>
        <v>CLI-00112</v>
      </c>
      <c r="H777" t="str">
        <f>_xlfn.XLOOKUP(Logs_Reseau6[[#This Row],[Cell_ID]],Registre[ID_Antenne],Registre[Technologie],"Rien à signaler")</f>
        <v>5G</v>
      </c>
      <c r="I777" t="str">
        <f>_xlfn.XLOOKUP(Logs_Reseau6[[#This Row],[Cell_ID]],Registre[ID_Antenne],Registre[Equipementier],"Non Trouvée")</f>
        <v>Nokia</v>
      </c>
      <c r="J777" t="str">
        <f>_xlfn.XLOOKUP(Logs_Reseau6[[#This Row],[Id_Client]],Clients_Churn[ID_Client],Clients_Churn[Type_Forfait],"Pas d'information")</f>
        <v>Bloqué 5Go</v>
      </c>
      <c r="K777" s="5" t="str">
        <f>IF(Logs_Reseau6[[#This Row],[Type_Forfait]]="Pro Monde","B2B","B2C")</f>
        <v>B2C</v>
      </c>
      <c r="L777" s="5">
        <f>_xlfn.XLOOKUP(Logs_Reseau6[[#This Row],[Id_Client]],Clients_Churn[ID_Client],Clients_Churn[Duree_Cumulee_Panne_Min],"Non Trouvée")</f>
        <v>52</v>
      </c>
      <c r="M777" s="5">
        <f>_xlfn.XLOOKUP(Logs_Reseau6[[#This Row],[Id_Client]],Clients_Churn[ID_Client],Clients_Churn[Anciennete_Mois],"Rien à signaler")</f>
        <v>98</v>
      </c>
      <c r="N777" s="11">
        <f>Logs_Reseau6[[#This Row],[Anciennette]]/24</f>
        <v>4.083333333333333</v>
      </c>
      <c r="O777" s="1">
        <f>Logs_Reseau6[[#This Row],[Duree_Cumulée_Panne]]/1440</f>
        <v>3.6111111111111108E-2</v>
      </c>
      <c r="P77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78" spans="1:16" x14ac:dyDescent="0.25">
      <c r="A778" s="2">
        <v>45221</v>
      </c>
      <c r="B778" s="1">
        <v>0.8618055555555556</v>
      </c>
      <c r="C778" t="s">
        <v>902</v>
      </c>
      <c r="D778">
        <v>65</v>
      </c>
      <c r="E778" t="s">
        <v>1300</v>
      </c>
      <c r="F778" t="str">
        <f>_xlfn.XLOOKUP(Logs_Reseau6[[#This Row],[Cell_ID]],Registre[ID_Antenne],Registre[Province_RDC],"Non Trouvée")</f>
        <v>Tanganyika</v>
      </c>
      <c r="G778" t="str">
        <f>_xlfn.XLOOKUP(Logs_Reseau6[[#This Row],[Province]],Clients_Churn[Province_Client],Clients_Churn[ID_Client],"Aucun")</f>
        <v>CLI-00007</v>
      </c>
      <c r="H778" t="str">
        <f>_xlfn.XLOOKUP(Logs_Reseau6[[#This Row],[Cell_ID]],Registre[ID_Antenne],Registre[Technologie],"Rien à signaler")</f>
        <v>4G</v>
      </c>
      <c r="I778" t="str">
        <f>_xlfn.XLOOKUP(Logs_Reseau6[[#This Row],[Cell_ID]],Registre[ID_Antenne],Registre[Equipementier],"Non Trouvée")</f>
        <v>Ericsson</v>
      </c>
      <c r="J778" t="str">
        <f>_xlfn.XLOOKUP(Logs_Reseau6[[#This Row],[Id_Client]],Clients_Churn[ID_Client],Clients_Churn[Type_Forfait],"Pas d'information")</f>
        <v>Bloqué 5Go</v>
      </c>
      <c r="K778" s="5" t="str">
        <f>IF(Logs_Reseau6[[#This Row],[Type_Forfait]]="Pro Monde","B2B","B2C")</f>
        <v>B2C</v>
      </c>
      <c r="L778" s="5">
        <f>_xlfn.XLOOKUP(Logs_Reseau6[[#This Row],[Id_Client]],Clients_Churn[ID_Client],Clients_Churn[Duree_Cumulee_Panne_Min],"Non Trouvée")</f>
        <v>112</v>
      </c>
      <c r="M778" s="5">
        <f>_xlfn.XLOOKUP(Logs_Reseau6[[#This Row],[Id_Client]],Clients_Churn[ID_Client],Clients_Churn[Anciennete_Mois],"Rien à signaler")</f>
        <v>110</v>
      </c>
      <c r="N778" s="11">
        <f>Logs_Reseau6[[#This Row],[Anciennette]]/24</f>
        <v>4.583333333333333</v>
      </c>
      <c r="O778" s="1">
        <f>Logs_Reseau6[[#This Row],[Duree_Cumulée_Panne]]/1440</f>
        <v>7.7777777777777779E-2</v>
      </c>
      <c r="P77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79" spans="1:16" hidden="1" x14ac:dyDescent="0.25">
      <c r="A779" s="2">
        <v>45206</v>
      </c>
      <c r="B779" s="1">
        <v>0.3840277777777778</v>
      </c>
      <c r="C779" t="s">
        <v>1337</v>
      </c>
      <c r="D779">
        <v>109</v>
      </c>
      <c r="E779" t="s">
        <v>1305</v>
      </c>
      <c r="F779" t="str">
        <f>_xlfn.XLOOKUP(Logs_Reseau6[[#This Row],[Cell_ID]],Registre[ID_Antenne],Registre[Province_RDC],"Non Trouvée")</f>
        <v>Non Trouvée</v>
      </c>
      <c r="G779" t="str">
        <f>_xlfn.XLOOKUP(Logs_Reseau6[[#This Row],[Province]],Clients_Churn[Province_Client],Clients_Churn[ID_Client],"Aucun")</f>
        <v>Aucun</v>
      </c>
      <c r="H779" t="str">
        <f>_xlfn.XLOOKUP(Logs_Reseau6[[#This Row],[Cell_ID]],Registre[ID_Antenne],Registre[Technologie],"Rien à signaler")</f>
        <v>Rien à signaler</v>
      </c>
      <c r="I779" t="str">
        <f>_xlfn.XLOOKUP(Logs_Reseau6[[#This Row],[Cell_ID]],Registre[ID_Antenne],Registre[Equipementier],"Non Trouvée")</f>
        <v>Non Trouvée</v>
      </c>
      <c r="J779" t="str">
        <f>_xlfn.XLOOKUP(Logs_Reseau6[[#This Row],[Id_Client]],Clients_Churn[ID_Client],Clients_Churn[Type_Forfait],"Pas d'information")</f>
        <v>Pas d'information</v>
      </c>
      <c r="K779" s="5" t="str">
        <f>IF(Logs_Reseau6[[#This Row],[Type_Forfait]]="Pro Monde","B2B","B2C")</f>
        <v>B2C</v>
      </c>
      <c r="L779" s="5" t="str">
        <f>_xlfn.XLOOKUP(Logs_Reseau6[[#This Row],[Id_Client]],Clients_Churn[ID_Client],Clients_Churn[Duree_Cumulee_Panne_Min],"Non Trouvée")</f>
        <v>Non Trouvée</v>
      </c>
      <c r="M779" s="5" t="str">
        <f>_xlfn.XLOOKUP(Logs_Reseau6[[#This Row],[Id_Client]],Clients_Churn[ID_Client],Clients_Churn[Anciennete_Mois],"Rien à signaler")</f>
        <v>Rien à signaler</v>
      </c>
      <c r="N779" s="5" t="e">
        <f>Logs_Reseau6[[#This Row],[Anciennette]]/24</f>
        <v>#VALUE!</v>
      </c>
      <c r="O779" s="5" t="e">
        <f>Logs_Reseau6[[#This Row],[Duree_Cumulée_Panne]]/1440</f>
        <v>#VALUE!</v>
      </c>
      <c r="P77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0" spans="1:16" hidden="1" x14ac:dyDescent="0.25">
      <c r="A780" s="2">
        <v>45226</v>
      </c>
      <c r="B780" s="1">
        <v>7.2222222222222215E-2</v>
      </c>
      <c r="C780" t="s">
        <v>1629</v>
      </c>
      <c r="D780">
        <v>29</v>
      </c>
      <c r="E780" t="s">
        <v>1305</v>
      </c>
      <c r="F780" t="str">
        <f>_xlfn.XLOOKUP(Logs_Reseau6[[#This Row],[Cell_ID]],Registre[ID_Antenne],Registre[Province_RDC],"Non Trouvée")</f>
        <v>Non Trouvée</v>
      </c>
      <c r="G780" t="str">
        <f>_xlfn.XLOOKUP(Logs_Reseau6[[#This Row],[Province]],Clients_Churn[Province_Client],Clients_Churn[ID_Client],"Aucun")</f>
        <v>Aucun</v>
      </c>
      <c r="H780" t="str">
        <f>_xlfn.XLOOKUP(Logs_Reseau6[[#This Row],[Cell_ID]],Registre[ID_Antenne],Registre[Technologie],"Rien à signaler")</f>
        <v>Rien à signaler</v>
      </c>
      <c r="I780" t="str">
        <f>_xlfn.XLOOKUP(Logs_Reseau6[[#This Row],[Cell_ID]],Registre[ID_Antenne],Registre[Equipementier],"Non Trouvée")</f>
        <v>Non Trouvée</v>
      </c>
      <c r="J780" t="str">
        <f>_xlfn.XLOOKUP(Logs_Reseau6[[#This Row],[Id_Client]],Clients_Churn[ID_Client],Clients_Churn[Type_Forfait],"Pas d'information")</f>
        <v>Pas d'information</v>
      </c>
      <c r="K780" s="5" t="str">
        <f>IF(Logs_Reseau6[[#This Row],[Type_Forfait]]="Pro Monde","B2B","B2C")</f>
        <v>B2C</v>
      </c>
      <c r="L780" s="5" t="str">
        <f>_xlfn.XLOOKUP(Logs_Reseau6[[#This Row],[Id_Client]],Clients_Churn[ID_Client],Clients_Churn[Duree_Cumulee_Panne_Min],"Non Trouvée")</f>
        <v>Non Trouvée</v>
      </c>
      <c r="M780" s="5" t="str">
        <f>_xlfn.XLOOKUP(Logs_Reseau6[[#This Row],[Id_Client]],Clients_Churn[ID_Client],Clients_Churn[Anciennete_Mois],"Rien à signaler")</f>
        <v>Rien à signaler</v>
      </c>
      <c r="N780" s="5" t="e">
        <f>Logs_Reseau6[[#This Row],[Anciennette]]/24</f>
        <v>#VALUE!</v>
      </c>
      <c r="O780" s="5" t="e">
        <f>Logs_Reseau6[[#This Row],[Duree_Cumulée_Panne]]/1440</f>
        <v>#VALUE!</v>
      </c>
      <c r="P78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1" spans="1:16" hidden="1" x14ac:dyDescent="0.25">
      <c r="A781" s="2">
        <v>45204</v>
      </c>
      <c r="B781" s="1">
        <v>9.0972222222222218E-2</v>
      </c>
      <c r="C781" t="s">
        <v>1522</v>
      </c>
      <c r="D781">
        <v>81</v>
      </c>
      <c r="E781" t="s">
        <v>1300</v>
      </c>
      <c r="F781" t="str">
        <f>_xlfn.XLOOKUP(Logs_Reseau6[[#This Row],[Cell_ID]],Registre[ID_Antenne],Registre[Province_RDC],"Non Trouvée")</f>
        <v>Non Trouvée</v>
      </c>
      <c r="G781" t="str">
        <f>_xlfn.XLOOKUP(Logs_Reseau6[[#This Row],[Province]],Clients_Churn[Province_Client],Clients_Churn[ID_Client],"Aucun")</f>
        <v>Aucun</v>
      </c>
      <c r="H781" t="str">
        <f>_xlfn.XLOOKUP(Logs_Reseau6[[#This Row],[Cell_ID]],Registre[ID_Antenne],Registre[Technologie],"Rien à signaler")</f>
        <v>Rien à signaler</v>
      </c>
      <c r="I781" t="str">
        <f>_xlfn.XLOOKUP(Logs_Reseau6[[#This Row],[Cell_ID]],Registre[ID_Antenne],Registre[Equipementier],"Non Trouvée")</f>
        <v>Non Trouvée</v>
      </c>
      <c r="J781" t="str">
        <f>_xlfn.XLOOKUP(Logs_Reseau6[[#This Row],[Id_Client]],Clients_Churn[ID_Client],Clients_Churn[Type_Forfait],"Pas d'information")</f>
        <v>Pas d'information</v>
      </c>
      <c r="K781" s="5" t="str">
        <f>IF(Logs_Reseau6[[#This Row],[Type_Forfait]]="Pro Monde","B2B","B2C")</f>
        <v>B2C</v>
      </c>
      <c r="L781" s="5" t="str">
        <f>_xlfn.XLOOKUP(Logs_Reseau6[[#This Row],[Id_Client]],Clients_Churn[ID_Client],Clients_Churn[Duree_Cumulee_Panne_Min],"Non Trouvée")</f>
        <v>Non Trouvée</v>
      </c>
      <c r="M781" s="5" t="str">
        <f>_xlfn.XLOOKUP(Logs_Reseau6[[#This Row],[Id_Client]],Clients_Churn[ID_Client],Clients_Churn[Anciennete_Mois],"Rien à signaler")</f>
        <v>Rien à signaler</v>
      </c>
      <c r="N781" s="5" t="e">
        <f>Logs_Reseau6[[#This Row],[Anciennette]]/24</f>
        <v>#VALUE!</v>
      </c>
      <c r="O781" s="5" t="e">
        <f>Logs_Reseau6[[#This Row],[Duree_Cumulée_Panne]]/1440</f>
        <v>#VALUE!</v>
      </c>
      <c r="P78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2" spans="1:16" hidden="1" x14ac:dyDescent="0.25">
      <c r="A782" s="2">
        <v>45221</v>
      </c>
      <c r="B782" s="1">
        <v>0.14305555555555555</v>
      </c>
      <c r="C782" t="s">
        <v>1394</v>
      </c>
      <c r="D782">
        <v>43</v>
      </c>
      <c r="E782" t="s">
        <v>1300</v>
      </c>
      <c r="F782" t="str">
        <f>_xlfn.XLOOKUP(Logs_Reseau6[[#This Row],[Cell_ID]],Registre[ID_Antenne],Registre[Province_RDC],"Non Trouvée")</f>
        <v>Non Trouvée</v>
      </c>
      <c r="G782" t="str">
        <f>_xlfn.XLOOKUP(Logs_Reseau6[[#This Row],[Province]],Clients_Churn[Province_Client],Clients_Churn[ID_Client],"Aucun")</f>
        <v>Aucun</v>
      </c>
      <c r="H782" t="str">
        <f>_xlfn.XLOOKUP(Logs_Reseau6[[#This Row],[Cell_ID]],Registre[ID_Antenne],Registre[Technologie],"Rien à signaler")</f>
        <v>Rien à signaler</v>
      </c>
      <c r="I782" t="str">
        <f>_xlfn.XLOOKUP(Logs_Reseau6[[#This Row],[Cell_ID]],Registre[ID_Antenne],Registre[Equipementier],"Non Trouvée")</f>
        <v>Non Trouvée</v>
      </c>
      <c r="J782" t="str">
        <f>_xlfn.XLOOKUP(Logs_Reseau6[[#This Row],[Id_Client]],Clients_Churn[ID_Client],Clients_Churn[Type_Forfait],"Pas d'information")</f>
        <v>Pas d'information</v>
      </c>
      <c r="K782" s="5" t="str">
        <f>IF(Logs_Reseau6[[#This Row],[Type_Forfait]]="Pro Monde","B2B","B2C")</f>
        <v>B2C</v>
      </c>
      <c r="L782" s="5" t="str">
        <f>_xlfn.XLOOKUP(Logs_Reseau6[[#This Row],[Id_Client]],Clients_Churn[ID_Client],Clients_Churn[Duree_Cumulee_Panne_Min],"Non Trouvée")</f>
        <v>Non Trouvée</v>
      </c>
      <c r="M782" s="5" t="str">
        <f>_xlfn.XLOOKUP(Logs_Reseau6[[#This Row],[Id_Client]],Clients_Churn[ID_Client],Clients_Churn[Anciennete_Mois],"Rien à signaler")</f>
        <v>Rien à signaler</v>
      </c>
      <c r="N782" s="5" t="e">
        <f>Logs_Reseau6[[#This Row],[Anciennette]]/24</f>
        <v>#VALUE!</v>
      </c>
      <c r="O782" s="5" t="e">
        <f>Logs_Reseau6[[#This Row],[Duree_Cumulée_Panne]]/1440</f>
        <v>#VALUE!</v>
      </c>
      <c r="P78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3" spans="1:16" hidden="1" x14ac:dyDescent="0.25">
      <c r="A783" s="2">
        <v>45228</v>
      </c>
      <c r="B783" s="1">
        <v>0.98055555555555551</v>
      </c>
      <c r="C783" t="s">
        <v>1394</v>
      </c>
      <c r="D783">
        <v>37</v>
      </c>
      <c r="E783" t="s">
        <v>1303</v>
      </c>
      <c r="F783" t="str">
        <f>_xlfn.XLOOKUP(Logs_Reseau6[[#This Row],[Cell_ID]],Registre[ID_Antenne],Registre[Province_RDC],"Non Trouvée")</f>
        <v>Non Trouvée</v>
      </c>
      <c r="G783" t="str">
        <f>_xlfn.XLOOKUP(Logs_Reseau6[[#This Row],[Province]],Clients_Churn[Province_Client],Clients_Churn[ID_Client],"Aucun")</f>
        <v>Aucun</v>
      </c>
      <c r="H783" t="str">
        <f>_xlfn.XLOOKUP(Logs_Reseau6[[#This Row],[Cell_ID]],Registre[ID_Antenne],Registre[Technologie],"Rien à signaler")</f>
        <v>Rien à signaler</v>
      </c>
      <c r="I783" t="str">
        <f>_xlfn.XLOOKUP(Logs_Reseau6[[#This Row],[Cell_ID]],Registre[ID_Antenne],Registre[Equipementier],"Non Trouvée")</f>
        <v>Non Trouvée</v>
      </c>
      <c r="J783" t="str">
        <f>_xlfn.XLOOKUP(Logs_Reseau6[[#This Row],[Id_Client]],Clients_Churn[ID_Client],Clients_Churn[Type_Forfait],"Pas d'information")</f>
        <v>Pas d'information</v>
      </c>
      <c r="K783" s="5" t="str">
        <f>IF(Logs_Reseau6[[#This Row],[Type_Forfait]]="Pro Monde","B2B","B2C")</f>
        <v>B2C</v>
      </c>
      <c r="L783" s="5" t="str">
        <f>_xlfn.XLOOKUP(Logs_Reseau6[[#This Row],[Id_Client]],Clients_Churn[ID_Client],Clients_Churn[Duree_Cumulee_Panne_Min],"Non Trouvée")</f>
        <v>Non Trouvée</v>
      </c>
      <c r="M783" s="5" t="str">
        <f>_xlfn.XLOOKUP(Logs_Reseau6[[#This Row],[Id_Client]],Clients_Churn[ID_Client],Clients_Churn[Anciennete_Mois],"Rien à signaler")</f>
        <v>Rien à signaler</v>
      </c>
      <c r="N783" s="5" t="e">
        <f>Logs_Reseau6[[#This Row],[Anciennette]]/24</f>
        <v>#VALUE!</v>
      </c>
      <c r="O783" s="5" t="e">
        <f>Logs_Reseau6[[#This Row],[Duree_Cumulée_Panne]]/1440</f>
        <v>#VALUE!</v>
      </c>
      <c r="P78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4" spans="1:16" hidden="1" x14ac:dyDescent="0.25">
      <c r="A784" s="2">
        <v>45230</v>
      </c>
      <c r="B784" s="1">
        <v>0.91180555555555554</v>
      </c>
      <c r="C784" t="s">
        <v>1394</v>
      </c>
      <c r="D784">
        <v>16</v>
      </c>
      <c r="E784" t="s">
        <v>1303</v>
      </c>
      <c r="F784" t="str">
        <f>_xlfn.XLOOKUP(Logs_Reseau6[[#This Row],[Cell_ID]],Registre[ID_Antenne],Registre[Province_RDC],"Non Trouvée")</f>
        <v>Non Trouvée</v>
      </c>
      <c r="G784" t="str">
        <f>_xlfn.XLOOKUP(Logs_Reseau6[[#This Row],[Province]],Clients_Churn[Province_Client],Clients_Churn[ID_Client],"Aucun")</f>
        <v>Aucun</v>
      </c>
      <c r="H784" t="str">
        <f>_xlfn.XLOOKUP(Logs_Reseau6[[#This Row],[Cell_ID]],Registre[ID_Antenne],Registre[Technologie],"Rien à signaler")</f>
        <v>Rien à signaler</v>
      </c>
      <c r="I784" t="str">
        <f>_xlfn.XLOOKUP(Logs_Reseau6[[#This Row],[Cell_ID]],Registre[ID_Antenne],Registre[Equipementier],"Non Trouvée")</f>
        <v>Non Trouvée</v>
      </c>
      <c r="J784" t="str">
        <f>_xlfn.XLOOKUP(Logs_Reseau6[[#This Row],[Id_Client]],Clients_Churn[ID_Client],Clients_Churn[Type_Forfait],"Pas d'information")</f>
        <v>Pas d'information</v>
      </c>
      <c r="K784" s="5" t="str">
        <f>IF(Logs_Reseau6[[#This Row],[Type_Forfait]]="Pro Monde","B2B","B2C")</f>
        <v>B2C</v>
      </c>
      <c r="L784" s="5" t="str">
        <f>_xlfn.XLOOKUP(Logs_Reseau6[[#This Row],[Id_Client]],Clients_Churn[ID_Client],Clients_Churn[Duree_Cumulee_Panne_Min],"Non Trouvée")</f>
        <v>Non Trouvée</v>
      </c>
      <c r="M784" s="5" t="str">
        <f>_xlfn.XLOOKUP(Logs_Reseau6[[#This Row],[Id_Client]],Clients_Churn[ID_Client],Clients_Churn[Anciennete_Mois],"Rien à signaler")</f>
        <v>Rien à signaler</v>
      </c>
      <c r="N784" s="5" t="e">
        <f>Logs_Reseau6[[#This Row],[Anciennette]]/24</f>
        <v>#VALUE!</v>
      </c>
      <c r="O784" s="5" t="e">
        <f>Logs_Reseau6[[#This Row],[Duree_Cumulée_Panne]]/1440</f>
        <v>#VALUE!</v>
      </c>
      <c r="P78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5" spans="1:16" hidden="1" x14ac:dyDescent="0.25">
      <c r="A785" s="2">
        <v>45205</v>
      </c>
      <c r="B785" s="1">
        <v>0.64027777777777772</v>
      </c>
      <c r="C785" t="s">
        <v>1367</v>
      </c>
      <c r="D785">
        <v>52</v>
      </c>
      <c r="E785" t="s">
        <v>1300</v>
      </c>
      <c r="F785" t="str">
        <f>_xlfn.XLOOKUP(Logs_Reseau6[[#This Row],[Cell_ID]],Registre[ID_Antenne],Registre[Province_RDC],"Non Trouvée")</f>
        <v>Non Trouvée</v>
      </c>
      <c r="G785" t="str">
        <f>_xlfn.XLOOKUP(Logs_Reseau6[[#This Row],[Province]],Clients_Churn[Province_Client],Clients_Churn[ID_Client],"Aucun")</f>
        <v>Aucun</v>
      </c>
      <c r="H785" t="str">
        <f>_xlfn.XLOOKUP(Logs_Reseau6[[#This Row],[Cell_ID]],Registre[ID_Antenne],Registre[Technologie],"Rien à signaler")</f>
        <v>Rien à signaler</v>
      </c>
      <c r="I785" t="str">
        <f>_xlfn.XLOOKUP(Logs_Reseau6[[#This Row],[Cell_ID]],Registre[ID_Antenne],Registre[Equipementier],"Non Trouvée")</f>
        <v>Non Trouvée</v>
      </c>
      <c r="J785" t="str">
        <f>_xlfn.XLOOKUP(Logs_Reseau6[[#This Row],[Id_Client]],Clients_Churn[ID_Client],Clients_Churn[Type_Forfait],"Pas d'information")</f>
        <v>Pas d'information</v>
      </c>
      <c r="K785" s="5" t="str">
        <f>IF(Logs_Reseau6[[#This Row],[Type_Forfait]]="Pro Monde","B2B","B2C")</f>
        <v>B2C</v>
      </c>
      <c r="L785" s="5" t="str">
        <f>_xlfn.XLOOKUP(Logs_Reseau6[[#This Row],[Id_Client]],Clients_Churn[ID_Client],Clients_Churn[Duree_Cumulee_Panne_Min],"Non Trouvée")</f>
        <v>Non Trouvée</v>
      </c>
      <c r="M785" s="5" t="str">
        <f>_xlfn.XLOOKUP(Logs_Reseau6[[#This Row],[Id_Client]],Clients_Churn[ID_Client],Clients_Churn[Anciennete_Mois],"Rien à signaler")</f>
        <v>Rien à signaler</v>
      </c>
      <c r="N785" s="5" t="e">
        <f>Logs_Reseau6[[#This Row],[Anciennette]]/24</f>
        <v>#VALUE!</v>
      </c>
      <c r="O785" s="5" t="e">
        <f>Logs_Reseau6[[#This Row],[Duree_Cumulée_Panne]]/1440</f>
        <v>#VALUE!</v>
      </c>
      <c r="P78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6" spans="1:16" hidden="1" x14ac:dyDescent="0.25">
      <c r="A786" s="2">
        <v>45211</v>
      </c>
      <c r="B786" s="1">
        <v>0.92500000000000004</v>
      </c>
      <c r="C786" t="s">
        <v>1367</v>
      </c>
      <c r="D786">
        <v>40</v>
      </c>
      <c r="E786" t="s">
        <v>1305</v>
      </c>
      <c r="F786" t="str">
        <f>_xlfn.XLOOKUP(Logs_Reseau6[[#This Row],[Cell_ID]],Registre[ID_Antenne],Registre[Province_RDC],"Non Trouvée")</f>
        <v>Non Trouvée</v>
      </c>
      <c r="G786" t="str">
        <f>_xlfn.XLOOKUP(Logs_Reseau6[[#This Row],[Province]],Clients_Churn[Province_Client],Clients_Churn[ID_Client],"Aucun")</f>
        <v>Aucun</v>
      </c>
      <c r="H786" t="str">
        <f>_xlfn.XLOOKUP(Logs_Reseau6[[#This Row],[Cell_ID]],Registre[ID_Antenne],Registre[Technologie],"Rien à signaler")</f>
        <v>Rien à signaler</v>
      </c>
      <c r="I786" t="str">
        <f>_xlfn.XLOOKUP(Logs_Reseau6[[#This Row],[Cell_ID]],Registre[ID_Antenne],Registre[Equipementier],"Non Trouvée")</f>
        <v>Non Trouvée</v>
      </c>
      <c r="J786" t="str">
        <f>_xlfn.XLOOKUP(Logs_Reseau6[[#This Row],[Id_Client]],Clients_Churn[ID_Client],Clients_Churn[Type_Forfait],"Pas d'information")</f>
        <v>Pas d'information</v>
      </c>
      <c r="K786" s="5" t="str">
        <f>IF(Logs_Reseau6[[#This Row],[Type_Forfait]]="Pro Monde","B2B","B2C")</f>
        <v>B2C</v>
      </c>
      <c r="L786" s="5" t="str">
        <f>_xlfn.XLOOKUP(Logs_Reseau6[[#This Row],[Id_Client]],Clients_Churn[ID_Client],Clients_Churn[Duree_Cumulee_Panne_Min],"Non Trouvée")</f>
        <v>Non Trouvée</v>
      </c>
      <c r="M786" s="5" t="str">
        <f>_xlfn.XLOOKUP(Logs_Reseau6[[#This Row],[Id_Client]],Clients_Churn[ID_Client],Clients_Churn[Anciennete_Mois],"Rien à signaler")</f>
        <v>Rien à signaler</v>
      </c>
      <c r="N786" s="5" t="e">
        <f>Logs_Reseau6[[#This Row],[Anciennette]]/24</f>
        <v>#VALUE!</v>
      </c>
      <c r="O786" s="5" t="e">
        <f>Logs_Reseau6[[#This Row],[Duree_Cumulée_Panne]]/1440</f>
        <v>#VALUE!</v>
      </c>
      <c r="P78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7" spans="1:16" hidden="1" x14ac:dyDescent="0.25">
      <c r="A787" s="2">
        <v>45215</v>
      </c>
      <c r="B787" s="1">
        <v>0.87986111111111109</v>
      </c>
      <c r="C787" t="s">
        <v>1367</v>
      </c>
      <c r="D787">
        <v>16</v>
      </c>
      <c r="E787" t="s">
        <v>1303</v>
      </c>
      <c r="F787" t="str">
        <f>_xlfn.XLOOKUP(Logs_Reseau6[[#This Row],[Cell_ID]],Registre[ID_Antenne],Registre[Province_RDC],"Non Trouvée")</f>
        <v>Non Trouvée</v>
      </c>
      <c r="G787" t="str">
        <f>_xlfn.XLOOKUP(Logs_Reseau6[[#This Row],[Province]],Clients_Churn[Province_Client],Clients_Churn[ID_Client],"Aucun")</f>
        <v>Aucun</v>
      </c>
      <c r="H787" t="str">
        <f>_xlfn.XLOOKUP(Logs_Reseau6[[#This Row],[Cell_ID]],Registre[ID_Antenne],Registre[Technologie],"Rien à signaler")</f>
        <v>Rien à signaler</v>
      </c>
      <c r="I787" t="str">
        <f>_xlfn.XLOOKUP(Logs_Reseau6[[#This Row],[Cell_ID]],Registre[ID_Antenne],Registre[Equipementier],"Non Trouvée")</f>
        <v>Non Trouvée</v>
      </c>
      <c r="J787" t="str">
        <f>_xlfn.XLOOKUP(Logs_Reseau6[[#This Row],[Id_Client]],Clients_Churn[ID_Client],Clients_Churn[Type_Forfait],"Pas d'information")</f>
        <v>Pas d'information</v>
      </c>
      <c r="K787" s="5" t="str">
        <f>IF(Logs_Reseau6[[#This Row],[Type_Forfait]]="Pro Monde","B2B","B2C")</f>
        <v>B2C</v>
      </c>
      <c r="L787" s="5" t="str">
        <f>_xlfn.XLOOKUP(Logs_Reseau6[[#This Row],[Id_Client]],Clients_Churn[ID_Client],Clients_Churn[Duree_Cumulee_Panne_Min],"Non Trouvée")</f>
        <v>Non Trouvée</v>
      </c>
      <c r="M787" s="5" t="str">
        <f>_xlfn.XLOOKUP(Logs_Reseau6[[#This Row],[Id_Client]],Clients_Churn[ID_Client],Clients_Churn[Anciennete_Mois],"Rien à signaler")</f>
        <v>Rien à signaler</v>
      </c>
      <c r="N787" s="5" t="e">
        <f>Logs_Reseau6[[#This Row],[Anciennette]]/24</f>
        <v>#VALUE!</v>
      </c>
      <c r="O787" s="5" t="e">
        <f>Logs_Reseau6[[#This Row],[Duree_Cumulée_Panne]]/1440</f>
        <v>#VALUE!</v>
      </c>
      <c r="P78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8" spans="1:16" hidden="1" x14ac:dyDescent="0.25">
      <c r="A788" s="2">
        <v>45216</v>
      </c>
      <c r="B788" s="1">
        <v>0.45902777777777776</v>
      </c>
      <c r="C788" t="s">
        <v>1367</v>
      </c>
      <c r="D788">
        <v>100</v>
      </c>
      <c r="E788" t="s">
        <v>1303</v>
      </c>
      <c r="F788" t="str">
        <f>_xlfn.XLOOKUP(Logs_Reseau6[[#This Row],[Cell_ID]],Registre[ID_Antenne],Registre[Province_RDC],"Non Trouvée")</f>
        <v>Non Trouvée</v>
      </c>
      <c r="G788" t="str">
        <f>_xlfn.XLOOKUP(Logs_Reseau6[[#This Row],[Province]],Clients_Churn[Province_Client],Clients_Churn[ID_Client],"Aucun")</f>
        <v>Aucun</v>
      </c>
      <c r="H788" t="str">
        <f>_xlfn.XLOOKUP(Logs_Reseau6[[#This Row],[Cell_ID]],Registre[ID_Antenne],Registre[Technologie],"Rien à signaler")</f>
        <v>Rien à signaler</v>
      </c>
      <c r="I788" t="str">
        <f>_xlfn.XLOOKUP(Logs_Reseau6[[#This Row],[Cell_ID]],Registre[ID_Antenne],Registre[Equipementier],"Non Trouvée")</f>
        <v>Non Trouvée</v>
      </c>
      <c r="J788" t="str">
        <f>_xlfn.XLOOKUP(Logs_Reseau6[[#This Row],[Id_Client]],Clients_Churn[ID_Client],Clients_Churn[Type_Forfait],"Pas d'information")</f>
        <v>Pas d'information</v>
      </c>
      <c r="K788" s="5" t="str">
        <f>IF(Logs_Reseau6[[#This Row],[Type_Forfait]]="Pro Monde","B2B","B2C")</f>
        <v>B2C</v>
      </c>
      <c r="L788" s="5" t="str">
        <f>_xlfn.XLOOKUP(Logs_Reseau6[[#This Row],[Id_Client]],Clients_Churn[ID_Client],Clients_Churn[Duree_Cumulee_Panne_Min],"Non Trouvée")</f>
        <v>Non Trouvée</v>
      </c>
      <c r="M788" s="5" t="str">
        <f>_xlfn.XLOOKUP(Logs_Reseau6[[#This Row],[Id_Client]],Clients_Churn[ID_Client],Clients_Churn[Anciennete_Mois],"Rien à signaler")</f>
        <v>Rien à signaler</v>
      </c>
      <c r="N788" s="5" t="e">
        <f>Logs_Reseau6[[#This Row],[Anciennette]]/24</f>
        <v>#VALUE!</v>
      </c>
      <c r="O788" s="5" t="e">
        <f>Logs_Reseau6[[#This Row],[Duree_Cumulée_Panne]]/1440</f>
        <v>#VALUE!</v>
      </c>
      <c r="P78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89" spans="1:16" hidden="1" x14ac:dyDescent="0.25">
      <c r="A789" s="2">
        <v>45201</v>
      </c>
      <c r="B789" s="1">
        <v>0.42708333333333331</v>
      </c>
      <c r="C789" t="s">
        <v>1418</v>
      </c>
      <c r="D789">
        <v>98</v>
      </c>
      <c r="E789" t="s">
        <v>1303</v>
      </c>
      <c r="F789" t="str">
        <f>_xlfn.XLOOKUP(Logs_Reseau6[[#This Row],[Cell_ID]],Registre[ID_Antenne],Registre[Province_RDC],"Non Trouvée")</f>
        <v>Non Trouvée</v>
      </c>
      <c r="G789" t="str">
        <f>_xlfn.XLOOKUP(Logs_Reseau6[[#This Row],[Province]],Clients_Churn[Province_Client],Clients_Churn[ID_Client],"Aucun")</f>
        <v>Aucun</v>
      </c>
      <c r="H789" t="str">
        <f>_xlfn.XLOOKUP(Logs_Reseau6[[#This Row],[Cell_ID]],Registre[ID_Antenne],Registre[Technologie],"Rien à signaler")</f>
        <v>Rien à signaler</v>
      </c>
      <c r="I789" t="str">
        <f>_xlfn.XLOOKUP(Logs_Reseau6[[#This Row],[Cell_ID]],Registre[ID_Antenne],Registre[Equipementier],"Non Trouvée")</f>
        <v>Non Trouvée</v>
      </c>
      <c r="J789" t="str">
        <f>_xlfn.XLOOKUP(Logs_Reseau6[[#This Row],[Id_Client]],Clients_Churn[ID_Client],Clients_Churn[Type_Forfait],"Pas d'information")</f>
        <v>Pas d'information</v>
      </c>
      <c r="K789" s="5" t="str">
        <f>IF(Logs_Reseau6[[#This Row],[Type_Forfait]]="Pro Monde","B2B","B2C")</f>
        <v>B2C</v>
      </c>
      <c r="L789" s="5" t="str">
        <f>_xlfn.XLOOKUP(Logs_Reseau6[[#This Row],[Id_Client]],Clients_Churn[ID_Client],Clients_Churn[Duree_Cumulee_Panne_Min],"Non Trouvée")</f>
        <v>Non Trouvée</v>
      </c>
      <c r="M789" s="5" t="str">
        <f>_xlfn.XLOOKUP(Logs_Reseau6[[#This Row],[Id_Client]],Clients_Churn[ID_Client],Clients_Churn[Anciennete_Mois],"Rien à signaler")</f>
        <v>Rien à signaler</v>
      </c>
      <c r="N789" s="5" t="e">
        <f>Logs_Reseau6[[#This Row],[Anciennette]]/24</f>
        <v>#VALUE!</v>
      </c>
      <c r="O789" s="5" t="e">
        <f>Logs_Reseau6[[#This Row],[Duree_Cumulée_Panne]]/1440</f>
        <v>#VALUE!</v>
      </c>
      <c r="P78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90" spans="1:16" hidden="1" x14ac:dyDescent="0.25">
      <c r="A790" s="2">
        <v>45221</v>
      </c>
      <c r="B790" s="1">
        <v>0.98888888888888893</v>
      </c>
      <c r="C790" t="s">
        <v>1418</v>
      </c>
      <c r="D790">
        <v>72</v>
      </c>
      <c r="E790" t="s">
        <v>1303</v>
      </c>
      <c r="F790" t="str">
        <f>_xlfn.XLOOKUP(Logs_Reseau6[[#This Row],[Cell_ID]],Registre[ID_Antenne],Registre[Province_RDC],"Non Trouvée")</f>
        <v>Non Trouvée</v>
      </c>
      <c r="G790" t="str">
        <f>_xlfn.XLOOKUP(Logs_Reseau6[[#This Row],[Province]],Clients_Churn[Province_Client],Clients_Churn[ID_Client],"Aucun")</f>
        <v>Aucun</v>
      </c>
      <c r="H790" t="str">
        <f>_xlfn.XLOOKUP(Logs_Reseau6[[#This Row],[Cell_ID]],Registre[ID_Antenne],Registre[Technologie],"Rien à signaler")</f>
        <v>Rien à signaler</v>
      </c>
      <c r="I790" t="str">
        <f>_xlfn.XLOOKUP(Logs_Reseau6[[#This Row],[Cell_ID]],Registre[ID_Antenne],Registre[Equipementier],"Non Trouvée")</f>
        <v>Non Trouvée</v>
      </c>
      <c r="J790" t="str">
        <f>_xlfn.XLOOKUP(Logs_Reseau6[[#This Row],[Id_Client]],Clients_Churn[ID_Client],Clients_Churn[Type_Forfait],"Pas d'information")</f>
        <v>Pas d'information</v>
      </c>
      <c r="K790" s="5" t="str">
        <f>IF(Logs_Reseau6[[#This Row],[Type_Forfait]]="Pro Monde","B2B","B2C")</f>
        <v>B2C</v>
      </c>
      <c r="L790" s="5" t="str">
        <f>_xlfn.XLOOKUP(Logs_Reseau6[[#This Row],[Id_Client]],Clients_Churn[ID_Client],Clients_Churn[Duree_Cumulee_Panne_Min],"Non Trouvée")</f>
        <v>Non Trouvée</v>
      </c>
      <c r="M790" s="5" t="str">
        <f>_xlfn.XLOOKUP(Logs_Reseau6[[#This Row],[Id_Client]],Clients_Churn[ID_Client],Clients_Churn[Anciennete_Mois],"Rien à signaler")</f>
        <v>Rien à signaler</v>
      </c>
      <c r="N790" s="5" t="e">
        <f>Logs_Reseau6[[#This Row],[Anciennette]]/24</f>
        <v>#VALUE!</v>
      </c>
      <c r="O790" s="5" t="e">
        <f>Logs_Reseau6[[#This Row],[Duree_Cumulée_Panne]]/1440</f>
        <v>#VALUE!</v>
      </c>
      <c r="P79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91" spans="1:16" x14ac:dyDescent="0.25">
      <c r="A791" s="2">
        <v>45201</v>
      </c>
      <c r="B791" s="1">
        <v>0.3125</v>
      </c>
      <c r="C791" t="s">
        <v>1122</v>
      </c>
      <c r="D791">
        <v>90</v>
      </c>
      <c r="E791" t="s">
        <v>1303</v>
      </c>
      <c r="F791" t="str">
        <f>_xlfn.XLOOKUP(Logs_Reseau6[[#This Row],[Cell_ID]],Registre[ID_Antenne],Registre[Province_RDC],"Non Trouvée")</f>
        <v>Kasai-Oriental</v>
      </c>
      <c r="G791" t="str">
        <f>_xlfn.XLOOKUP(Logs_Reseau6[[#This Row],[Province]],Clients_Churn[Province_Client],Clients_Churn[ID_Client],"Aucun")</f>
        <v>CLI-00107</v>
      </c>
      <c r="H791" t="str">
        <f>_xlfn.XLOOKUP(Logs_Reseau6[[#This Row],[Cell_ID]],Registre[ID_Antenne],Registre[Technologie],"Rien à signaler")</f>
        <v>5G</v>
      </c>
      <c r="I791" t="str">
        <f>_xlfn.XLOOKUP(Logs_Reseau6[[#This Row],[Cell_ID]],Registre[ID_Antenne],Registre[Equipementier],"Non Trouvée")</f>
        <v>Nokia</v>
      </c>
      <c r="J791" t="str">
        <f>_xlfn.XLOOKUP(Logs_Reseau6[[#This Row],[Id_Client]],Clients_Churn[ID_Client],Clients_Churn[Type_Forfait],"Pas d'information")</f>
        <v>Premium 5G 150Go</v>
      </c>
      <c r="K791" s="5" t="str">
        <f>IF(Logs_Reseau6[[#This Row],[Type_Forfait]]="Pro Monde","B2B","B2C")</f>
        <v>B2C</v>
      </c>
      <c r="L791" s="5">
        <f>_xlfn.XLOOKUP(Logs_Reseau6[[#This Row],[Id_Client]],Clients_Churn[ID_Client],Clients_Churn[Duree_Cumulee_Panne_Min],"Non Trouvée")</f>
        <v>88</v>
      </c>
      <c r="M791" s="5">
        <f>_xlfn.XLOOKUP(Logs_Reseau6[[#This Row],[Id_Client]],Clients_Churn[ID_Client],Clients_Churn[Anciennete_Mois],"Rien à signaler")</f>
        <v>82</v>
      </c>
      <c r="N791" s="11">
        <f>Logs_Reseau6[[#This Row],[Anciennette]]/24</f>
        <v>3.4166666666666665</v>
      </c>
      <c r="O791" s="1">
        <f>Logs_Reseau6[[#This Row],[Duree_Cumulée_Panne]]/1440</f>
        <v>6.1111111111111109E-2</v>
      </c>
      <c r="P79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792" spans="1:16" hidden="1" x14ac:dyDescent="0.25">
      <c r="A792" s="2">
        <v>45203</v>
      </c>
      <c r="B792" s="1">
        <v>0.42569444444444443</v>
      </c>
      <c r="C792" t="s">
        <v>1588</v>
      </c>
      <c r="D792">
        <v>62</v>
      </c>
      <c r="E792" t="s">
        <v>1300</v>
      </c>
      <c r="F792" t="str">
        <f>_xlfn.XLOOKUP(Logs_Reseau6[[#This Row],[Cell_ID]],Registre[ID_Antenne],Registre[Province_RDC],"Non Trouvée")</f>
        <v>Non Trouvée</v>
      </c>
      <c r="G792" t="str">
        <f>_xlfn.XLOOKUP(Logs_Reseau6[[#This Row],[Province]],Clients_Churn[Province_Client],Clients_Churn[ID_Client],"Aucun")</f>
        <v>Aucun</v>
      </c>
      <c r="H792" t="str">
        <f>_xlfn.XLOOKUP(Logs_Reseau6[[#This Row],[Cell_ID]],Registre[ID_Antenne],Registre[Technologie],"Rien à signaler")</f>
        <v>Rien à signaler</v>
      </c>
      <c r="I792" t="str">
        <f>_xlfn.XLOOKUP(Logs_Reseau6[[#This Row],[Cell_ID]],Registre[ID_Antenne],Registre[Equipementier],"Non Trouvée")</f>
        <v>Non Trouvée</v>
      </c>
      <c r="J792" t="str">
        <f>_xlfn.XLOOKUP(Logs_Reseau6[[#This Row],[Id_Client]],Clients_Churn[ID_Client],Clients_Churn[Type_Forfait],"Pas d'information")</f>
        <v>Pas d'information</v>
      </c>
      <c r="K792" s="5" t="str">
        <f>IF(Logs_Reseau6[[#This Row],[Type_Forfait]]="Pro Monde","B2B","B2C")</f>
        <v>B2C</v>
      </c>
      <c r="L792" s="5" t="str">
        <f>_xlfn.XLOOKUP(Logs_Reseau6[[#This Row],[Id_Client]],Clients_Churn[ID_Client],Clients_Churn[Duree_Cumulee_Panne_Min],"Non Trouvée")</f>
        <v>Non Trouvée</v>
      </c>
      <c r="M792" s="5" t="str">
        <f>_xlfn.XLOOKUP(Logs_Reseau6[[#This Row],[Id_Client]],Clients_Churn[ID_Client],Clients_Churn[Anciennete_Mois],"Rien à signaler")</f>
        <v>Rien à signaler</v>
      </c>
      <c r="N792" s="5" t="e">
        <f>Logs_Reseau6[[#This Row],[Anciennette]]/24</f>
        <v>#VALUE!</v>
      </c>
      <c r="O792" s="5" t="e">
        <f>Logs_Reseau6[[#This Row],[Duree_Cumulée_Panne]]/1440</f>
        <v>#VALUE!</v>
      </c>
      <c r="P79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793" spans="1:16" x14ac:dyDescent="0.25">
      <c r="A793" s="2">
        <v>45215</v>
      </c>
      <c r="B793" s="1">
        <v>1.5972222222222221E-2</v>
      </c>
      <c r="C793" t="s">
        <v>951</v>
      </c>
      <c r="D793">
        <v>74</v>
      </c>
      <c r="E793" t="s">
        <v>1300</v>
      </c>
      <c r="F793" t="str">
        <f>_xlfn.XLOOKUP(Logs_Reseau6[[#This Row],[Cell_ID]],Registre[ID_Antenne],Registre[Province_RDC],"Non Trouvée")</f>
        <v>Kasai-Central</v>
      </c>
      <c r="G793" t="str">
        <f>_xlfn.XLOOKUP(Logs_Reseau6[[#This Row],[Province]],Clients_Churn[Province_Client],Clients_Churn[ID_Client],"Aucun")</f>
        <v>CLI-00060</v>
      </c>
      <c r="H793" t="str">
        <f>_xlfn.XLOOKUP(Logs_Reseau6[[#This Row],[Cell_ID]],Registre[ID_Antenne],Registre[Technologie],"Rien à signaler")</f>
        <v>4G</v>
      </c>
      <c r="I793" t="str">
        <f>_xlfn.XLOOKUP(Logs_Reseau6[[#This Row],[Cell_ID]],Registre[ID_Antenne],Registre[Equipementier],"Non Trouvée")</f>
        <v>Huawei</v>
      </c>
      <c r="J793" t="str">
        <f>_xlfn.XLOOKUP(Logs_Reseau6[[#This Row],[Id_Client]],Clients_Churn[ID_Client],Clients_Churn[Type_Forfait],"Pas d'information")</f>
        <v>Pro Monde</v>
      </c>
      <c r="K793" s="5" t="str">
        <f>IF(Logs_Reseau6[[#This Row],[Type_Forfait]]="Pro Monde","B2B","B2C")</f>
        <v>B2B</v>
      </c>
      <c r="L793" s="5">
        <f>_xlfn.XLOOKUP(Logs_Reseau6[[#This Row],[Id_Client]],Clients_Churn[ID_Client],Clients_Churn[Duree_Cumulee_Panne_Min],"Non Trouvée")</f>
        <v>160</v>
      </c>
      <c r="M793" s="5">
        <f>_xlfn.XLOOKUP(Logs_Reseau6[[#This Row],[Id_Client]],Clients_Churn[ID_Client],Clients_Churn[Anciennete_Mois],"Rien à signaler")</f>
        <v>72</v>
      </c>
      <c r="N793" s="11">
        <f>Logs_Reseau6[[#This Row],[Anciennette]]/24</f>
        <v>3</v>
      </c>
      <c r="O793" s="1">
        <f>Logs_Reseau6[[#This Row],[Duree_Cumulée_Panne]]/1440</f>
        <v>0.1111111111111111</v>
      </c>
      <c r="P79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794" spans="1:16" x14ac:dyDescent="0.25">
      <c r="A794" s="2">
        <v>45200</v>
      </c>
      <c r="B794" s="1">
        <v>0.92569444444444449</v>
      </c>
      <c r="C794" t="s">
        <v>993</v>
      </c>
      <c r="D794">
        <v>76</v>
      </c>
      <c r="E794" t="s">
        <v>1305</v>
      </c>
      <c r="F794" t="str">
        <f>_xlfn.XLOOKUP(Logs_Reseau6[[#This Row],[Cell_ID]],Registre[ID_Antenne],Registre[Province_RDC],"Non Trouvée")</f>
        <v>Kongo-Central</v>
      </c>
      <c r="G794" t="str">
        <f>_xlfn.XLOOKUP(Logs_Reseau6[[#This Row],[Province]],Clients_Churn[Province_Client],Clients_Churn[ID_Client],"Aucun")</f>
        <v>CLI-00012</v>
      </c>
      <c r="H794" t="str">
        <f>_xlfn.XLOOKUP(Logs_Reseau6[[#This Row],[Cell_ID]],Registre[ID_Antenne],Registre[Technologie],"Rien à signaler")</f>
        <v>5G</v>
      </c>
      <c r="I794" t="str">
        <f>_xlfn.XLOOKUP(Logs_Reseau6[[#This Row],[Cell_ID]],Registre[ID_Antenne],Registre[Equipementier],"Non Trouvée")</f>
        <v>Ericsson</v>
      </c>
      <c r="J794" t="str">
        <f>_xlfn.XLOOKUP(Logs_Reseau6[[#This Row],[Id_Client]],Clients_Churn[ID_Client],Clients_Churn[Type_Forfait],"Pas d'information")</f>
        <v>Illimité 50Go</v>
      </c>
      <c r="K794" s="5" t="str">
        <f>IF(Logs_Reseau6[[#This Row],[Type_Forfait]]="Pro Monde","B2B","B2C")</f>
        <v>B2C</v>
      </c>
      <c r="L794" s="5">
        <f>_xlfn.XLOOKUP(Logs_Reseau6[[#This Row],[Id_Client]],Clients_Churn[ID_Client],Clients_Churn[Duree_Cumulee_Panne_Min],"Non Trouvée")</f>
        <v>172</v>
      </c>
      <c r="M794" s="5">
        <f>_xlfn.XLOOKUP(Logs_Reseau6[[#This Row],[Id_Client]],Clients_Churn[ID_Client],Clients_Churn[Anciennete_Mois],"Rien à signaler")</f>
        <v>105</v>
      </c>
      <c r="N794" s="11">
        <f>Logs_Reseau6[[#This Row],[Anciennette]]/24</f>
        <v>4.375</v>
      </c>
      <c r="O794" s="1">
        <f>Logs_Reseau6[[#This Row],[Duree_Cumulée_Panne]]/1440</f>
        <v>0.11944444444444445</v>
      </c>
      <c r="P79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95" spans="1:16" x14ac:dyDescent="0.25">
      <c r="A795" s="2">
        <v>45213</v>
      </c>
      <c r="B795" s="1">
        <v>2.2916666666666665E-2</v>
      </c>
      <c r="C795" t="s">
        <v>993</v>
      </c>
      <c r="D795">
        <v>56</v>
      </c>
      <c r="E795" t="s">
        <v>1305</v>
      </c>
      <c r="F795" t="str">
        <f>_xlfn.XLOOKUP(Logs_Reseau6[[#This Row],[Cell_ID]],Registre[ID_Antenne],Registre[Province_RDC],"Non Trouvée")</f>
        <v>Kongo-Central</v>
      </c>
      <c r="G795" t="str">
        <f>_xlfn.XLOOKUP(Logs_Reseau6[[#This Row],[Province]],Clients_Churn[Province_Client],Clients_Churn[ID_Client],"Aucun")</f>
        <v>CLI-00012</v>
      </c>
      <c r="H795" t="str">
        <f>_xlfn.XLOOKUP(Logs_Reseau6[[#This Row],[Cell_ID]],Registre[ID_Antenne],Registre[Technologie],"Rien à signaler")</f>
        <v>5G</v>
      </c>
      <c r="I795" t="str">
        <f>_xlfn.XLOOKUP(Logs_Reseau6[[#This Row],[Cell_ID]],Registre[ID_Antenne],Registre[Equipementier],"Non Trouvée")</f>
        <v>Ericsson</v>
      </c>
      <c r="J795" t="str">
        <f>_xlfn.XLOOKUP(Logs_Reseau6[[#This Row],[Id_Client]],Clients_Churn[ID_Client],Clients_Churn[Type_Forfait],"Pas d'information")</f>
        <v>Illimité 50Go</v>
      </c>
      <c r="K795" s="5" t="str">
        <f>IF(Logs_Reseau6[[#This Row],[Type_Forfait]]="Pro Monde","B2B","B2C")</f>
        <v>B2C</v>
      </c>
      <c r="L795" s="5">
        <f>_xlfn.XLOOKUP(Logs_Reseau6[[#This Row],[Id_Client]],Clients_Churn[ID_Client],Clients_Churn[Duree_Cumulee_Panne_Min],"Non Trouvée")</f>
        <v>172</v>
      </c>
      <c r="M795" s="5">
        <f>_xlfn.XLOOKUP(Logs_Reseau6[[#This Row],[Id_Client]],Clients_Churn[ID_Client],Clients_Churn[Anciennete_Mois],"Rien à signaler")</f>
        <v>105</v>
      </c>
      <c r="N795" s="11">
        <f>Logs_Reseau6[[#This Row],[Anciennette]]/24</f>
        <v>4.375</v>
      </c>
      <c r="O795" s="1">
        <f>Logs_Reseau6[[#This Row],[Duree_Cumulée_Panne]]/1440</f>
        <v>0.11944444444444445</v>
      </c>
      <c r="P79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96" spans="1:16" x14ac:dyDescent="0.25">
      <c r="A796" s="2">
        <v>45213</v>
      </c>
      <c r="B796" s="1">
        <v>4.2361111111111113E-2</v>
      </c>
      <c r="C796" t="s">
        <v>993</v>
      </c>
      <c r="D796">
        <v>119</v>
      </c>
      <c r="E796" t="s">
        <v>1303</v>
      </c>
      <c r="F796" t="str">
        <f>_xlfn.XLOOKUP(Logs_Reseau6[[#This Row],[Cell_ID]],Registre[ID_Antenne],Registre[Province_RDC],"Non Trouvée")</f>
        <v>Kongo-Central</v>
      </c>
      <c r="G796" t="str">
        <f>_xlfn.XLOOKUP(Logs_Reseau6[[#This Row],[Province]],Clients_Churn[Province_Client],Clients_Churn[ID_Client],"Aucun")</f>
        <v>CLI-00012</v>
      </c>
      <c r="H796" t="str">
        <f>_xlfn.XLOOKUP(Logs_Reseau6[[#This Row],[Cell_ID]],Registre[ID_Antenne],Registre[Technologie],"Rien à signaler")</f>
        <v>5G</v>
      </c>
      <c r="I796" t="str">
        <f>_xlfn.XLOOKUP(Logs_Reseau6[[#This Row],[Cell_ID]],Registre[ID_Antenne],Registre[Equipementier],"Non Trouvée")</f>
        <v>Ericsson</v>
      </c>
      <c r="J796" t="str">
        <f>_xlfn.XLOOKUP(Logs_Reseau6[[#This Row],[Id_Client]],Clients_Churn[ID_Client],Clients_Churn[Type_Forfait],"Pas d'information")</f>
        <v>Illimité 50Go</v>
      </c>
      <c r="K796" s="5" t="str">
        <f>IF(Logs_Reseau6[[#This Row],[Type_Forfait]]="Pro Monde","B2B","B2C")</f>
        <v>B2C</v>
      </c>
      <c r="L796" s="5">
        <f>_xlfn.XLOOKUP(Logs_Reseau6[[#This Row],[Id_Client]],Clients_Churn[ID_Client],Clients_Churn[Duree_Cumulee_Panne_Min],"Non Trouvée")</f>
        <v>172</v>
      </c>
      <c r="M796" s="5">
        <f>_xlfn.XLOOKUP(Logs_Reseau6[[#This Row],[Id_Client]],Clients_Churn[ID_Client],Clients_Churn[Anciennete_Mois],"Rien à signaler")</f>
        <v>105</v>
      </c>
      <c r="N796" s="11">
        <f>Logs_Reseau6[[#This Row],[Anciennette]]/24</f>
        <v>4.375</v>
      </c>
      <c r="O796" s="1">
        <f>Logs_Reseau6[[#This Row],[Duree_Cumulée_Panne]]/1440</f>
        <v>0.11944444444444445</v>
      </c>
      <c r="P79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97" spans="1:16" x14ac:dyDescent="0.25">
      <c r="A797" s="2">
        <v>45218</v>
      </c>
      <c r="B797" s="1">
        <v>0.38194444444444442</v>
      </c>
      <c r="C797" t="s">
        <v>993</v>
      </c>
      <c r="D797">
        <v>81</v>
      </c>
      <c r="E797" t="s">
        <v>1303</v>
      </c>
      <c r="F797" t="str">
        <f>_xlfn.XLOOKUP(Logs_Reseau6[[#This Row],[Cell_ID]],Registre[ID_Antenne],Registre[Province_RDC],"Non Trouvée")</f>
        <v>Kongo-Central</v>
      </c>
      <c r="G797" t="str">
        <f>_xlfn.XLOOKUP(Logs_Reseau6[[#This Row],[Province]],Clients_Churn[Province_Client],Clients_Churn[ID_Client],"Aucun")</f>
        <v>CLI-00012</v>
      </c>
      <c r="H797" t="str">
        <f>_xlfn.XLOOKUP(Logs_Reseau6[[#This Row],[Cell_ID]],Registre[ID_Antenne],Registre[Technologie],"Rien à signaler")</f>
        <v>5G</v>
      </c>
      <c r="I797" t="str">
        <f>_xlfn.XLOOKUP(Logs_Reseau6[[#This Row],[Cell_ID]],Registre[ID_Antenne],Registre[Equipementier],"Non Trouvée")</f>
        <v>Ericsson</v>
      </c>
      <c r="J797" t="str">
        <f>_xlfn.XLOOKUP(Logs_Reseau6[[#This Row],[Id_Client]],Clients_Churn[ID_Client],Clients_Churn[Type_Forfait],"Pas d'information")</f>
        <v>Illimité 50Go</v>
      </c>
      <c r="K797" s="5" t="str">
        <f>IF(Logs_Reseau6[[#This Row],[Type_Forfait]]="Pro Monde","B2B","B2C")</f>
        <v>B2C</v>
      </c>
      <c r="L797" s="5">
        <f>_xlfn.XLOOKUP(Logs_Reseau6[[#This Row],[Id_Client]],Clients_Churn[ID_Client],Clients_Churn[Duree_Cumulee_Panne_Min],"Non Trouvée")</f>
        <v>172</v>
      </c>
      <c r="M797" s="5">
        <f>_xlfn.XLOOKUP(Logs_Reseau6[[#This Row],[Id_Client]],Clients_Churn[ID_Client],Clients_Churn[Anciennete_Mois],"Rien à signaler")</f>
        <v>105</v>
      </c>
      <c r="N797" s="11">
        <f>Logs_Reseau6[[#This Row],[Anciennette]]/24</f>
        <v>4.375</v>
      </c>
      <c r="O797" s="1">
        <f>Logs_Reseau6[[#This Row],[Duree_Cumulée_Panne]]/1440</f>
        <v>0.11944444444444445</v>
      </c>
      <c r="P79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98" spans="1:16" x14ac:dyDescent="0.25">
      <c r="A798" s="2">
        <v>45219</v>
      </c>
      <c r="B798" s="1">
        <v>0.47638888888888886</v>
      </c>
      <c r="C798" t="s">
        <v>993</v>
      </c>
      <c r="D798">
        <v>57</v>
      </c>
      <c r="E798" t="s">
        <v>1300</v>
      </c>
      <c r="F798" t="str">
        <f>_xlfn.XLOOKUP(Logs_Reseau6[[#This Row],[Cell_ID]],Registre[ID_Antenne],Registre[Province_RDC],"Non Trouvée")</f>
        <v>Kongo-Central</v>
      </c>
      <c r="G798" t="str">
        <f>_xlfn.XLOOKUP(Logs_Reseau6[[#This Row],[Province]],Clients_Churn[Province_Client],Clients_Churn[ID_Client],"Aucun")</f>
        <v>CLI-00012</v>
      </c>
      <c r="H798" t="str">
        <f>_xlfn.XLOOKUP(Logs_Reseau6[[#This Row],[Cell_ID]],Registre[ID_Antenne],Registre[Technologie],"Rien à signaler")</f>
        <v>5G</v>
      </c>
      <c r="I798" t="str">
        <f>_xlfn.XLOOKUP(Logs_Reseau6[[#This Row],[Cell_ID]],Registre[ID_Antenne],Registre[Equipementier],"Non Trouvée")</f>
        <v>Ericsson</v>
      </c>
      <c r="J798" t="str">
        <f>_xlfn.XLOOKUP(Logs_Reseau6[[#This Row],[Id_Client]],Clients_Churn[ID_Client],Clients_Churn[Type_Forfait],"Pas d'information")</f>
        <v>Illimité 50Go</v>
      </c>
      <c r="K798" s="5" t="str">
        <f>IF(Logs_Reseau6[[#This Row],[Type_Forfait]]="Pro Monde","B2B","B2C")</f>
        <v>B2C</v>
      </c>
      <c r="L798" s="5">
        <f>_xlfn.XLOOKUP(Logs_Reseau6[[#This Row],[Id_Client]],Clients_Churn[ID_Client],Clients_Churn[Duree_Cumulee_Panne_Min],"Non Trouvée")</f>
        <v>172</v>
      </c>
      <c r="M798" s="5">
        <f>_xlfn.XLOOKUP(Logs_Reseau6[[#This Row],[Id_Client]],Clients_Churn[ID_Client],Clients_Churn[Anciennete_Mois],"Rien à signaler")</f>
        <v>105</v>
      </c>
      <c r="N798" s="11">
        <f>Logs_Reseau6[[#This Row],[Anciennette]]/24</f>
        <v>4.375</v>
      </c>
      <c r="O798" s="1">
        <f>Logs_Reseau6[[#This Row],[Duree_Cumulée_Panne]]/1440</f>
        <v>0.11944444444444445</v>
      </c>
      <c r="P79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799" spans="1:16" x14ac:dyDescent="0.25">
      <c r="A799" s="2">
        <v>45224</v>
      </c>
      <c r="B799" s="1">
        <v>0.55277777777777781</v>
      </c>
      <c r="C799" t="s">
        <v>959</v>
      </c>
      <c r="D799">
        <v>60</v>
      </c>
      <c r="E799" t="s">
        <v>1303</v>
      </c>
      <c r="F799" t="str">
        <f>_xlfn.XLOOKUP(Logs_Reseau6[[#This Row],[Cell_ID]],Registre[ID_Antenne],Registre[Province_RDC],"Non Trouvée")</f>
        <v>Tanganyika</v>
      </c>
      <c r="G799" t="str">
        <f>_xlfn.XLOOKUP(Logs_Reseau6[[#This Row],[Province]],Clients_Churn[Province_Client],Clients_Churn[ID_Client],"Aucun")</f>
        <v>CLI-00007</v>
      </c>
      <c r="H799" t="str">
        <f>_xlfn.XLOOKUP(Logs_Reseau6[[#This Row],[Cell_ID]],Registre[ID_Antenne],Registre[Technologie],"Rien à signaler")</f>
        <v>4G</v>
      </c>
      <c r="I799" t="str">
        <f>_xlfn.XLOOKUP(Logs_Reseau6[[#This Row],[Cell_ID]],Registre[ID_Antenne],Registre[Equipementier],"Non Trouvée")</f>
        <v>ZTE</v>
      </c>
      <c r="J799" t="str">
        <f>_xlfn.XLOOKUP(Logs_Reseau6[[#This Row],[Id_Client]],Clients_Churn[ID_Client],Clients_Churn[Type_Forfait],"Pas d'information")</f>
        <v>Bloqué 5Go</v>
      </c>
      <c r="K799" s="5" t="str">
        <f>IF(Logs_Reseau6[[#This Row],[Type_Forfait]]="Pro Monde","B2B","B2C")</f>
        <v>B2C</v>
      </c>
      <c r="L799" s="5">
        <f>_xlfn.XLOOKUP(Logs_Reseau6[[#This Row],[Id_Client]],Clients_Churn[ID_Client],Clients_Churn[Duree_Cumulee_Panne_Min],"Non Trouvée")</f>
        <v>112</v>
      </c>
      <c r="M799" s="5">
        <f>_xlfn.XLOOKUP(Logs_Reseau6[[#This Row],[Id_Client]],Clients_Churn[ID_Client],Clients_Churn[Anciennete_Mois],"Rien à signaler")</f>
        <v>110</v>
      </c>
      <c r="N799" s="11">
        <f>Logs_Reseau6[[#This Row],[Anciennette]]/24</f>
        <v>4.583333333333333</v>
      </c>
      <c r="O799" s="1">
        <f>Logs_Reseau6[[#This Row],[Duree_Cumulée_Panne]]/1440</f>
        <v>7.7777777777777779E-2</v>
      </c>
      <c r="P79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00" spans="1:16" hidden="1" x14ac:dyDescent="0.25">
      <c r="A800" s="2">
        <v>45202</v>
      </c>
      <c r="B800" s="1">
        <v>0.86805555555555558</v>
      </c>
      <c r="C800" t="s">
        <v>1395</v>
      </c>
      <c r="D800">
        <v>91</v>
      </c>
      <c r="E800" t="s">
        <v>1303</v>
      </c>
      <c r="F800" t="str">
        <f>_xlfn.XLOOKUP(Logs_Reseau6[[#This Row],[Cell_ID]],Registre[ID_Antenne],Registre[Province_RDC],"Non Trouvée")</f>
        <v>Non Trouvée</v>
      </c>
      <c r="G800" t="str">
        <f>_xlfn.XLOOKUP(Logs_Reseau6[[#This Row],[Province]],Clients_Churn[Province_Client],Clients_Churn[ID_Client],"Aucun")</f>
        <v>Aucun</v>
      </c>
      <c r="H800" t="str">
        <f>_xlfn.XLOOKUP(Logs_Reseau6[[#This Row],[Cell_ID]],Registre[ID_Antenne],Registre[Technologie],"Rien à signaler")</f>
        <v>Rien à signaler</v>
      </c>
      <c r="I800" t="str">
        <f>_xlfn.XLOOKUP(Logs_Reseau6[[#This Row],[Cell_ID]],Registre[ID_Antenne],Registre[Equipementier],"Non Trouvée")</f>
        <v>Non Trouvée</v>
      </c>
      <c r="J800" t="str">
        <f>_xlfn.XLOOKUP(Logs_Reseau6[[#This Row],[Id_Client]],Clients_Churn[ID_Client],Clients_Churn[Type_Forfait],"Pas d'information")</f>
        <v>Pas d'information</v>
      </c>
      <c r="K800" s="5" t="str">
        <f>IF(Logs_Reseau6[[#This Row],[Type_Forfait]]="Pro Monde","B2B","B2C")</f>
        <v>B2C</v>
      </c>
      <c r="L800" s="5" t="str">
        <f>_xlfn.XLOOKUP(Logs_Reseau6[[#This Row],[Id_Client]],Clients_Churn[ID_Client],Clients_Churn[Duree_Cumulee_Panne_Min],"Non Trouvée")</f>
        <v>Non Trouvée</v>
      </c>
      <c r="M800" s="5" t="str">
        <f>_xlfn.XLOOKUP(Logs_Reseau6[[#This Row],[Id_Client]],Clients_Churn[ID_Client],Clients_Churn[Anciennete_Mois],"Rien à signaler")</f>
        <v>Rien à signaler</v>
      </c>
      <c r="N800" s="5" t="e">
        <f>Logs_Reseau6[[#This Row],[Anciennette]]/24</f>
        <v>#VALUE!</v>
      </c>
      <c r="O800" s="5" t="e">
        <f>Logs_Reseau6[[#This Row],[Duree_Cumulée_Panne]]/1440</f>
        <v>#VALUE!</v>
      </c>
      <c r="P80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01" spans="1:16" hidden="1" x14ac:dyDescent="0.25">
      <c r="A801" s="2">
        <v>45212</v>
      </c>
      <c r="B801" s="1">
        <v>0.62430555555555556</v>
      </c>
      <c r="C801" t="s">
        <v>1395</v>
      </c>
      <c r="D801">
        <v>113</v>
      </c>
      <c r="E801" t="s">
        <v>1305</v>
      </c>
      <c r="F801" t="str">
        <f>_xlfn.XLOOKUP(Logs_Reseau6[[#This Row],[Cell_ID]],Registre[ID_Antenne],Registre[Province_RDC],"Non Trouvée")</f>
        <v>Non Trouvée</v>
      </c>
      <c r="G801" t="str">
        <f>_xlfn.XLOOKUP(Logs_Reseau6[[#This Row],[Province]],Clients_Churn[Province_Client],Clients_Churn[ID_Client],"Aucun")</f>
        <v>Aucun</v>
      </c>
      <c r="H801" t="str">
        <f>_xlfn.XLOOKUP(Logs_Reseau6[[#This Row],[Cell_ID]],Registre[ID_Antenne],Registre[Technologie],"Rien à signaler")</f>
        <v>Rien à signaler</v>
      </c>
      <c r="I801" t="str">
        <f>_xlfn.XLOOKUP(Logs_Reseau6[[#This Row],[Cell_ID]],Registre[ID_Antenne],Registre[Equipementier],"Non Trouvée")</f>
        <v>Non Trouvée</v>
      </c>
      <c r="J801" t="str">
        <f>_xlfn.XLOOKUP(Logs_Reseau6[[#This Row],[Id_Client]],Clients_Churn[ID_Client],Clients_Churn[Type_Forfait],"Pas d'information")</f>
        <v>Pas d'information</v>
      </c>
      <c r="K801" s="5" t="str">
        <f>IF(Logs_Reseau6[[#This Row],[Type_Forfait]]="Pro Monde","B2B","B2C")</f>
        <v>B2C</v>
      </c>
      <c r="L801" s="5" t="str">
        <f>_xlfn.XLOOKUP(Logs_Reseau6[[#This Row],[Id_Client]],Clients_Churn[ID_Client],Clients_Churn[Duree_Cumulee_Panne_Min],"Non Trouvée")</f>
        <v>Non Trouvée</v>
      </c>
      <c r="M801" s="5" t="str">
        <f>_xlfn.XLOOKUP(Logs_Reseau6[[#This Row],[Id_Client]],Clients_Churn[ID_Client],Clients_Churn[Anciennete_Mois],"Rien à signaler")</f>
        <v>Rien à signaler</v>
      </c>
      <c r="N801" s="5" t="e">
        <f>Logs_Reseau6[[#This Row],[Anciennette]]/24</f>
        <v>#VALUE!</v>
      </c>
      <c r="O801" s="5" t="e">
        <f>Logs_Reseau6[[#This Row],[Duree_Cumulée_Panne]]/1440</f>
        <v>#VALUE!</v>
      </c>
      <c r="P80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02" spans="1:16" hidden="1" x14ac:dyDescent="0.25">
      <c r="A802" s="2">
        <v>45218</v>
      </c>
      <c r="B802" s="1">
        <v>0.24236111111111111</v>
      </c>
      <c r="C802" t="s">
        <v>1395</v>
      </c>
      <c r="D802">
        <v>64</v>
      </c>
      <c r="E802" t="s">
        <v>1300</v>
      </c>
      <c r="F802" t="str">
        <f>_xlfn.XLOOKUP(Logs_Reseau6[[#This Row],[Cell_ID]],Registre[ID_Antenne],Registre[Province_RDC],"Non Trouvée")</f>
        <v>Non Trouvée</v>
      </c>
      <c r="G802" t="str">
        <f>_xlfn.XLOOKUP(Logs_Reseau6[[#This Row],[Province]],Clients_Churn[Province_Client],Clients_Churn[ID_Client],"Aucun")</f>
        <v>Aucun</v>
      </c>
      <c r="H802" t="str">
        <f>_xlfn.XLOOKUP(Logs_Reseau6[[#This Row],[Cell_ID]],Registre[ID_Antenne],Registre[Technologie],"Rien à signaler")</f>
        <v>Rien à signaler</v>
      </c>
      <c r="I802" t="str">
        <f>_xlfn.XLOOKUP(Logs_Reseau6[[#This Row],[Cell_ID]],Registre[ID_Antenne],Registre[Equipementier],"Non Trouvée")</f>
        <v>Non Trouvée</v>
      </c>
      <c r="J802" t="str">
        <f>_xlfn.XLOOKUP(Logs_Reseau6[[#This Row],[Id_Client]],Clients_Churn[ID_Client],Clients_Churn[Type_Forfait],"Pas d'information")</f>
        <v>Pas d'information</v>
      </c>
      <c r="K802" s="5" t="str">
        <f>IF(Logs_Reseau6[[#This Row],[Type_Forfait]]="Pro Monde","B2B","B2C")</f>
        <v>B2C</v>
      </c>
      <c r="L802" s="5" t="str">
        <f>_xlfn.XLOOKUP(Logs_Reseau6[[#This Row],[Id_Client]],Clients_Churn[ID_Client],Clients_Churn[Duree_Cumulee_Panne_Min],"Non Trouvée")</f>
        <v>Non Trouvée</v>
      </c>
      <c r="M802" s="5" t="str">
        <f>_xlfn.XLOOKUP(Logs_Reseau6[[#This Row],[Id_Client]],Clients_Churn[ID_Client],Clients_Churn[Anciennete_Mois],"Rien à signaler")</f>
        <v>Rien à signaler</v>
      </c>
      <c r="N802" s="5" t="e">
        <f>Logs_Reseau6[[#This Row],[Anciennette]]/24</f>
        <v>#VALUE!</v>
      </c>
      <c r="O802" s="5" t="e">
        <f>Logs_Reseau6[[#This Row],[Duree_Cumulée_Panne]]/1440</f>
        <v>#VALUE!</v>
      </c>
      <c r="P80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03" spans="1:16" hidden="1" x14ac:dyDescent="0.25">
      <c r="A803" s="2">
        <v>45207</v>
      </c>
      <c r="B803" s="1">
        <v>0.30486111111111114</v>
      </c>
      <c r="C803" t="s">
        <v>1304</v>
      </c>
      <c r="D803">
        <v>50</v>
      </c>
      <c r="E803" t="s">
        <v>1303</v>
      </c>
      <c r="F803" t="str">
        <f>_xlfn.XLOOKUP(Logs_Reseau6[[#This Row],[Cell_ID]],Registre[ID_Antenne],Registre[Province_RDC],"Non Trouvée")</f>
        <v>Non Trouvée</v>
      </c>
      <c r="G803" t="str">
        <f>_xlfn.XLOOKUP(Logs_Reseau6[[#This Row],[Province]],Clients_Churn[Province_Client],Clients_Churn[ID_Client],"Aucun")</f>
        <v>Aucun</v>
      </c>
      <c r="H803" t="str">
        <f>_xlfn.XLOOKUP(Logs_Reseau6[[#This Row],[Cell_ID]],Registre[ID_Antenne],Registre[Technologie],"Rien à signaler")</f>
        <v>Rien à signaler</v>
      </c>
      <c r="I803" t="str">
        <f>_xlfn.XLOOKUP(Logs_Reseau6[[#This Row],[Cell_ID]],Registre[ID_Antenne],Registre[Equipementier],"Non Trouvée")</f>
        <v>Non Trouvée</v>
      </c>
      <c r="J803" t="str">
        <f>_xlfn.XLOOKUP(Logs_Reseau6[[#This Row],[Id_Client]],Clients_Churn[ID_Client],Clients_Churn[Type_Forfait],"Pas d'information")</f>
        <v>Pas d'information</v>
      </c>
      <c r="K803" s="5" t="str">
        <f>IF(Logs_Reseau6[[#This Row],[Type_Forfait]]="Pro Monde","B2B","B2C")</f>
        <v>B2C</v>
      </c>
      <c r="L803" s="5" t="str">
        <f>_xlfn.XLOOKUP(Logs_Reseau6[[#This Row],[Id_Client]],Clients_Churn[ID_Client],Clients_Churn[Duree_Cumulee_Panne_Min],"Non Trouvée")</f>
        <v>Non Trouvée</v>
      </c>
      <c r="M803" s="5" t="str">
        <f>_xlfn.XLOOKUP(Logs_Reseau6[[#This Row],[Id_Client]],Clients_Churn[ID_Client],Clients_Churn[Anciennete_Mois],"Rien à signaler")</f>
        <v>Rien à signaler</v>
      </c>
      <c r="N803" s="5" t="e">
        <f>Logs_Reseau6[[#This Row],[Anciennette]]/24</f>
        <v>#VALUE!</v>
      </c>
      <c r="O803" s="5" t="e">
        <f>Logs_Reseau6[[#This Row],[Duree_Cumulée_Panne]]/1440</f>
        <v>#VALUE!</v>
      </c>
      <c r="P80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04" spans="1:16" hidden="1" x14ac:dyDescent="0.25">
      <c r="A804" s="2">
        <v>45221</v>
      </c>
      <c r="B804" s="1">
        <v>0.99791666666666667</v>
      </c>
      <c r="C804" t="s">
        <v>1304</v>
      </c>
      <c r="D804">
        <v>79</v>
      </c>
      <c r="E804" t="s">
        <v>1305</v>
      </c>
      <c r="F804" t="str">
        <f>_xlfn.XLOOKUP(Logs_Reseau6[[#This Row],[Cell_ID]],Registre[ID_Antenne],Registre[Province_RDC],"Non Trouvée")</f>
        <v>Non Trouvée</v>
      </c>
      <c r="G804" t="str">
        <f>_xlfn.XLOOKUP(Logs_Reseau6[[#This Row],[Province]],Clients_Churn[Province_Client],Clients_Churn[ID_Client],"Aucun")</f>
        <v>Aucun</v>
      </c>
      <c r="H804" t="str">
        <f>_xlfn.XLOOKUP(Logs_Reseau6[[#This Row],[Cell_ID]],Registre[ID_Antenne],Registre[Technologie],"Rien à signaler")</f>
        <v>Rien à signaler</v>
      </c>
      <c r="I804" t="str">
        <f>_xlfn.XLOOKUP(Logs_Reseau6[[#This Row],[Cell_ID]],Registre[ID_Antenne],Registre[Equipementier],"Non Trouvée")</f>
        <v>Non Trouvée</v>
      </c>
      <c r="J804" t="str">
        <f>_xlfn.XLOOKUP(Logs_Reseau6[[#This Row],[Id_Client]],Clients_Churn[ID_Client],Clients_Churn[Type_Forfait],"Pas d'information")</f>
        <v>Pas d'information</v>
      </c>
      <c r="K804" s="5" t="str">
        <f>IF(Logs_Reseau6[[#This Row],[Type_Forfait]]="Pro Monde","B2B","B2C")</f>
        <v>B2C</v>
      </c>
      <c r="L804" s="5" t="str">
        <f>_xlfn.XLOOKUP(Logs_Reseau6[[#This Row],[Id_Client]],Clients_Churn[ID_Client],Clients_Churn[Duree_Cumulee_Panne_Min],"Non Trouvée")</f>
        <v>Non Trouvée</v>
      </c>
      <c r="M804" s="5" t="str">
        <f>_xlfn.XLOOKUP(Logs_Reseau6[[#This Row],[Id_Client]],Clients_Churn[ID_Client],Clients_Churn[Anciennete_Mois],"Rien à signaler")</f>
        <v>Rien à signaler</v>
      </c>
      <c r="N804" s="5" t="e">
        <f>Logs_Reseau6[[#This Row],[Anciennette]]/24</f>
        <v>#VALUE!</v>
      </c>
      <c r="O804" s="5" t="e">
        <f>Logs_Reseau6[[#This Row],[Duree_Cumulée_Panne]]/1440</f>
        <v>#VALUE!</v>
      </c>
      <c r="P80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05" spans="1:16" hidden="1" x14ac:dyDescent="0.25">
      <c r="A805" s="2">
        <v>45202</v>
      </c>
      <c r="B805" s="1">
        <v>0.68611111111111112</v>
      </c>
      <c r="C805" t="s">
        <v>1501</v>
      </c>
      <c r="D805">
        <v>53</v>
      </c>
      <c r="E805" t="s">
        <v>1300</v>
      </c>
      <c r="F805" t="str">
        <f>_xlfn.XLOOKUP(Logs_Reseau6[[#This Row],[Cell_ID]],Registre[ID_Antenne],Registre[Province_RDC],"Non Trouvée")</f>
        <v>Non Trouvée</v>
      </c>
      <c r="G805" t="str">
        <f>_xlfn.XLOOKUP(Logs_Reseau6[[#This Row],[Province]],Clients_Churn[Province_Client],Clients_Churn[ID_Client],"Aucun")</f>
        <v>Aucun</v>
      </c>
      <c r="H805" t="str">
        <f>_xlfn.XLOOKUP(Logs_Reseau6[[#This Row],[Cell_ID]],Registre[ID_Antenne],Registre[Technologie],"Rien à signaler")</f>
        <v>Rien à signaler</v>
      </c>
      <c r="I805" t="str">
        <f>_xlfn.XLOOKUP(Logs_Reseau6[[#This Row],[Cell_ID]],Registre[ID_Antenne],Registre[Equipementier],"Non Trouvée")</f>
        <v>Non Trouvée</v>
      </c>
      <c r="J805" t="str">
        <f>_xlfn.XLOOKUP(Logs_Reseau6[[#This Row],[Id_Client]],Clients_Churn[ID_Client],Clients_Churn[Type_Forfait],"Pas d'information")</f>
        <v>Pas d'information</v>
      </c>
      <c r="K805" s="5" t="str">
        <f>IF(Logs_Reseau6[[#This Row],[Type_Forfait]]="Pro Monde","B2B","B2C")</f>
        <v>B2C</v>
      </c>
      <c r="L805" s="5" t="str">
        <f>_xlfn.XLOOKUP(Logs_Reseau6[[#This Row],[Id_Client]],Clients_Churn[ID_Client],Clients_Churn[Duree_Cumulee_Panne_Min],"Non Trouvée")</f>
        <v>Non Trouvée</v>
      </c>
      <c r="M805" s="5" t="str">
        <f>_xlfn.XLOOKUP(Logs_Reseau6[[#This Row],[Id_Client]],Clients_Churn[ID_Client],Clients_Churn[Anciennete_Mois],"Rien à signaler")</f>
        <v>Rien à signaler</v>
      </c>
      <c r="N805" s="5" t="e">
        <f>Logs_Reseau6[[#This Row],[Anciennette]]/24</f>
        <v>#VALUE!</v>
      </c>
      <c r="O805" s="5" t="e">
        <f>Logs_Reseau6[[#This Row],[Duree_Cumulée_Panne]]/1440</f>
        <v>#VALUE!</v>
      </c>
      <c r="P80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06" spans="1:16" hidden="1" x14ac:dyDescent="0.25">
      <c r="A806" s="2">
        <v>45201</v>
      </c>
      <c r="B806" s="1">
        <v>0.95416666666666672</v>
      </c>
      <c r="C806" t="s">
        <v>1636</v>
      </c>
      <c r="D806">
        <v>32</v>
      </c>
      <c r="E806" t="s">
        <v>1303</v>
      </c>
      <c r="F806" t="str">
        <f>_xlfn.XLOOKUP(Logs_Reseau6[[#This Row],[Cell_ID]],Registre[ID_Antenne],Registre[Province_RDC],"Non Trouvée")</f>
        <v>Non Trouvée</v>
      </c>
      <c r="G806" t="str">
        <f>_xlfn.XLOOKUP(Logs_Reseau6[[#This Row],[Province]],Clients_Churn[Province_Client],Clients_Churn[ID_Client],"Aucun")</f>
        <v>Aucun</v>
      </c>
      <c r="H806" t="str">
        <f>_xlfn.XLOOKUP(Logs_Reseau6[[#This Row],[Cell_ID]],Registre[ID_Antenne],Registre[Technologie],"Rien à signaler")</f>
        <v>Rien à signaler</v>
      </c>
      <c r="I806" t="str">
        <f>_xlfn.XLOOKUP(Logs_Reseau6[[#This Row],[Cell_ID]],Registre[ID_Antenne],Registre[Equipementier],"Non Trouvée")</f>
        <v>Non Trouvée</v>
      </c>
      <c r="J806" t="str">
        <f>_xlfn.XLOOKUP(Logs_Reseau6[[#This Row],[Id_Client]],Clients_Churn[ID_Client],Clients_Churn[Type_Forfait],"Pas d'information")</f>
        <v>Pas d'information</v>
      </c>
      <c r="K806" s="5" t="str">
        <f>IF(Logs_Reseau6[[#This Row],[Type_Forfait]]="Pro Monde","B2B","B2C")</f>
        <v>B2C</v>
      </c>
      <c r="L806" s="5" t="str">
        <f>_xlfn.XLOOKUP(Logs_Reseau6[[#This Row],[Id_Client]],Clients_Churn[ID_Client],Clients_Churn[Duree_Cumulee_Panne_Min],"Non Trouvée")</f>
        <v>Non Trouvée</v>
      </c>
      <c r="M806" s="5" t="str">
        <f>_xlfn.XLOOKUP(Logs_Reseau6[[#This Row],[Id_Client]],Clients_Churn[ID_Client],Clients_Churn[Anciennete_Mois],"Rien à signaler")</f>
        <v>Rien à signaler</v>
      </c>
      <c r="N806" s="5" t="e">
        <f>Logs_Reseau6[[#This Row],[Anciennette]]/24</f>
        <v>#VALUE!</v>
      </c>
      <c r="O806" s="5" t="e">
        <f>Logs_Reseau6[[#This Row],[Duree_Cumulée_Panne]]/1440</f>
        <v>#VALUE!</v>
      </c>
      <c r="P80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07" spans="1:16" x14ac:dyDescent="0.25">
      <c r="A807" s="2">
        <v>45211</v>
      </c>
      <c r="B807" s="1">
        <v>0.12847222222222221</v>
      </c>
      <c r="C807" t="s">
        <v>813</v>
      </c>
      <c r="D807">
        <v>110</v>
      </c>
      <c r="E807" t="s">
        <v>1303</v>
      </c>
      <c r="F807" t="str">
        <f>_xlfn.XLOOKUP(Logs_Reseau6[[#This Row],[Cell_ID]],Registre[ID_Antenne],Registre[Province_RDC],"Non Trouvée")</f>
        <v>Sud-Kivu</v>
      </c>
      <c r="G807" t="str">
        <f>_xlfn.XLOOKUP(Logs_Reseau6[[#This Row],[Province]],Clients_Churn[Province_Client],Clients_Churn[ID_Client],"Aucun")</f>
        <v>CLI-00054</v>
      </c>
      <c r="H807" t="str">
        <f>_xlfn.XLOOKUP(Logs_Reseau6[[#This Row],[Cell_ID]],Registre[ID_Antenne],Registre[Technologie],"Rien à signaler")</f>
        <v>5G</v>
      </c>
      <c r="I807" t="str">
        <f>_xlfn.XLOOKUP(Logs_Reseau6[[#This Row],[Cell_ID]],Registre[ID_Antenne],Registre[Equipementier],"Non Trouvée")</f>
        <v>Ericsson</v>
      </c>
      <c r="J807" t="str">
        <f>_xlfn.XLOOKUP(Logs_Reseau6[[#This Row],[Id_Client]],Clients_Churn[ID_Client],Clients_Churn[Type_Forfait],"Pas d'information")</f>
        <v>Bloqué 5Go</v>
      </c>
      <c r="K807" s="5" t="str">
        <f>IF(Logs_Reseau6[[#This Row],[Type_Forfait]]="Pro Monde","B2B","B2C")</f>
        <v>B2C</v>
      </c>
      <c r="L807" s="5">
        <f>_xlfn.XLOOKUP(Logs_Reseau6[[#This Row],[Id_Client]],Clients_Churn[ID_Client],Clients_Churn[Duree_Cumulee_Panne_Min],"Non Trouvée")</f>
        <v>40</v>
      </c>
      <c r="M807" s="5">
        <f>_xlfn.XLOOKUP(Logs_Reseau6[[#This Row],[Id_Client]],Clients_Churn[ID_Client],Clients_Churn[Anciennete_Mois],"Rien à signaler")</f>
        <v>34</v>
      </c>
      <c r="N807" s="11">
        <f>Logs_Reseau6[[#This Row],[Anciennette]]/24</f>
        <v>1.4166666666666667</v>
      </c>
      <c r="O807" s="1">
        <f>Logs_Reseau6[[#This Row],[Duree_Cumulée_Panne]]/1440</f>
        <v>2.7777777777777776E-2</v>
      </c>
      <c r="P80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08" spans="1:16" x14ac:dyDescent="0.25">
      <c r="A808" s="2">
        <v>45228</v>
      </c>
      <c r="B808" s="1">
        <v>0.65138888888888891</v>
      </c>
      <c r="C808" t="s">
        <v>813</v>
      </c>
      <c r="D808">
        <v>119</v>
      </c>
      <c r="E808" t="s">
        <v>1300</v>
      </c>
      <c r="F808" t="str">
        <f>_xlfn.XLOOKUP(Logs_Reseau6[[#This Row],[Cell_ID]],Registre[ID_Antenne],Registre[Province_RDC],"Non Trouvée")</f>
        <v>Sud-Kivu</v>
      </c>
      <c r="G808" t="str">
        <f>_xlfn.XLOOKUP(Logs_Reseau6[[#This Row],[Province]],Clients_Churn[Province_Client],Clients_Churn[ID_Client],"Aucun")</f>
        <v>CLI-00054</v>
      </c>
      <c r="H808" t="str">
        <f>_xlfn.XLOOKUP(Logs_Reseau6[[#This Row],[Cell_ID]],Registre[ID_Antenne],Registre[Technologie],"Rien à signaler")</f>
        <v>5G</v>
      </c>
      <c r="I808" t="str">
        <f>_xlfn.XLOOKUP(Logs_Reseau6[[#This Row],[Cell_ID]],Registre[ID_Antenne],Registre[Equipementier],"Non Trouvée")</f>
        <v>Ericsson</v>
      </c>
      <c r="J808" t="str">
        <f>_xlfn.XLOOKUP(Logs_Reseau6[[#This Row],[Id_Client]],Clients_Churn[ID_Client],Clients_Churn[Type_Forfait],"Pas d'information")</f>
        <v>Bloqué 5Go</v>
      </c>
      <c r="K808" s="5" t="str">
        <f>IF(Logs_Reseau6[[#This Row],[Type_Forfait]]="Pro Monde","B2B","B2C")</f>
        <v>B2C</v>
      </c>
      <c r="L808" s="5">
        <f>_xlfn.XLOOKUP(Logs_Reseau6[[#This Row],[Id_Client]],Clients_Churn[ID_Client],Clients_Churn[Duree_Cumulee_Panne_Min],"Non Trouvée")</f>
        <v>40</v>
      </c>
      <c r="M808" s="5">
        <f>_xlfn.XLOOKUP(Logs_Reseau6[[#This Row],[Id_Client]],Clients_Churn[ID_Client],Clients_Churn[Anciennete_Mois],"Rien à signaler")</f>
        <v>34</v>
      </c>
      <c r="N808" s="11">
        <f>Logs_Reseau6[[#This Row],[Anciennette]]/24</f>
        <v>1.4166666666666667</v>
      </c>
      <c r="O808" s="1">
        <f>Logs_Reseau6[[#This Row],[Duree_Cumulée_Panne]]/1440</f>
        <v>2.7777777777777776E-2</v>
      </c>
      <c r="P80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09" spans="1:16" x14ac:dyDescent="0.25">
      <c r="A809" s="2">
        <v>45207</v>
      </c>
      <c r="B809" s="1">
        <v>7.0833333333333331E-2</v>
      </c>
      <c r="C809" t="s">
        <v>994</v>
      </c>
      <c r="D809">
        <v>94</v>
      </c>
      <c r="E809" t="s">
        <v>1303</v>
      </c>
      <c r="F809" t="str">
        <f>_xlfn.XLOOKUP(Logs_Reseau6[[#This Row],[Cell_ID]],Registre[ID_Antenne],Registre[Province_RDC],"Non Trouvée")</f>
        <v>Equateur</v>
      </c>
      <c r="G809" t="str">
        <f>_xlfn.XLOOKUP(Logs_Reseau6[[#This Row],[Province]],Clients_Churn[Province_Client],Clients_Churn[ID_Client],"Aucun")</f>
        <v>CLI-00091</v>
      </c>
      <c r="H809" t="str">
        <f>_xlfn.XLOOKUP(Logs_Reseau6[[#This Row],[Cell_ID]],Registre[ID_Antenne],Registre[Technologie],"Rien à signaler")</f>
        <v>5G</v>
      </c>
      <c r="I809" t="str">
        <f>_xlfn.XLOOKUP(Logs_Reseau6[[#This Row],[Cell_ID]],Registre[ID_Antenne],Registre[Equipementier],"Non Trouvée")</f>
        <v>Ericsson</v>
      </c>
      <c r="J809" t="str">
        <f>_xlfn.XLOOKUP(Logs_Reseau6[[#This Row],[Id_Client]],Clients_Churn[ID_Client],Clients_Churn[Type_Forfait],"Pas d'information")</f>
        <v>Bloqué 5Go</v>
      </c>
      <c r="K809" s="5" t="str">
        <f>IF(Logs_Reseau6[[#This Row],[Type_Forfait]]="Pro Monde","B2B","B2C")</f>
        <v>B2C</v>
      </c>
      <c r="L809" s="5">
        <f>_xlfn.XLOOKUP(Logs_Reseau6[[#This Row],[Id_Client]],Clients_Churn[ID_Client],Clients_Churn[Duree_Cumulee_Panne_Min],"Non Trouvée")</f>
        <v>435</v>
      </c>
      <c r="M809" s="5">
        <f>_xlfn.XLOOKUP(Logs_Reseau6[[#This Row],[Id_Client]],Clients_Churn[ID_Client],Clients_Churn[Anciennete_Mois],"Rien à signaler")</f>
        <v>50</v>
      </c>
      <c r="N809" s="11">
        <f>Logs_Reseau6[[#This Row],[Anciennette]]/24</f>
        <v>2.0833333333333335</v>
      </c>
      <c r="O809" s="1">
        <f>Logs_Reseau6[[#This Row],[Duree_Cumulée_Panne]]/1440</f>
        <v>0.30208333333333331</v>
      </c>
      <c r="P80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10" spans="1:16" x14ac:dyDescent="0.25">
      <c r="A810" s="2">
        <v>45221</v>
      </c>
      <c r="B810" s="1">
        <v>0.72499999999999998</v>
      </c>
      <c r="C810" t="s">
        <v>876</v>
      </c>
      <c r="D810">
        <v>55</v>
      </c>
      <c r="E810" t="s">
        <v>1303</v>
      </c>
      <c r="F810" t="str">
        <f>_xlfn.XLOOKUP(Logs_Reseau6[[#This Row],[Cell_ID]],Registre[ID_Antenne],Registre[Province_RDC],"Non Trouvée")</f>
        <v>Kasai-Oriental</v>
      </c>
      <c r="G810" t="str">
        <f>_xlfn.XLOOKUP(Logs_Reseau6[[#This Row],[Province]],Clients_Churn[Province_Client],Clients_Churn[ID_Client],"Aucun")</f>
        <v>CLI-00107</v>
      </c>
      <c r="H810" t="str">
        <f>_xlfn.XLOOKUP(Logs_Reseau6[[#This Row],[Cell_ID]],Registre[ID_Antenne],Registre[Technologie],"Rien à signaler")</f>
        <v>3G</v>
      </c>
      <c r="I810" t="str">
        <f>_xlfn.XLOOKUP(Logs_Reseau6[[#This Row],[Cell_ID]],Registre[ID_Antenne],Registre[Equipementier],"Non Trouvée")</f>
        <v>Ericsson</v>
      </c>
      <c r="J810" t="str">
        <f>_xlfn.XLOOKUP(Logs_Reseau6[[#This Row],[Id_Client]],Clients_Churn[ID_Client],Clients_Churn[Type_Forfait],"Pas d'information")</f>
        <v>Premium 5G 150Go</v>
      </c>
      <c r="K810" s="5" t="str">
        <f>IF(Logs_Reseau6[[#This Row],[Type_Forfait]]="Pro Monde","B2B","B2C")</f>
        <v>B2C</v>
      </c>
      <c r="L810" s="5">
        <f>_xlfn.XLOOKUP(Logs_Reseau6[[#This Row],[Id_Client]],Clients_Churn[ID_Client],Clients_Churn[Duree_Cumulee_Panne_Min],"Non Trouvée")</f>
        <v>88</v>
      </c>
      <c r="M810" s="5">
        <f>_xlfn.XLOOKUP(Logs_Reseau6[[#This Row],[Id_Client]],Clients_Churn[ID_Client],Clients_Churn[Anciennete_Mois],"Rien à signaler")</f>
        <v>82</v>
      </c>
      <c r="N810" s="11">
        <f>Logs_Reseau6[[#This Row],[Anciennette]]/24</f>
        <v>3.4166666666666665</v>
      </c>
      <c r="O810" s="1">
        <f>Logs_Reseau6[[#This Row],[Duree_Cumulée_Panne]]/1440</f>
        <v>6.1111111111111109E-2</v>
      </c>
      <c r="P81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11" spans="1:16" x14ac:dyDescent="0.25">
      <c r="A811" s="2">
        <v>45203</v>
      </c>
      <c r="B811" s="1">
        <v>0.60347222222222219</v>
      </c>
      <c r="C811" t="s">
        <v>1245</v>
      </c>
      <c r="D811">
        <v>106</v>
      </c>
      <c r="E811" t="s">
        <v>1303</v>
      </c>
      <c r="F811" t="str">
        <f>_xlfn.XLOOKUP(Logs_Reseau6[[#This Row],[Cell_ID]],Registre[ID_Antenne],Registre[Province_RDC],"Non Trouvée")</f>
        <v>Haut-Katanga</v>
      </c>
      <c r="G811" t="str">
        <f>_xlfn.XLOOKUP(Logs_Reseau6[[#This Row],[Province]],Clients_Churn[Province_Client],Clients_Churn[ID_Client],"Aucun")</f>
        <v>CLI-00059</v>
      </c>
      <c r="H811" t="str">
        <f>_xlfn.XLOOKUP(Logs_Reseau6[[#This Row],[Cell_ID]],Registre[ID_Antenne],Registre[Technologie],"Rien à signaler")</f>
        <v>5G</v>
      </c>
      <c r="I811" t="str">
        <f>_xlfn.XLOOKUP(Logs_Reseau6[[#This Row],[Cell_ID]],Registre[ID_Antenne],Registre[Equipementier],"Non Trouvée")</f>
        <v>Huawei</v>
      </c>
      <c r="J811" t="str">
        <f>_xlfn.XLOOKUP(Logs_Reseau6[[#This Row],[Id_Client]],Clients_Churn[ID_Client],Clients_Churn[Type_Forfait],"Pas d'information")</f>
        <v>Pro Monde</v>
      </c>
      <c r="K811" s="5" t="str">
        <f>IF(Logs_Reseau6[[#This Row],[Type_Forfait]]="Pro Monde","B2B","B2C")</f>
        <v>B2B</v>
      </c>
      <c r="L811" s="5">
        <f>_xlfn.XLOOKUP(Logs_Reseau6[[#This Row],[Id_Client]],Clients_Churn[ID_Client],Clients_Churn[Duree_Cumulee_Panne_Min],"Non Trouvée")</f>
        <v>76</v>
      </c>
      <c r="M811" s="5">
        <f>_xlfn.XLOOKUP(Logs_Reseau6[[#This Row],[Id_Client]],Clients_Churn[ID_Client],Clients_Churn[Anciennete_Mois],"Rien à signaler")</f>
        <v>69</v>
      </c>
      <c r="N811" s="11">
        <f>Logs_Reseau6[[#This Row],[Anciennette]]/24</f>
        <v>2.875</v>
      </c>
      <c r="O811" s="1">
        <f>Logs_Reseau6[[#This Row],[Duree_Cumulée_Panne]]/1440</f>
        <v>5.2777777777777778E-2</v>
      </c>
      <c r="P81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12" spans="1:16" x14ac:dyDescent="0.25">
      <c r="A812" s="2">
        <v>45221</v>
      </c>
      <c r="B812" s="1">
        <v>0.6479166666666667</v>
      </c>
      <c r="C812" t="s">
        <v>875</v>
      </c>
      <c r="D812">
        <v>67</v>
      </c>
      <c r="E812" t="s">
        <v>1300</v>
      </c>
      <c r="F812" t="str">
        <f>_xlfn.XLOOKUP(Logs_Reseau6[[#This Row],[Cell_ID]],Registre[ID_Antenne],Registre[Province_RDC],"Non Trouvée")</f>
        <v>Haut-Uele</v>
      </c>
      <c r="G812" t="str">
        <f>_xlfn.XLOOKUP(Logs_Reseau6[[#This Row],[Province]],Clients_Churn[Province_Client],Clients_Churn[ID_Client],"Aucun")</f>
        <v>CLI-00055</v>
      </c>
      <c r="H812" t="str">
        <f>_xlfn.XLOOKUP(Logs_Reseau6[[#This Row],[Cell_ID]],Registre[ID_Antenne],Registre[Technologie],"Rien à signaler")</f>
        <v>3G</v>
      </c>
      <c r="I812" t="str">
        <f>_xlfn.XLOOKUP(Logs_Reseau6[[#This Row],[Cell_ID]],Registre[ID_Antenne],Registre[Equipementier],"Non Trouvée")</f>
        <v>Nokia</v>
      </c>
      <c r="J812" t="str">
        <f>_xlfn.XLOOKUP(Logs_Reseau6[[#This Row],[Id_Client]],Clients_Churn[ID_Client],Clients_Churn[Type_Forfait],"Pas d'information")</f>
        <v>Pro Monde</v>
      </c>
      <c r="K812" s="5" t="str">
        <f>IF(Logs_Reseau6[[#This Row],[Type_Forfait]]="Pro Monde","B2B","B2C")</f>
        <v>B2B</v>
      </c>
      <c r="L812" s="5">
        <f>_xlfn.XLOOKUP(Logs_Reseau6[[#This Row],[Id_Client]],Clients_Churn[ID_Client],Clients_Churn[Duree_Cumulee_Panne_Min],"Non Trouvée")</f>
        <v>206</v>
      </c>
      <c r="M812" s="5">
        <f>_xlfn.XLOOKUP(Logs_Reseau6[[#This Row],[Id_Client]],Clients_Churn[ID_Client],Clients_Churn[Anciennete_Mois],"Rien à signaler")</f>
        <v>6</v>
      </c>
      <c r="N812" s="11">
        <f>Logs_Reseau6[[#This Row],[Anciennette]]/24</f>
        <v>0.25</v>
      </c>
      <c r="O812" s="1">
        <f>Logs_Reseau6[[#This Row],[Duree_Cumulée_Panne]]/1440</f>
        <v>0.14305555555555555</v>
      </c>
      <c r="P81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13" spans="1:16" hidden="1" x14ac:dyDescent="0.25">
      <c r="A813" s="2">
        <v>45217</v>
      </c>
      <c r="B813" s="1">
        <v>0.29583333333333334</v>
      </c>
      <c r="C813" t="s">
        <v>1569</v>
      </c>
      <c r="D813">
        <v>119</v>
      </c>
      <c r="E813" t="s">
        <v>1300</v>
      </c>
      <c r="F813" t="str">
        <f>_xlfn.XLOOKUP(Logs_Reseau6[[#This Row],[Cell_ID]],Registre[ID_Antenne],Registre[Province_RDC],"Non Trouvée")</f>
        <v>Non Trouvée</v>
      </c>
      <c r="G813" t="str">
        <f>_xlfn.XLOOKUP(Logs_Reseau6[[#This Row],[Province]],Clients_Churn[Province_Client],Clients_Churn[ID_Client],"Aucun")</f>
        <v>Aucun</v>
      </c>
      <c r="H813" t="str">
        <f>_xlfn.XLOOKUP(Logs_Reseau6[[#This Row],[Cell_ID]],Registre[ID_Antenne],Registre[Technologie],"Rien à signaler")</f>
        <v>Rien à signaler</v>
      </c>
      <c r="I813" t="str">
        <f>_xlfn.XLOOKUP(Logs_Reseau6[[#This Row],[Cell_ID]],Registre[ID_Antenne],Registre[Equipementier],"Non Trouvée")</f>
        <v>Non Trouvée</v>
      </c>
      <c r="J813" t="str">
        <f>_xlfn.XLOOKUP(Logs_Reseau6[[#This Row],[Id_Client]],Clients_Churn[ID_Client],Clients_Churn[Type_Forfait],"Pas d'information")</f>
        <v>Pas d'information</v>
      </c>
      <c r="K813" s="5" t="str">
        <f>IF(Logs_Reseau6[[#This Row],[Type_Forfait]]="Pro Monde","B2B","B2C")</f>
        <v>B2C</v>
      </c>
      <c r="L813" s="5" t="str">
        <f>_xlfn.XLOOKUP(Logs_Reseau6[[#This Row],[Id_Client]],Clients_Churn[ID_Client],Clients_Churn[Duree_Cumulee_Panne_Min],"Non Trouvée")</f>
        <v>Non Trouvée</v>
      </c>
      <c r="M813" s="5" t="str">
        <f>_xlfn.XLOOKUP(Logs_Reseau6[[#This Row],[Id_Client]],Clients_Churn[ID_Client],Clients_Churn[Anciennete_Mois],"Rien à signaler")</f>
        <v>Rien à signaler</v>
      </c>
      <c r="N813" s="5" t="e">
        <f>Logs_Reseau6[[#This Row],[Anciennette]]/24</f>
        <v>#VALUE!</v>
      </c>
      <c r="O813" s="5" t="e">
        <f>Logs_Reseau6[[#This Row],[Duree_Cumulée_Panne]]/1440</f>
        <v>#VALUE!</v>
      </c>
      <c r="P81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14" spans="1:16" hidden="1" x14ac:dyDescent="0.25">
      <c r="A814" s="2">
        <v>45222</v>
      </c>
      <c r="B814" s="1">
        <v>0.93819444444444444</v>
      </c>
      <c r="C814" t="s">
        <v>1493</v>
      </c>
      <c r="D814">
        <v>36</v>
      </c>
      <c r="E814" t="s">
        <v>1300</v>
      </c>
      <c r="F814" t="str">
        <f>_xlfn.XLOOKUP(Logs_Reseau6[[#This Row],[Cell_ID]],Registre[ID_Antenne],Registre[Province_RDC],"Non Trouvée")</f>
        <v>Non Trouvée</v>
      </c>
      <c r="G814" t="str">
        <f>_xlfn.XLOOKUP(Logs_Reseau6[[#This Row],[Province]],Clients_Churn[Province_Client],Clients_Churn[ID_Client],"Aucun")</f>
        <v>Aucun</v>
      </c>
      <c r="H814" t="str">
        <f>_xlfn.XLOOKUP(Logs_Reseau6[[#This Row],[Cell_ID]],Registre[ID_Antenne],Registre[Technologie],"Rien à signaler")</f>
        <v>Rien à signaler</v>
      </c>
      <c r="I814" t="str">
        <f>_xlfn.XLOOKUP(Logs_Reseau6[[#This Row],[Cell_ID]],Registre[ID_Antenne],Registre[Equipementier],"Non Trouvée")</f>
        <v>Non Trouvée</v>
      </c>
      <c r="J814" t="str">
        <f>_xlfn.XLOOKUP(Logs_Reseau6[[#This Row],[Id_Client]],Clients_Churn[ID_Client],Clients_Churn[Type_Forfait],"Pas d'information")</f>
        <v>Pas d'information</v>
      </c>
      <c r="K814" s="5" t="str">
        <f>IF(Logs_Reseau6[[#This Row],[Type_Forfait]]="Pro Monde","B2B","B2C")</f>
        <v>B2C</v>
      </c>
      <c r="L814" s="5" t="str">
        <f>_xlfn.XLOOKUP(Logs_Reseau6[[#This Row],[Id_Client]],Clients_Churn[ID_Client],Clients_Churn[Duree_Cumulee_Panne_Min],"Non Trouvée")</f>
        <v>Non Trouvée</v>
      </c>
      <c r="M814" s="5" t="str">
        <f>_xlfn.XLOOKUP(Logs_Reseau6[[#This Row],[Id_Client]],Clients_Churn[ID_Client],Clients_Churn[Anciennete_Mois],"Rien à signaler")</f>
        <v>Rien à signaler</v>
      </c>
      <c r="N814" s="5" t="e">
        <f>Logs_Reseau6[[#This Row],[Anciennette]]/24</f>
        <v>#VALUE!</v>
      </c>
      <c r="O814" s="5" t="e">
        <f>Logs_Reseau6[[#This Row],[Duree_Cumulée_Panne]]/1440</f>
        <v>#VALUE!</v>
      </c>
      <c r="P81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15" spans="1:16" x14ac:dyDescent="0.25">
      <c r="A815" s="2">
        <v>45213</v>
      </c>
      <c r="B815" s="1">
        <v>0.94861111111111107</v>
      </c>
      <c r="C815" t="s">
        <v>908</v>
      </c>
      <c r="D815">
        <v>72</v>
      </c>
      <c r="E815" t="s">
        <v>1303</v>
      </c>
      <c r="F815" t="str">
        <f>_xlfn.XLOOKUP(Logs_Reseau6[[#This Row],[Cell_ID]],Registre[ID_Antenne],Registre[Province_RDC],"Non Trouvée")</f>
        <v>Sankuru</v>
      </c>
      <c r="G815" t="str">
        <f>_xlfn.XLOOKUP(Logs_Reseau6[[#This Row],[Province]],Clients_Churn[Province_Client],Clients_Churn[ID_Client],"Aucun")</f>
        <v>CLI-00197</v>
      </c>
      <c r="H815" t="str">
        <f>_xlfn.XLOOKUP(Logs_Reseau6[[#This Row],[Cell_ID]],Registre[ID_Antenne],Registre[Technologie],"Rien à signaler")</f>
        <v>4G</v>
      </c>
      <c r="I815" t="str">
        <f>_xlfn.XLOOKUP(Logs_Reseau6[[#This Row],[Cell_ID]],Registre[ID_Antenne],Registre[Equipementier],"Non Trouvée")</f>
        <v>Nokia</v>
      </c>
      <c r="J815" t="str">
        <f>_xlfn.XLOOKUP(Logs_Reseau6[[#This Row],[Id_Client]],Clients_Churn[ID_Client],Clients_Churn[Type_Forfait],"Pas d'information")</f>
        <v>Illimité 50Go</v>
      </c>
      <c r="K815" s="5" t="str">
        <f>IF(Logs_Reseau6[[#This Row],[Type_Forfait]]="Pro Monde","B2B","B2C")</f>
        <v>B2C</v>
      </c>
      <c r="L815" s="5">
        <f>_xlfn.XLOOKUP(Logs_Reseau6[[#This Row],[Id_Client]],Clients_Churn[ID_Client],Clients_Churn[Duree_Cumulee_Panne_Min],"Non Trouvée")</f>
        <v>84</v>
      </c>
      <c r="M815" s="5">
        <f>_xlfn.XLOOKUP(Logs_Reseau6[[#This Row],[Id_Client]],Clients_Churn[ID_Client],Clients_Churn[Anciennete_Mois],"Rien à signaler")</f>
        <v>109</v>
      </c>
      <c r="N815" s="11">
        <f>Logs_Reseau6[[#This Row],[Anciennette]]/24</f>
        <v>4.541666666666667</v>
      </c>
      <c r="O815" s="1">
        <f>Logs_Reseau6[[#This Row],[Duree_Cumulée_Panne]]/1440</f>
        <v>5.8333333333333334E-2</v>
      </c>
      <c r="P81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16" spans="1:16" hidden="1" x14ac:dyDescent="0.25">
      <c r="A816" s="2">
        <v>45211</v>
      </c>
      <c r="B816" s="1">
        <v>0.38958333333333334</v>
      </c>
      <c r="C816" t="s">
        <v>1532</v>
      </c>
      <c r="D816">
        <v>76</v>
      </c>
      <c r="E816" t="s">
        <v>1303</v>
      </c>
      <c r="F816" t="str">
        <f>_xlfn.XLOOKUP(Logs_Reseau6[[#This Row],[Cell_ID]],Registre[ID_Antenne],Registre[Province_RDC],"Non Trouvée")</f>
        <v>Non Trouvée</v>
      </c>
      <c r="G816" t="str">
        <f>_xlfn.XLOOKUP(Logs_Reseau6[[#This Row],[Province]],Clients_Churn[Province_Client],Clients_Churn[ID_Client],"Aucun")</f>
        <v>Aucun</v>
      </c>
      <c r="H816" t="str">
        <f>_xlfn.XLOOKUP(Logs_Reseau6[[#This Row],[Cell_ID]],Registre[ID_Antenne],Registre[Technologie],"Rien à signaler")</f>
        <v>Rien à signaler</v>
      </c>
      <c r="I816" t="str">
        <f>_xlfn.XLOOKUP(Logs_Reseau6[[#This Row],[Cell_ID]],Registre[ID_Antenne],Registre[Equipementier],"Non Trouvée")</f>
        <v>Non Trouvée</v>
      </c>
      <c r="J816" t="str">
        <f>_xlfn.XLOOKUP(Logs_Reseau6[[#This Row],[Id_Client]],Clients_Churn[ID_Client],Clients_Churn[Type_Forfait],"Pas d'information")</f>
        <v>Pas d'information</v>
      </c>
      <c r="K816" s="5" t="str">
        <f>IF(Logs_Reseau6[[#This Row],[Type_Forfait]]="Pro Monde","B2B","B2C")</f>
        <v>B2C</v>
      </c>
      <c r="L816" s="5" t="str">
        <f>_xlfn.XLOOKUP(Logs_Reseau6[[#This Row],[Id_Client]],Clients_Churn[ID_Client],Clients_Churn[Duree_Cumulee_Panne_Min],"Non Trouvée")</f>
        <v>Non Trouvée</v>
      </c>
      <c r="M816" s="5" t="str">
        <f>_xlfn.XLOOKUP(Logs_Reseau6[[#This Row],[Id_Client]],Clients_Churn[ID_Client],Clients_Churn[Anciennete_Mois],"Rien à signaler")</f>
        <v>Rien à signaler</v>
      </c>
      <c r="N816" s="5" t="e">
        <f>Logs_Reseau6[[#This Row],[Anciennette]]/24</f>
        <v>#VALUE!</v>
      </c>
      <c r="O816" s="5" t="e">
        <f>Logs_Reseau6[[#This Row],[Duree_Cumulée_Panne]]/1440</f>
        <v>#VALUE!</v>
      </c>
      <c r="P81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17" spans="1:16" hidden="1" x14ac:dyDescent="0.25">
      <c r="A817" s="2">
        <v>45212</v>
      </c>
      <c r="B817" s="1">
        <v>0.9291666666666667</v>
      </c>
      <c r="C817" t="s">
        <v>1355</v>
      </c>
      <c r="D817">
        <v>118</v>
      </c>
      <c r="E817" t="s">
        <v>1305</v>
      </c>
      <c r="F817" t="str">
        <f>_xlfn.XLOOKUP(Logs_Reseau6[[#This Row],[Cell_ID]],Registre[ID_Antenne],Registre[Province_RDC],"Non Trouvée")</f>
        <v>Non Trouvée</v>
      </c>
      <c r="G817" t="str">
        <f>_xlfn.XLOOKUP(Logs_Reseau6[[#This Row],[Province]],Clients_Churn[Province_Client],Clients_Churn[ID_Client],"Aucun")</f>
        <v>Aucun</v>
      </c>
      <c r="H817" t="str">
        <f>_xlfn.XLOOKUP(Logs_Reseau6[[#This Row],[Cell_ID]],Registre[ID_Antenne],Registre[Technologie],"Rien à signaler")</f>
        <v>Rien à signaler</v>
      </c>
      <c r="I817" t="str">
        <f>_xlfn.XLOOKUP(Logs_Reseau6[[#This Row],[Cell_ID]],Registre[ID_Antenne],Registre[Equipementier],"Non Trouvée")</f>
        <v>Non Trouvée</v>
      </c>
      <c r="J817" t="str">
        <f>_xlfn.XLOOKUP(Logs_Reseau6[[#This Row],[Id_Client]],Clients_Churn[ID_Client],Clients_Churn[Type_Forfait],"Pas d'information")</f>
        <v>Pas d'information</v>
      </c>
      <c r="K817" s="5" t="str">
        <f>IF(Logs_Reseau6[[#This Row],[Type_Forfait]]="Pro Monde","B2B","B2C")</f>
        <v>B2C</v>
      </c>
      <c r="L817" s="5" t="str">
        <f>_xlfn.XLOOKUP(Logs_Reseau6[[#This Row],[Id_Client]],Clients_Churn[ID_Client],Clients_Churn[Duree_Cumulee_Panne_Min],"Non Trouvée")</f>
        <v>Non Trouvée</v>
      </c>
      <c r="M817" s="5" t="str">
        <f>_xlfn.XLOOKUP(Logs_Reseau6[[#This Row],[Id_Client]],Clients_Churn[ID_Client],Clients_Churn[Anciennete_Mois],"Rien à signaler")</f>
        <v>Rien à signaler</v>
      </c>
      <c r="N817" s="5" t="e">
        <f>Logs_Reseau6[[#This Row],[Anciennette]]/24</f>
        <v>#VALUE!</v>
      </c>
      <c r="O817" s="5" t="e">
        <f>Logs_Reseau6[[#This Row],[Duree_Cumulée_Panne]]/1440</f>
        <v>#VALUE!</v>
      </c>
      <c r="P81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18" spans="1:16" hidden="1" x14ac:dyDescent="0.25">
      <c r="A818" s="2">
        <v>45215</v>
      </c>
      <c r="B818" s="1">
        <v>0.14374999999999999</v>
      </c>
      <c r="C818" t="s">
        <v>1376</v>
      </c>
      <c r="D818">
        <v>107</v>
      </c>
      <c r="E818" t="s">
        <v>1303</v>
      </c>
      <c r="F818" t="str">
        <f>_xlfn.XLOOKUP(Logs_Reseau6[[#This Row],[Cell_ID]],Registre[ID_Antenne],Registre[Province_RDC],"Non Trouvée")</f>
        <v>Non Trouvée</v>
      </c>
      <c r="G818" t="str">
        <f>_xlfn.XLOOKUP(Logs_Reseau6[[#This Row],[Province]],Clients_Churn[Province_Client],Clients_Churn[ID_Client],"Aucun")</f>
        <v>Aucun</v>
      </c>
      <c r="H818" t="str">
        <f>_xlfn.XLOOKUP(Logs_Reseau6[[#This Row],[Cell_ID]],Registre[ID_Antenne],Registre[Technologie],"Rien à signaler")</f>
        <v>Rien à signaler</v>
      </c>
      <c r="I818" t="str">
        <f>_xlfn.XLOOKUP(Logs_Reseau6[[#This Row],[Cell_ID]],Registre[ID_Antenne],Registre[Equipementier],"Non Trouvée")</f>
        <v>Non Trouvée</v>
      </c>
      <c r="J818" t="str">
        <f>_xlfn.XLOOKUP(Logs_Reseau6[[#This Row],[Id_Client]],Clients_Churn[ID_Client],Clients_Churn[Type_Forfait],"Pas d'information")</f>
        <v>Pas d'information</v>
      </c>
      <c r="K818" s="5" t="str">
        <f>IF(Logs_Reseau6[[#This Row],[Type_Forfait]]="Pro Monde","B2B","B2C")</f>
        <v>B2C</v>
      </c>
      <c r="L818" s="5" t="str">
        <f>_xlfn.XLOOKUP(Logs_Reseau6[[#This Row],[Id_Client]],Clients_Churn[ID_Client],Clients_Churn[Duree_Cumulee_Panne_Min],"Non Trouvée")</f>
        <v>Non Trouvée</v>
      </c>
      <c r="M818" s="5" t="str">
        <f>_xlfn.XLOOKUP(Logs_Reseau6[[#This Row],[Id_Client]],Clients_Churn[ID_Client],Clients_Churn[Anciennete_Mois],"Rien à signaler")</f>
        <v>Rien à signaler</v>
      </c>
      <c r="N818" s="5" t="e">
        <f>Logs_Reseau6[[#This Row],[Anciennette]]/24</f>
        <v>#VALUE!</v>
      </c>
      <c r="O818" s="5" t="e">
        <f>Logs_Reseau6[[#This Row],[Duree_Cumulée_Panne]]/1440</f>
        <v>#VALUE!</v>
      </c>
      <c r="P81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19" spans="1:16" hidden="1" x14ac:dyDescent="0.25">
      <c r="A819" s="2">
        <v>45215</v>
      </c>
      <c r="B819" s="1">
        <v>0.81111111111111112</v>
      </c>
      <c r="C819" t="s">
        <v>1376</v>
      </c>
      <c r="D819">
        <v>7</v>
      </c>
      <c r="E819" t="s">
        <v>1305</v>
      </c>
      <c r="F819" t="str">
        <f>_xlfn.XLOOKUP(Logs_Reseau6[[#This Row],[Cell_ID]],Registre[ID_Antenne],Registre[Province_RDC],"Non Trouvée")</f>
        <v>Non Trouvée</v>
      </c>
      <c r="G819" t="str">
        <f>_xlfn.XLOOKUP(Logs_Reseau6[[#This Row],[Province]],Clients_Churn[Province_Client],Clients_Churn[ID_Client],"Aucun")</f>
        <v>Aucun</v>
      </c>
      <c r="H819" t="str">
        <f>_xlfn.XLOOKUP(Logs_Reseau6[[#This Row],[Cell_ID]],Registre[ID_Antenne],Registre[Technologie],"Rien à signaler")</f>
        <v>Rien à signaler</v>
      </c>
      <c r="I819" t="str">
        <f>_xlfn.XLOOKUP(Logs_Reseau6[[#This Row],[Cell_ID]],Registre[ID_Antenne],Registre[Equipementier],"Non Trouvée")</f>
        <v>Non Trouvée</v>
      </c>
      <c r="J819" t="str">
        <f>_xlfn.XLOOKUP(Logs_Reseau6[[#This Row],[Id_Client]],Clients_Churn[ID_Client],Clients_Churn[Type_Forfait],"Pas d'information")</f>
        <v>Pas d'information</v>
      </c>
      <c r="K819" s="5" t="str">
        <f>IF(Logs_Reseau6[[#This Row],[Type_Forfait]]="Pro Monde","B2B","B2C")</f>
        <v>B2C</v>
      </c>
      <c r="L819" s="5" t="str">
        <f>_xlfn.XLOOKUP(Logs_Reseau6[[#This Row],[Id_Client]],Clients_Churn[ID_Client],Clients_Churn[Duree_Cumulee_Panne_Min],"Non Trouvée")</f>
        <v>Non Trouvée</v>
      </c>
      <c r="M819" s="5" t="str">
        <f>_xlfn.XLOOKUP(Logs_Reseau6[[#This Row],[Id_Client]],Clients_Churn[ID_Client],Clients_Churn[Anciennete_Mois],"Rien à signaler")</f>
        <v>Rien à signaler</v>
      </c>
      <c r="N819" s="5" t="e">
        <f>Logs_Reseau6[[#This Row],[Anciennette]]/24</f>
        <v>#VALUE!</v>
      </c>
      <c r="O819" s="5" t="e">
        <f>Logs_Reseau6[[#This Row],[Duree_Cumulée_Panne]]/1440</f>
        <v>#VALUE!</v>
      </c>
      <c r="P81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20" spans="1:16" hidden="1" x14ac:dyDescent="0.25">
      <c r="A820" s="2">
        <v>45201</v>
      </c>
      <c r="B820" s="1">
        <v>4.583333333333333E-2</v>
      </c>
      <c r="C820" t="s">
        <v>1410</v>
      </c>
      <c r="D820">
        <v>83</v>
      </c>
      <c r="E820" t="s">
        <v>1303</v>
      </c>
      <c r="F820" t="str">
        <f>_xlfn.XLOOKUP(Logs_Reseau6[[#This Row],[Cell_ID]],Registre[ID_Antenne],Registre[Province_RDC],"Non Trouvée")</f>
        <v>Non Trouvée</v>
      </c>
      <c r="G820" t="str">
        <f>_xlfn.XLOOKUP(Logs_Reseau6[[#This Row],[Province]],Clients_Churn[Province_Client],Clients_Churn[ID_Client],"Aucun")</f>
        <v>Aucun</v>
      </c>
      <c r="H820" t="str">
        <f>_xlfn.XLOOKUP(Logs_Reseau6[[#This Row],[Cell_ID]],Registre[ID_Antenne],Registre[Technologie],"Rien à signaler")</f>
        <v>Rien à signaler</v>
      </c>
      <c r="I820" t="str">
        <f>_xlfn.XLOOKUP(Logs_Reseau6[[#This Row],[Cell_ID]],Registre[ID_Antenne],Registre[Equipementier],"Non Trouvée")</f>
        <v>Non Trouvée</v>
      </c>
      <c r="J820" t="str">
        <f>_xlfn.XLOOKUP(Logs_Reseau6[[#This Row],[Id_Client]],Clients_Churn[ID_Client],Clients_Churn[Type_Forfait],"Pas d'information")</f>
        <v>Pas d'information</v>
      </c>
      <c r="K820" s="5" t="str">
        <f>IF(Logs_Reseau6[[#This Row],[Type_Forfait]]="Pro Monde","B2B","B2C")</f>
        <v>B2C</v>
      </c>
      <c r="L820" s="5" t="str">
        <f>_xlfn.XLOOKUP(Logs_Reseau6[[#This Row],[Id_Client]],Clients_Churn[ID_Client],Clients_Churn[Duree_Cumulee_Panne_Min],"Non Trouvée")</f>
        <v>Non Trouvée</v>
      </c>
      <c r="M820" s="5" t="str">
        <f>_xlfn.XLOOKUP(Logs_Reseau6[[#This Row],[Id_Client]],Clients_Churn[ID_Client],Clients_Churn[Anciennete_Mois],"Rien à signaler")</f>
        <v>Rien à signaler</v>
      </c>
      <c r="N820" s="5" t="e">
        <f>Logs_Reseau6[[#This Row],[Anciennette]]/24</f>
        <v>#VALUE!</v>
      </c>
      <c r="O820" s="5" t="e">
        <f>Logs_Reseau6[[#This Row],[Duree_Cumulée_Panne]]/1440</f>
        <v>#VALUE!</v>
      </c>
      <c r="P82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21" spans="1:16" hidden="1" x14ac:dyDescent="0.25">
      <c r="A821" s="2">
        <v>45218</v>
      </c>
      <c r="B821" s="1">
        <v>0.90694444444444444</v>
      </c>
      <c r="C821" t="s">
        <v>1410</v>
      </c>
      <c r="D821">
        <v>8</v>
      </c>
      <c r="E821" t="s">
        <v>1305</v>
      </c>
      <c r="F821" t="str">
        <f>_xlfn.XLOOKUP(Logs_Reseau6[[#This Row],[Cell_ID]],Registre[ID_Antenne],Registre[Province_RDC],"Non Trouvée")</f>
        <v>Non Trouvée</v>
      </c>
      <c r="G821" t="str">
        <f>_xlfn.XLOOKUP(Logs_Reseau6[[#This Row],[Province]],Clients_Churn[Province_Client],Clients_Churn[ID_Client],"Aucun")</f>
        <v>Aucun</v>
      </c>
      <c r="H821" t="str">
        <f>_xlfn.XLOOKUP(Logs_Reseau6[[#This Row],[Cell_ID]],Registre[ID_Antenne],Registre[Technologie],"Rien à signaler")</f>
        <v>Rien à signaler</v>
      </c>
      <c r="I821" t="str">
        <f>_xlfn.XLOOKUP(Logs_Reseau6[[#This Row],[Cell_ID]],Registre[ID_Antenne],Registre[Equipementier],"Non Trouvée")</f>
        <v>Non Trouvée</v>
      </c>
      <c r="J821" t="str">
        <f>_xlfn.XLOOKUP(Logs_Reseau6[[#This Row],[Id_Client]],Clients_Churn[ID_Client],Clients_Churn[Type_Forfait],"Pas d'information")</f>
        <v>Pas d'information</v>
      </c>
      <c r="K821" s="5" t="str">
        <f>IF(Logs_Reseau6[[#This Row],[Type_Forfait]]="Pro Monde","B2B","B2C")</f>
        <v>B2C</v>
      </c>
      <c r="L821" s="5" t="str">
        <f>_xlfn.XLOOKUP(Logs_Reseau6[[#This Row],[Id_Client]],Clients_Churn[ID_Client],Clients_Churn[Duree_Cumulee_Panne_Min],"Non Trouvée")</f>
        <v>Non Trouvée</v>
      </c>
      <c r="M821" s="5" t="str">
        <f>_xlfn.XLOOKUP(Logs_Reseau6[[#This Row],[Id_Client]],Clients_Churn[ID_Client],Clients_Churn[Anciennete_Mois],"Rien à signaler")</f>
        <v>Rien à signaler</v>
      </c>
      <c r="N821" s="5" t="e">
        <f>Logs_Reseau6[[#This Row],[Anciennette]]/24</f>
        <v>#VALUE!</v>
      </c>
      <c r="O821" s="5" t="e">
        <f>Logs_Reseau6[[#This Row],[Duree_Cumulée_Panne]]/1440</f>
        <v>#VALUE!</v>
      </c>
      <c r="P82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22" spans="1:16" hidden="1" x14ac:dyDescent="0.25">
      <c r="A822" s="2">
        <v>45223</v>
      </c>
      <c r="B822" s="1">
        <v>0.10208333333333333</v>
      </c>
      <c r="C822" t="s">
        <v>1410</v>
      </c>
      <c r="D822">
        <v>104</v>
      </c>
      <c r="E822" t="s">
        <v>1303</v>
      </c>
      <c r="F822" t="str">
        <f>_xlfn.XLOOKUP(Logs_Reseau6[[#This Row],[Cell_ID]],Registre[ID_Antenne],Registre[Province_RDC],"Non Trouvée")</f>
        <v>Non Trouvée</v>
      </c>
      <c r="G822" t="str">
        <f>_xlfn.XLOOKUP(Logs_Reseau6[[#This Row],[Province]],Clients_Churn[Province_Client],Clients_Churn[ID_Client],"Aucun")</f>
        <v>Aucun</v>
      </c>
      <c r="H822" t="str">
        <f>_xlfn.XLOOKUP(Logs_Reseau6[[#This Row],[Cell_ID]],Registre[ID_Antenne],Registre[Technologie],"Rien à signaler")</f>
        <v>Rien à signaler</v>
      </c>
      <c r="I822" t="str">
        <f>_xlfn.XLOOKUP(Logs_Reseau6[[#This Row],[Cell_ID]],Registre[ID_Antenne],Registre[Equipementier],"Non Trouvée")</f>
        <v>Non Trouvée</v>
      </c>
      <c r="J822" t="str">
        <f>_xlfn.XLOOKUP(Logs_Reseau6[[#This Row],[Id_Client]],Clients_Churn[ID_Client],Clients_Churn[Type_Forfait],"Pas d'information")</f>
        <v>Pas d'information</v>
      </c>
      <c r="K822" s="5" t="str">
        <f>IF(Logs_Reseau6[[#This Row],[Type_Forfait]]="Pro Monde","B2B","B2C")</f>
        <v>B2C</v>
      </c>
      <c r="L822" s="5" t="str">
        <f>_xlfn.XLOOKUP(Logs_Reseau6[[#This Row],[Id_Client]],Clients_Churn[ID_Client],Clients_Churn[Duree_Cumulee_Panne_Min],"Non Trouvée")</f>
        <v>Non Trouvée</v>
      </c>
      <c r="M822" s="5" t="str">
        <f>_xlfn.XLOOKUP(Logs_Reseau6[[#This Row],[Id_Client]],Clients_Churn[ID_Client],Clients_Churn[Anciennete_Mois],"Rien à signaler")</f>
        <v>Rien à signaler</v>
      </c>
      <c r="N822" s="5" t="e">
        <f>Logs_Reseau6[[#This Row],[Anciennette]]/24</f>
        <v>#VALUE!</v>
      </c>
      <c r="O822" s="5" t="e">
        <f>Logs_Reseau6[[#This Row],[Duree_Cumulée_Panne]]/1440</f>
        <v>#VALUE!</v>
      </c>
      <c r="P82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23" spans="1:16" x14ac:dyDescent="0.25">
      <c r="A823" s="2">
        <v>45210</v>
      </c>
      <c r="B823" s="1">
        <v>0.16805555555555557</v>
      </c>
      <c r="C823" t="s">
        <v>1085</v>
      </c>
      <c r="D823">
        <v>110</v>
      </c>
      <c r="E823" t="s">
        <v>1300</v>
      </c>
      <c r="F823" t="str">
        <f>_xlfn.XLOOKUP(Logs_Reseau6[[#This Row],[Cell_ID]],Registre[ID_Antenne],Registre[Province_RDC],"Non Trouvée")</f>
        <v>Tanganyika</v>
      </c>
      <c r="G823" t="str">
        <f>_xlfn.XLOOKUP(Logs_Reseau6[[#This Row],[Province]],Clients_Churn[Province_Client],Clients_Churn[ID_Client],"Aucun")</f>
        <v>CLI-00007</v>
      </c>
      <c r="H823" t="str">
        <f>_xlfn.XLOOKUP(Logs_Reseau6[[#This Row],[Cell_ID]],Registre[ID_Antenne],Registre[Technologie],"Rien à signaler")</f>
        <v>4G</v>
      </c>
      <c r="I823" t="str">
        <f>_xlfn.XLOOKUP(Logs_Reseau6[[#This Row],[Cell_ID]],Registre[ID_Antenne],Registre[Equipementier],"Non Trouvée")</f>
        <v>Huawei</v>
      </c>
      <c r="J823" t="str">
        <f>_xlfn.XLOOKUP(Logs_Reseau6[[#This Row],[Id_Client]],Clients_Churn[ID_Client],Clients_Churn[Type_Forfait],"Pas d'information")</f>
        <v>Bloqué 5Go</v>
      </c>
      <c r="K823" s="5" t="str">
        <f>IF(Logs_Reseau6[[#This Row],[Type_Forfait]]="Pro Monde","B2B","B2C")</f>
        <v>B2C</v>
      </c>
      <c r="L823" s="5">
        <f>_xlfn.XLOOKUP(Logs_Reseau6[[#This Row],[Id_Client]],Clients_Churn[ID_Client],Clients_Churn[Duree_Cumulee_Panne_Min],"Non Trouvée")</f>
        <v>112</v>
      </c>
      <c r="M823" s="5">
        <f>_xlfn.XLOOKUP(Logs_Reseau6[[#This Row],[Id_Client]],Clients_Churn[ID_Client],Clients_Churn[Anciennete_Mois],"Rien à signaler")</f>
        <v>110</v>
      </c>
      <c r="N823" s="11">
        <f>Logs_Reseau6[[#This Row],[Anciennette]]/24</f>
        <v>4.583333333333333</v>
      </c>
      <c r="O823" s="1">
        <f>Logs_Reseau6[[#This Row],[Duree_Cumulée_Panne]]/1440</f>
        <v>7.7777777777777779E-2</v>
      </c>
      <c r="P82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24" spans="1:16" x14ac:dyDescent="0.25">
      <c r="A824" s="2">
        <v>45209</v>
      </c>
      <c r="B824" s="1">
        <v>0.52430555555555558</v>
      </c>
      <c r="C824" t="s">
        <v>1289</v>
      </c>
      <c r="D824">
        <v>27</v>
      </c>
      <c r="E824" t="s">
        <v>1305</v>
      </c>
      <c r="F824" t="str">
        <f>_xlfn.XLOOKUP(Logs_Reseau6[[#This Row],[Cell_ID]],Registre[ID_Antenne],Registre[Province_RDC],"Non Trouvée")</f>
        <v>Kwilu</v>
      </c>
      <c r="G824" t="str">
        <f>_xlfn.XLOOKUP(Logs_Reseau6[[#This Row],[Province]],Clients_Churn[Province_Client],Clients_Churn[ID_Client],"Aucun")</f>
        <v>CLI-00009</v>
      </c>
      <c r="H824" t="str">
        <f>_xlfn.XLOOKUP(Logs_Reseau6[[#This Row],[Cell_ID]],Registre[ID_Antenne],Registre[Technologie],"Rien à signaler")</f>
        <v>4G</v>
      </c>
      <c r="I824" t="str">
        <f>_xlfn.XLOOKUP(Logs_Reseau6[[#This Row],[Cell_ID]],Registre[ID_Antenne],Registre[Equipementier],"Non Trouvée")</f>
        <v>Ericsson</v>
      </c>
      <c r="J824" t="str">
        <f>_xlfn.XLOOKUP(Logs_Reseau6[[#This Row],[Id_Client]],Clients_Churn[ID_Client],Clients_Churn[Type_Forfait],"Pas d'information")</f>
        <v>Pro Monde</v>
      </c>
      <c r="K824" s="5" t="str">
        <f>IF(Logs_Reseau6[[#This Row],[Type_Forfait]]="Pro Monde","B2B","B2C")</f>
        <v>B2B</v>
      </c>
      <c r="L824" s="5">
        <f>_xlfn.XLOOKUP(Logs_Reseau6[[#This Row],[Id_Client]],Clients_Churn[ID_Client],Clients_Churn[Duree_Cumulee_Panne_Min],"Non Trouvée")</f>
        <v>297</v>
      </c>
      <c r="M824" s="5">
        <f>_xlfn.XLOOKUP(Logs_Reseau6[[#This Row],[Id_Client]],Clients_Churn[ID_Client],Clients_Churn[Anciennete_Mois],"Rien à signaler")</f>
        <v>105</v>
      </c>
      <c r="N824" s="11">
        <f>Logs_Reseau6[[#This Row],[Anciennette]]/24</f>
        <v>4.375</v>
      </c>
      <c r="O824" s="1">
        <f>Logs_Reseau6[[#This Row],[Duree_Cumulée_Panne]]/1440</f>
        <v>0.20624999999999999</v>
      </c>
      <c r="P82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25" spans="1:16" x14ac:dyDescent="0.25">
      <c r="A825" s="2">
        <v>45212</v>
      </c>
      <c r="B825" s="1">
        <v>0.75486111111111109</v>
      </c>
      <c r="C825" t="s">
        <v>1289</v>
      </c>
      <c r="D825">
        <v>112</v>
      </c>
      <c r="E825" t="s">
        <v>1305</v>
      </c>
      <c r="F825" t="str">
        <f>_xlfn.XLOOKUP(Logs_Reseau6[[#This Row],[Cell_ID]],Registre[ID_Antenne],Registre[Province_RDC],"Non Trouvée")</f>
        <v>Kwilu</v>
      </c>
      <c r="G825" t="str">
        <f>_xlfn.XLOOKUP(Logs_Reseau6[[#This Row],[Province]],Clients_Churn[Province_Client],Clients_Churn[ID_Client],"Aucun")</f>
        <v>CLI-00009</v>
      </c>
      <c r="H825" t="str">
        <f>_xlfn.XLOOKUP(Logs_Reseau6[[#This Row],[Cell_ID]],Registre[ID_Antenne],Registre[Technologie],"Rien à signaler")</f>
        <v>4G</v>
      </c>
      <c r="I825" t="str">
        <f>_xlfn.XLOOKUP(Logs_Reseau6[[#This Row],[Cell_ID]],Registre[ID_Antenne],Registre[Equipementier],"Non Trouvée")</f>
        <v>Ericsson</v>
      </c>
      <c r="J825" t="str">
        <f>_xlfn.XLOOKUP(Logs_Reseau6[[#This Row],[Id_Client]],Clients_Churn[ID_Client],Clients_Churn[Type_Forfait],"Pas d'information")</f>
        <v>Pro Monde</v>
      </c>
      <c r="K825" s="5" t="str">
        <f>IF(Logs_Reseau6[[#This Row],[Type_Forfait]]="Pro Monde","B2B","B2C")</f>
        <v>B2B</v>
      </c>
      <c r="L825" s="5">
        <f>_xlfn.XLOOKUP(Logs_Reseau6[[#This Row],[Id_Client]],Clients_Churn[ID_Client],Clients_Churn[Duree_Cumulee_Panne_Min],"Non Trouvée")</f>
        <v>297</v>
      </c>
      <c r="M825" s="5">
        <f>_xlfn.XLOOKUP(Logs_Reseau6[[#This Row],[Id_Client]],Clients_Churn[ID_Client],Clients_Churn[Anciennete_Mois],"Rien à signaler")</f>
        <v>105</v>
      </c>
      <c r="N825" s="11">
        <f>Logs_Reseau6[[#This Row],[Anciennette]]/24</f>
        <v>4.375</v>
      </c>
      <c r="O825" s="1">
        <f>Logs_Reseau6[[#This Row],[Duree_Cumulée_Panne]]/1440</f>
        <v>0.20624999999999999</v>
      </c>
      <c r="P82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26" spans="1:16" x14ac:dyDescent="0.25">
      <c r="A826" s="2">
        <v>45221</v>
      </c>
      <c r="B826" s="1">
        <v>0.1673611111111111</v>
      </c>
      <c r="C826" t="s">
        <v>1289</v>
      </c>
      <c r="D826">
        <v>78</v>
      </c>
      <c r="E826" t="s">
        <v>1303</v>
      </c>
      <c r="F826" t="str">
        <f>_xlfn.XLOOKUP(Logs_Reseau6[[#This Row],[Cell_ID]],Registre[ID_Antenne],Registre[Province_RDC],"Non Trouvée")</f>
        <v>Kwilu</v>
      </c>
      <c r="G826" t="str">
        <f>_xlfn.XLOOKUP(Logs_Reseau6[[#This Row],[Province]],Clients_Churn[Province_Client],Clients_Churn[ID_Client],"Aucun")</f>
        <v>CLI-00009</v>
      </c>
      <c r="H826" t="str">
        <f>_xlfn.XLOOKUP(Logs_Reseau6[[#This Row],[Cell_ID]],Registre[ID_Antenne],Registre[Technologie],"Rien à signaler")</f>
        <v>4G</v>
      </c>
      <c r="I826" t="str">
        <f>_xlfn.XLOOKUP(Logs_Reseau6[[#This Row],[Cell_ID]],Registre[ID_Antenne],Registre[Equipementier],"Non Trouvée")</f>
        <v>Ericsson</v>
      </c>
      <c r="J826" t="str">
        <f>_xlfn.XLOOKUP(Logs_Reseau6[[#This Row],[Id_Client]],Clients_Churn[ID_Client],Clients_Churn[Type_Forfait],"Pas d'information")</f>
        <v>Pro Monde</v>
      </c>
      <c r="K826" s="5" t="str">
        <f>IF(Logs_Reseau6[[#This Row],[Type_Forfait]]="Pro Monde","B2B","B2C")</f>
        <v>B2B</v>
      </c>
      <c r="L826" s="5">
        <f>_xlfn.XLOOKUP(Logs_Reseau6[[#This Row],[Id_Client]],Clients_Churn[ID_Client],Clients_Churn[Duree_Cumulee_Panne_Min],"Non Trouvée")</f>
        <v>297</v>
      </c>
      <c r="M826" s="5">
        <f>_xlfn.XLOOKUP(Logs_Reseau6[[#This Row],[Id_Client]],Clients_Churn[ID_Client],Clients_Churn[Anciennete_Mois],"Rien à signaler")</f>
        <v>105</v>
      </c>
      <c r="N826" s="11">
        <f>Logs_Reseau6[[#This Row],[Anciennette]]/24</f>
        <v>4.375</v>
      </c>
      <c r="O826" s="1">
        <f>Logs_Reseau6[[#This Row],[Duree_Cumulée_Panne]]/1440</f>
        <v>0.20624999999999999</v>
      </c>
      <c r="P82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27" spans="1:16" hidden="1" x14ac:dyDescent="0.25">
      <c r="A827" s="2">
        <v>45230</v>
      </c>
      <c r="B827" s="1">
        <v>0.76736111111111116</v>
      </c>
      <c r="C827" t="s">
        <v>1579</v>
      </c>
      <c r="D827">
        <v>16</v>
      </c>
      <c r="E827" t="s">
        <v>1305</v>
      </c>
      <c r="F827" t="str">
        <f>_xlfn.XLOOKUP(Logs_Reseau6[[#This Row],[Cell_ID]],Registre[ID_Antenne],Registre[Province_RDC],"Non Trouvée")</f>
        <v>Non Trouvée</v>
      </c>
      <c r="G827" t="str">
        <f>_xlfn.XLOOKUP(Logs_Reseau6[[#This Row],[Province]],Clients_Churn[Province_Client],Clients_Churn[ID_Client],"Aucun")</f>
        <v>Aucun</v>
      </c>
      <c r="H827" t="str">
        <f>_xlfn.XLOOKUP(Logs_Reseau6[[#This Row],[Cell_ID]],Registre[ID_Antenne],Registre[Technologie],"Rien à signaler")</f>
        <v>Rien à signaler</v>
      </c>
      <c r="I827" t="str">
        <f>_xlfn.XLOOKUP(Logs_Reseau6[[#This Row],[Cell_ID]],Registre[ID_Antenne],Registre[Equipementier],"Non Trouvée")</f>
        <v>Non Trouvée</v>
      </c>
      <c r="J827" t="str">
        <f>_xlfn.XLOOKUP(Logs_Reseau6[[#This Row],[Id_Client]],Clients_Churn[ID_Client],Clients_Churn[Type_Forfait],"Pas d'information")</f>
        <v>Pas d'information</v>
      </c>
      <c r="K827" s="5" t="str">
        <f>IF(Logs_Reseau6[[#This Row],[Type_Forfait]]="Pro Monde","B2B","B2C")</f>
        <v>B2C</v>
      </c>
      <c r="L827" s="5" t="str">
        <f>_xlfn.XLOOKUP(Logs_Reseau6[[#This Row],[Id_Client]],Clients_Churn[ID_Client],Clients_Churn[Duree_Cumulee_Panne_Min],"Non Trouvée")</f>
        <v>Non Trouvée</v>
      </c>
      <c r="M827" s="5" t="str">
        <f>_xlfn.XLOOKUP(Logs_Reseau6[[#This Row],[Id_Client]],Clients_Churn[ID_Client],Clients_Churn[Anciennete_Mois],"Rien à signaler")</f>
        <v>Rien à signaler</v>
      </c>
      <c r="N827" s="5" t="e">
        <f>Logs_Reseau6[[#This Row],[Anciennette]]/24</f>
        <v>#VALUE!</v>
      </c>
      <c r="O827" s="5" t="e">
        <f>Logs_Reseau6[[#This Row],[Duree_Cumulée_Panne]]/1440</f>
        <v>#VALUE!</v>
      </c>
      <c r="P82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28" spans="1:16" hidden="1" x14ac:dyDescent="0.25">
      <c r="A828" s="2">
        <v>45211</v>
      </c>
      <c r="B828" s="1">
        <v>0.99305555555555558</v>
      </c>
      <c r="C828" t="s">
        <v>1349</v>
      </c>
      <c r="D828">
        <v>29</v>
      </c>
      <c r="E828" t="s">
        <v>1303</v>
      </c>
      <c r="F828" t="str">
        <f>_xlfn.XLOOKUP(Logs_Reseau6[[#This Row],[Cell_ID]],Registre[ID_Antenne],Registre[Province_RDC],"Non Trouvée")</f>
        <v>Non Trouvée</v>
      </c>
      <c r="G828" t="str">
        <f>_xlfn.XLOOKUP(Logs_Reseau6[[#This Row],[Province]],Clients_Churn[Province_Client],Clients_Churn[ID_Client],"Aucun")</f>
        <v>Aucun</v>
      </c>
      <c r="H828" t="str">
        <f>_xlfn.XLOOKUP(Logs_Reseau6[[#This Row],[Cell_ID]],Registre[ID_Antenne],Registre[Technologie],"Rien à signaler")</f>
        <v>Rien à signaler</v>
      </c>
      <c r="I828" t="str">
        <f>_xlfn.XLOOKUP(Logs_Reseau6[[#This Row],[Cell_ID]],Registre[ID_Antenne],Registre[Equipementier],"Non Trouvée")</f>
        <v>Non Trouvée</v>
      </c>
      <c r="J828" t="str">
        <f>_xlfn.XLOOKUP(Logs_Reseau6[[#This Row],[Id_Client]],Clients_Churn[ID_Client],Clients_Churn[Type_Forfait],"Pas d'information")</f>
        <v>Pas d'information</v>
      </c>
      <c r="K828" s="5" t="str">
        <f>IF(Logs_Reseau6[[#This Row],[Type_Forfait]]="Pro Monde","B2B","B2C")</f>
        <v>B2C</v>
      </c>
      <c r="L828" s="5" t="str">
        <f>_xlfn.XLOOKUP(Logs_Reseau6[[#This Row],[Id_Client]],Clients_Churn[ID_Client],Clients_Churn[Duree_Cumulee_Panne_Min],"Non Trouvée")</f>
        <v>Non Trouvée</v>
      </c>
      <c r="M828" s="5" t="str">
        <f>_xlfn.XLOOKUP(Logs_Reseau6[[#This Row],[Id_Client]],Clients_Churn[ID_Client],Clients_Churn[Anciennete_Mois],"Rien à signaler")</f>
        <v>Rien à signaler</v>
      </c>
      <c r="N828" s="5" t="e">
        <f>Logs_Reseau6[[#This Row],[Anciennette]]/24</f>
        <v>#VALUE!</v>
      </c>
      <c r="O828" s="5" t="e">
        <f>Logs_Reseau6[[#This Row],[Duree_Cumulée_Panne]]/1440</f>
        <v>#VALUE!</v>
      </c>
      <c r="P82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29" spans="1:16" x14ac:dyDescent="0.25">
      <c r="A829" s="2">
        <v>45200</v>
      </c>
      <c r="B829" s="1">
        <v>0.98541666666666672</v>
      </c>
      <c r="C829" t="s">
        <v>1127</v>
      </c>
      <c r="D829">
        <v>29</v>
      </c>
      <c r="E829" t="s">
        <v>1305</v>
      </c>
      <c r="F829" t="str">
        <f>_xlfn.XLOOKUP(Logs_Reseau6[[#This Row],[Cell_ID]],Registre[ID_Antenne],Registre[Province_RDC],"Non Trouvée")</f>
        <v>Bas-Uele</v>
      </c>
      <c r="G829" t="str">
        <f>_xlfn.XLOOKUP(Logs_Reseau6[[#This Row],[Province]],Clients_Churn[Province_Client],Clients_Churn[ID_Client],"Aucun")</f>
        <v>CLI-00029</v>
      </c>
      <c r="H829" t="str">
        <f>_xlfn.XLOOKUP(Logs_Reseau6[[#This Row],[Cell_ID]],Registre[ID_Antenne],Registre[Technologie],"Rien à signaler")</f>
        <v>3G</v>
      </c>
      <c r="I829" t="str">
        <f>_xlfn.XLOOKUP(Logs_Reseau6[[#This Row],[Cell_ID]],Registre[ID_Antenne],Registre[Equipementier],"Non Trouvée")</f>
        <v>Huawei</v>
      </c>
      <c r="J829" t="str">
        <f>_xlfn.XLOOKUP(Logs_Reseau6[[#This Row],[Id_Client]],Clients_Churn[ID_Client],Clients_Churn[Type_Forfait],"Pas d'information")</f>
        <v>Pro Monde</v>
      </c>
      <c r="K829" s="5" t="str">
        <f>IF(Logs_Reseau6[[#This Row],[Type_Forfait]]="Pro Monde","B2B","B2C")</f>
        <v>B2B</v>
      </c>
      <c r="L829" s="5">
        <f>_xlfn.XLOOKUP(Logs_Reseau6[[#This Row],[Id_Client]],Clients_Churn[ID_Client],Clients_Churn[Duree_Cumulee_Panne_Min],"Non Trouvée")</f>
        <v>344</v>
      </c>
      <c r="M829" s="5">
        <f>_xlfn.XLOOKUP(Logs_Reseau6[[#This Row],[Id_Client]],Clients_Churn[ID_Client],Clients_Churn[Anciennete_Mois],"Rien à signaler")</f>
        <v>119</v>
      </c>
      <c r="N829" s="11">
        <f>Logs_Reseau6[[#This Row],[Anciennette]]/24</f>
        <v>4.958333333333333</v>
      </c>
      <c r="O829" s="1">
        <f>Logs_Reseau6[[#This Row],[Duree_Cumulée_Panne]]/1440</f>
        <v>0.2388888888888889</v>
      </c>
      <c r="P82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30" spans="1:16" x14ac:dyDescent="0.25">
      <c r="A830" s="2">
        <v>45201</v>
      </c>
      <c r="B830" s="1">
        <v>0.92222222222222228</v>
      </c>
      <c r="C830" t="s">
        <v>1127</v>
      </c>
      <c r="D830">
        <v>32</v>
      </c>
      <c r="E830" t="s">
        <v>1300</v>
      </c>
      <c r="F830" t="str">
        <f>_xlfn.XLOOKUP(Logs_Reseau6[[#This Row],[Cell_ID]],Registre[ID_Antenne],Registre[Province_RDC],"Non Trouvée")</f>
        <v>Bas-Uele</v>
      </c>
      <c r="G830" t="str">
        <f>_xlfn.XLOOKUP(Logs_Reseau6[[#This Row],[Province]],Clients_Churn[Province_Client],Clients_Churn[ID_Client],"Aucun")</f>
        <v>CLI-00029</v>
      </c>
      <c r="H830" t="str">
        <f>_xlfn.XLOOKUP(Logs_Reseau6[[#This Row],[Cell_ID]],Registre[ID_Antenne],Registre[Technologie],"Rien à signaler")</f>
        <v>3G</v>
      </c>
      <c r="I830" t="str">
        <f>_xlfn.XLOOKUP(Logs_Reseau6[[#This Row],[Cell_ID]],Registre[ID_Antenne],Registre[Equipementier],"Non Trouvée")</f>
        <v>Huawei</v>
      </c>
      <c r="J830" t="str">
        <f>_xlfn.XLOOKUP(Logs_Reseau6[[#This Row],[Id_Client]],Clients_Churn[ID_Client],Clients_Churn[Type_Forfait],"Pas d'information")</f>
        <v>Pro Monde</v>
      </c>
      <c r="K830" s="5" t="str">
        <f>IF(Logs_Reseau6[[#This Row],[Type_Forfait]]="Pro Monde","B2B","B2C")</f>
        <v>B2B</v>
      </c>
      <c r="L830" s="5">
        <f>_xlfn.XLOOKUP(Logs_Reseau6[[#This Row],[Id_Client]],Clients_Churn[ID_Client],Clients_Churn[Duree_Cumulee_Panne_Min],"Non Trouvée")</f>
        <v>344</v>
      </c>
      <c r="M830" s="5">
        <f>_xlfn.XLOOKUP(Logs_Reseau6[[#This Row],[Id_Client]],Clients_Churn[ID_Client],Clients_Churn[Anciennete_Mois],"Rien à signaler")</f>
        <v>119</v>
      </c>
      <c r="N830" s="11">
        <f>Logs_Reseau6[[#This Row],[Anciennette]]/24</f>
        <v>4.958333333333333</v>
      </c>
      <c r="O830" s="1">
        <f>Logs_Reseau6[[#This Row],[Duree_Cumulée_Panne]]/1440</f>
        <v>0.2388888888888889</v>
      </c>
      <c r="P83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31" spans="1:16" x14ac:dyDescent="0.25">
      <c r="A831" s="2">
        <v>45205</v>
      </c>
      <c r="B831" s="3">
        <v>1.8055555555555554E-2</v>
      </c>
      <c r="C831" t="s">
        <v>1127</v>
      </c>
      <c r="D831">
        <v>67</v>
      </c>
      <c r="E831" t="s">
        <v>1305</v>
      </c>
      <c r="F831" t="str">
        <f>_xlfn.XLOOKUP(Logs_Reseau6[[#This Row],[Cell_ID]],Registre[ID_Antenne],Registre[Province_RDC],"Non Trouvée")</f>
        <v>Bas-Uele</v>
      </c>
      <c r="G831" t="str">
        <f>_xlfn.XLOOKUP(Logs_Reseau6[[#This Row],[Province]],Clients_Churn[Province_Client],Clients_Churn[ID_Client],"Aucun")</f>
        <v>CLI-00029</v>
      </c>
      <c r="H831" t="str">
        <f>_xlfn.XLOOKUP(Logs_Reseau6[[#This Row],[Cell_ID]],Registre[ID_Antenne],Registre[Technologie],"Rien à signaler")</f>
        <v>3G</v>
      </c>
      <c r="I831" t="str">
        <f>_xlfn.XLOOKUP(Logs_Reseau6[[#This Row],[Cell_ID]],Registre[ID_Antenne],Registre[Equipementier],"Non Trouvée")</f>
        <v>Huawei</v>
      </c>
      <c r="J831" t="str">
        <f>_xlfn.XLOOKUP(Logs_Reseau6[[#This Row],[Id_Client]],Clients_Churn[ID_Client],Clients_Churn[Type_Forfait],"Pas d'information")</f>
        <v>Pro Monde</v>
      </c>
      <c r="K831" s="5" t="str">
        <f>IF(Logs_Reseau6[[#This Row],[Type_Forfait]]="Pro Monde","B2B","B2C")</f>
        <v>B2B</v>
      </c>
      <c r="L831" s="5">
        <f>_xlfn.XLOOKUP(Logs_Reseau6[[#This Row],[Id_Client]],Clients_Churn[ID_Client],Clients_Churn[Duree_Cumulee_Panne_Min],"Non Trouvée")</f>
        <v>344</v>
      </c>
      <c r="M831" s="5">
        <f>_xlfn.XLOOKUP(Logs_Reseau6[[#This Row],[Id_Client]],Clients_Churn[ID_Client],Clients_Churn[Anciennete_Mois],"Rien à signaler")</f>
        <v>119</v>
      </c>
      <c r="N831" s="11">
        <f>Logs_Reseau6[[#This Row],[Anciennette]]/24</f>
        <v>4.958333333333333</v>
      </c>
      <c r="O831" s="1">
        <f>Logs_Reseau6[[#This Row],[Duree_Cumulée_Panne]]/1440</f>
        <v>0.2388888888888889</v>
      </c>
      <c r="P83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32" spans="1:16" x14ac:dyDescent="0.25">
      <c r="A832" s="2">
        <v>45209</v>
      </c>
      <c r="B832" s="1">
        <v>0.92152777777777772</v>
      </c>
      <c r="C832" t="s">
        <v>1127</v>
      </c>
      <c r="D832">
        <v>119</v>
      </c>
      <c r="E832" t="s">
        <v>1300</v>
      </c>
      <c r="F832" t="str">
        <f>_xlfn.XLOOKUP(Logs_Reseau6[[#This Row],[Cell_ID]],Registre[ID_Antenne],Registre[Province_RDC],"Non Trouvée")</f>
        <v>Bas-Uele</v>
      </c>
      <c r="G832" t="str">
        <f>_xlfn.XLOOKUP(Logs_Reseau6[[#This Row],[Province]],Clients_Churn[Province_Client],Clients_Churn[ID_Client],"Aucun")</f>
        <v>CLI-00029</v>
      </c>
      <c r="H832" t="str">
        <f>_xlfn.XLOOKUP(Logs_Reseau6[[#This Row],[Cell_ID]],Registre[ID_Antenne],Registre[Technologie],"Rien à signaler")</f>
        <v>3G</v>
      </c>
      <c r="I832" t="str">
        <f>_xlfn.XLOOKUP(Logs_Reseau6[[#This Row],[Cell_ID]],Registre[ID_Antenne],Registre[Equipementier],"Non Trouvée")</f>
        <v>Huawei</v>
      </c>
      <c r="J832" t="str">
        <f>_xlfn.XLOOKUP(Logs_Reseau6[[#This Row],[Id_Client]],Clients_Churn[ID_Client],Clients_Churn[Type_Forfait],"Pas d'information")</f>
        <v>Pro Monde</v>
      </c>
      <c r="K832" s="5" t="str">
        <f>IF(Logs_Reseau6[[#This Row],[Type_Forfait]]="Pro Monde","B2B","B2C")</f>
        <v>B2B</v>
      </c>
      <c r="L832" s="5">
        <f>_xlfn.XLOOKUP(Logs_Reseau6[[#This Row],[Id_Client]],Clients_Churn[ID_Client],Clients_Churn[Duree_Cumulee_Panne_Min],"Non Trouvée")</f>
        <v>344</v>
      </c>
      <c r="M832" s="5">
        <f>_xlfn.XLOOKUP(Logs_Reseau6[[#This Row],[Id_Client]],Clients_Churn[ID_Client],Clients_Churn[Anciennete_Mois],"Rien à signaler")</f>
        <v>119</v>
      </c>
      <c r="N832" s="11">
        <f>Logs_Reseau6[[#This Row],[Anciennette]]/24</f>
        <v>4.958333333333333</v>
      </c>
      <c r="O832" s="1">
        <f>Logs_Reseau6[[#This Row],[Duree_Cumulée_Panne]]/1440</f>
        <v>0.2388888888888889</v>
      </c>
      <c r="P83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33" spans="1:16" x14ac:dyDescent="0.25">
      <c r="A833" s="2">
        <v>45223</v>
      </c>
      <c r="B833" s="1">
        <v>0.43611111111111112</v>
      </c>
      <c r="C833" t="s">
        <v>1127</v>
      </c>
      <c r="D833">
        <v>26</v>
      </c>
      <c r="E833" t="s">
        <v>1300</v>
      </c>
      <c r="F833" t="str">
        <f>_xlfn.XLOOKUP(Logs_Reseau6[[#This Row],[Cell_ID]],Registre[ID_Antenne],Registre[Province_RDC],"Non Trouvée")</f>
        <v>Bas-Uele</v>
      </c>
      <c r="G833" t="str">
        <f>_xlfn.XLOOKUP(Logs_Reseau6[[#This Row],[Province]],Clients_Churn[Province_Client],Clients_Churn[ID_Client],"Aucun")</f>
        <v>CLI-00029</v>
      </c>
      <c r="H833" t="str">
        <f>_xlfn.XLOOKUP(Logs_Reseau6[[#This Row],[Cell_ID]],Registre[ID_Antenne],Registre[Technologie],"Rien à signaler")</f>
        <v>3G</v>
      </c>
      <c r="I833" t="str">
        <f>_xlfn.XLOOKUP(Logs_Reseau6[[#This Row],[Cell_ID]],Registre[ID_Antenne],Registre[Equipementier],"Non Trouvée")</f>
        <v>Huawei</v>
      </c>
      <c r="J833" t="str">
        <f>_xlfn.XLOOKUP(Logs_Reseau6[[#This Row],[Id_Client]],Clients_Churn[ID_Client],Clients_Churn[Type_Forfait],"Pas d'information")</f>
        <v>Pro Monde</v>
      </c>
      <c r="K833" s="5" t="str">
        <f>IF(Logs_Reseau6[[#This Row],[Type_Forfait]]="Pro Monde","B2B","B2C")</f>
        <v>B2B</v>
      </c>
      <c r="L833" s="5">
        <f>_xlfn.XLOOKUP(Logs_Reseau6[[#This Row],[Id_Client]],Clients_Churn[ID_Client],Clients_Churn[Duree_Cumulee_Panne_Min],"Non Trouvée")</f>
        <v>344</v>
      </c>
      <c r="M833" s="5">
        <f>_xlfn.XLOOKUP(Logs_Reseau6[[#This Row],[Id_Client]],Clients_Churn[ID_Client],Clients_Churn[Anciennete_Mois],"Rien à signaler")</f>
        <v>119</v>
      </c>
      <c r="N833" s="11">
        <f>Logs_Reseau6[[#This Row],[Anciennette]]/24</f>
        <v>4.958333333333333</v>
      </c>
      <c r="O833" s="1">
        <f>Logs_Reseau6[[#This Row],[Duree_Cumulée_Panne]]/1440</f>
        <v>0.2388888888888889</v>
      </c>
      <c r="P83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34" spans="1:16" hidden="1" x14ac:dyDescent="0.25">
      <c r="A834" s="2">
        <v>45220</v>
      </c>
      <c r="B834" s="1">
        <v>0.11736111111111111</v>
      </c>
      <c r="C834" t="s">
        <v>1366</v>
      </c>
      <c r="D834">
        <v>39</v>
      </c>
      <c r="E834" t="s">
        <v>1300</v>
      </c>
      <c r="F834" t="str">
        <f>_xlfn.XLOOKUP(Logs_Reseau6[[#This Row],[Cell_ID]],Registre[ID_Antenne],Registre[Province_RDC],"Non Trouvée")</f>
        <v>Non Trouvée</v>
      </c>
      <c r="G834" t="str">
        <f>_xlfn.XLOOKUP(Logs_Reseau6[[#This Row],[Province]],Clients_Churn[Province_Client],Clients_Churn[ID_Client],"Aucun")</f>
        <v>Aucun</v>
      </c>
      <c r="H834" t="str">
        <f>_xlfn.XLOOKUP(Logs_Reseau6[[#This Row],[Cell_ID]],Registre[ID_Antenne],Registre[Technologie],"Rien à signaler")</f>
        <v>Rien à signaler</v>
      </c>
      <c r="I834" t="str">
        <f>_xlfn.XLOOKUP(Logs_Reseau6[[#This Row],[Cell_ID]],Registre[ID_Antenne],Registre[Equipementier],"Non Trouvée")</f>
        <v>Non Trouvée</v>
      </c>
      <c r="J834" t="str">
        <f>_xlfn.XLOOKUP(Logs_Reseau6[[#This Row],[Id_Client]],Clients_Churn[ID_Client],Clients_Churn[Type_Forfait],"Pas d'information")</f>
        <v>Pas d'information</v>
      </c>
      <c r="K834" s="5" t="str">
        <f>IF(Logs_Reseau6[[#This Row],[Type_Forfait]]="Pro Monde","B2B","B2C")</f>
        <v>B2C</v>
      </c>
      <c r="L834" s="5" t="str">
        <f>_xlfn.XLOOKUP(Logs_Reseau6[[#This Row],[Id_Client]],Clients_Churn[ID_Client],Clients_Churn[Duree_Cumulee_Panne_Min],"Non Trouvée")</f>
        <v>Non Trouvée</v>
      </c>
      <c r="M834" s="5" t="str">
        <f>_xlfn.XLOOKUP(Logs_Reseau6[[#This Row],[Id_Client]],Clients_Churn[ID_Client],Clients_Churn[Anciennete_Mois],"Rien à signaler")</f>
        <v>Rien à signaler</v>
      </c>
      <c r="N834" s="5" t="e">
        <f>Logs_Reseau6[[#This Row],[Anciennette]]/24</f>
        <v>#VALUE!</v>
      </c>
      <c r="O834" s="5" t="e">
        <f>Logs_Reseau6[[#This Row],[Duree_Cumulée_Panne]]/1440</f>
        <v>#VALUE!</v>
      </c>
      <c r="P83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35" spans="1:16" hidden="1" x14ac:dyDescent="0.25">
      <c r="A835" s="2">
        <v>45209</v>
      </c>
      <c r="B835" s="1">
        <v>0.95486111111111116</v>
      </c>
      <c r="C835" t="s">
        <v>1386</v>
      </c>
      <c r="D835">
        <v>57</v>
      </c>
      <c r="E835" t="s">
        <v>1300</v>
      </c>
      <c r="F835" t="str">
        <f>_xlfn.XLOOKUP(Logs_Reseau6[[#This Row],[Cell_ID]],Registre[ID_Antenne],Registre[Province_RDC],"Non Trouvée")</f>
        <v>Non Trouvée</v>
      </c>
      <c r="G835" t="str">
        <f>_xlfn.XLOOKUP(Logs_Reseau6[[#This Row],[Province]],Clients_Churn[Province_Client],Clients_Churn[ID_Client],"Aucun")</f>
        <v>Aucun</v>
      </c>
      <c r="H835" t="str">
        <f>_xlfn.XLOOKUP(Logs_Reseau6[[#This Row],[Cell_ID]],Registre[ID_Antenne],Registre[Technologie],"Rien à signaler")</f>
        <v>Rien à signaler</v>
      </c>
      <c r="I835" t="str">
        <f>_xlfn.XLOOKUP(Logs_Reseau6[[#This Row],[Cell_ID]],Registre[ID_Antenne],Registre[Equipementier],"Non Trouvée")</f>
        <v>Non Trouvée</v>
      </c>
      <c r="J835" t="str">
        <f>_xlfn.XLOOKUP(Logs_Reseau6[[#This Row],[Id_Client]],Clients_Churn[ID_Client],Clients_Churn[Type_Forfait],"Pas d'information")</f>
        <v>Pas d'information</v>
      </c>
      <c r="K835" s="5" t="str">
        <f>IF(Logs_Reseau6[[#This Row],[Type_Forfait]]="Pro Monde","B2B","B2C")</f>
        <v>B2C</v>
      </c>
      <c r="L835" s="5" t="str">
        <f>_xlfn.XLOOKUP(Logs_Reseau6[[#This Row],[Id_Client]],Clients_Churn[ID_Client],Clients_Churn[Duree_Cumulee_Panne_Min],"Non Trouvée")</f>
        <v>Non Trouvée</v>
      </c>
      <c r="M835" s="5" t="str">
        <f>_xlfn.XLOOKUP(Logs_Reseau6[[#This Row],[Id_Client]],Clients_Churn[ID_Client],Clients_Churn[Anciennete_Mois],"Rien à signaler")</f>
        <v>Rien à signaler</v>
      </c>
      <c r="N835" s="5" t="e">
        <f>Logs_Reseau6[[#This Row],[Anciennette]]/24</f>
        <v>#VALUE!</v>
      </c>
      <c r="O835" s="5" t="e">
        <f>Logs_Reseau6[[#This Row],[Duree_Cumulée_Panne]]/1440</f>
        <v>#VALUE!</v>
      </c>
      <c r="P83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36" spans="1:16" hidden="1" x14ac:dyDescent="0.25">
      <c r="A836" s="2">
        <v>45218</v>
      </c>
      <c r="B836" s="1">
        <v>0.55833333333333335</v>
      </c>
      <c r="C836" t="s">
        <v>1386</v>
      </c>
      <c r="D836">
        <v>54</v>
      </c>
      <c r="E836" t="s">
        <v>1305</v>
      </c>
      <c r="F836" t="str">
        <f>_xlfn.XLOOKUP(Logs_Reseau6[[#This Row],[Cell_ID]],Registre[ID_Antenne],Registre[Province_RDC],"Non Trouvée")</f>
        <v>Non Trouvée</v>
      </c>
      <c r="G836" t="str">
        <f>_xlfn.XLOOKUP(Logs_Reseau6[[#This Row],[Province]],Clients_Churn[Province_Client],Clients_Churn[ID_Client],"Aucun")</f>
        <v>Aucun</v>
      </c>
      <c r="H836" t="str">
        <f>_xlfn.XLOOKUP(Logs_Reseau6[[#This Row],[Cell_ID]],Registre[ID_Antenne],Registre[Technologie],"Rien à signaler")</f>
        <v>Rien à signaler</v>
      </c>
      <c r="I836" t="str">
        <f>_xlfn.XLOOKUP(Logs_Reseau6[[#This Row],[Cell_ID]],Registre[ID_Antenne],Registre[Equipementier],"Non Trouvée")</f>
        <v>Non Trouvée</v>
      </c>
      <c r="J836" t="str">
        <f>_xlfn.XLOOKUP(Logs_Reseau6[[#This Row],[Id_Client]],Clients_Churn[ID_Client],Clients_Churn[Type_Forfait],"Pas d'information")</f>
        <v>Pas d'information</v>
      </c>
      <c r="K836" s="5" t="str">
        <f>IF(Logs_Reseau6[[#This Row],[Type_Forfait]]="Pro Monde","B2B","B2C")</f>
        <v>B2C</v>
      </c>
      <c r="L836" s="5" t="str">
        <f>_xlfn.XLOOKUP(Logs_Reseau6[[#This Row],[Id_Client]],Clients_Churn[ID_Client],Clients_Churn[Duree_Cumulee_Panne_Min],"Non Trouvée")</f>
        <v>Non Trouvée</v>
      </c>
      <c r="M836" s="5" t="str">
        <f>_xlfn.XLOOKUP(Logs_Reseau6[[#This Row],[Id_Client]],Clients_Churn[ID_Client],Clients_Churn[Anciennete_Mois],"Rien à signaler")</f>
        <v>Rien à signaler</v>
      </c>
      <c r="N836" s="5" t="e">
        <f>Logs_Reseau6[[#This Row],[Anciennette]]/24</f>
        <v>#VALUE!</v>
      </c>
      <c r="O836" s="5" t="e">
        <f>Logs_Reseau6[[#This Row],[Duree_Cumulée_Panne]]/1440</f>
        <v>#VALUE!</v>
      </c>
      <c r="P83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37" spans="1:16" hidden="1" x14ac:dyDescent="0.25">
      <c r="A837" s="2">
        <v>45220</v>
      </c>
      <c r="B837" s="1">
        <v>0.94027777777777777</v>
      </c>
      <c r="C837" t="s">
        <v>1309</v>
      </c>
      <c r="D837">
        <v>33</v>
      </c>
      <c r="E837" t="s">
        <v>1305</v>
      </c>
      <c r="F837" t="str">
        <f>_xlfn.XLOOKUP(Logs_Reseau6[[#This Row],[Cell_ID]],Registre[ID_Antenne],Registre[Province_RDC],"Non Trouvée")</f>
        <v>Non Trouvée</v>
      </c>
      <c r="G837" t="str">
        <f>_xlfn.XLOOKUP(Logs_Reseau6[[#This Row],[Province]],Clients_Churn[Province_Client],Clients_Churn[ID_Client],"Aucun")</f>
        <v>Aucun</v>
      </c>
      <c r="H837" t="str">
        <f>_xlfn.XLOOKUP(Logs_Reseau6[[#This Row],[Cell_ID]],Registre[ID_Antenne],Registre[Technologie],"Rien à signaler")</f>
        <v>Rien à signaler</v>
      </c>
      <c r="I837" t="str">
        <f>_xlfn.XLOOKUP(Logs_Reseau6[[#This Row],[Cell_ID]],Registre[ID_Antenne],Registre[Equipementier],"Non Trouvée")</f>
        <v>Non Trouvée</v>
      </c>
      <c r="J837" t="str">
        <f>_xlfn.XLOOKUP(Logs_Reseau6[[#This Row],[Id_Client]],Clients_Churn[ID_Client],Clients_Churn[Type_Forfait],"Pas d'information")</f>
        <v>Pas d'information</v>
      </c>
      <c r="K837" s="5" t="str">
        <f>IF(Logs_Reseau6[[#This Row],[Type_Forfait]]="Pro Monde","B2B","B2C")</f>
        <v>B2C</v>
      </c>
      <c r="L837" s="5" t="str">
        <f>_xlfn.XLOOKUP(Logs_Reseau6[[#This Row],[Id_Client]],Clients_Churn[ID_Client],Clients_Churn[Duree_Cumulee_Panne_Min],"Non Trouvée")</f>
        <v>Non Trouvée</v>
      </c>
      <c r="M837" s="5" t="str">
        <f>_xlfn.XLOOKUP(Logs_Reseau6[[#This Row],[Id_Client]],Clients_Churn[ID_Client],Clients_Churn[Anciennete_Mois],"Rien à signaler")</f>
        <v>Rien à signaler</v>
      </c>
      <c r="N837" s="5" t="e">
        <f>Logs_Reseau6[[#This Row],[Anciennette]]/24</f>
        <v>#VALUE!</v>
      </c>
      <c r="O837" s="5" t="e">
        <f>Logs_Reseau6[[#This Row],[Duree_Cumulée_Panne]]/1440</f>
        <v>#VALUE!</v>
      </c>
      <c r="P83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38" spans="1:16" hidden="1" x14ac:dyDescent="0.25">
      <c r="A838" s="2">
        <v>45227</v>
      </c>
      <c r="B838" s="1">
        <v>0.48333333333333334</v>
      </c>
      <c r="C838" t="s">
        <v>1309</v>
      </c>
      <c r="D838">
        <v>81</v>
      </c>
      <c r="E838" t="s">
        <v>1303</v>
      </c>
      <c r="F838" t="str">
        <f>_xlfn.XLOOKUP(Logs_Reseau6[[#This Row],[Cell_ID]],Registre[ID_Antenne],Registre[Province_RDC],"Non Trouvée")</f>
        <v>Non Trouvée</v>
      </c>
      <c r="G838" t="str">
        <f>_xlfn.XLOOKUP(Logs_Reseau6[[#This Row],[Province]],Clients_Churn[Province_Client],Clients_Churn[ID_Client],"Aucun")</f>
        <v>Aucun</v>
      </c>
      <c r="H838" t="str">
        <f>_xlfn.XLOOKUP(Logs_Reseau6[[#This Row],[Cell_ID]],Registre[ID_Antenne],Registre[Technologie],"Rien à signaler")</f>
        <v>Rien à signaler</v>
      </c>
      <c r="I838" t="str">
        <f>_xlfn.XLOOKUP(Logs_Reseau6[[#This Row],[Cell_ID]],Registre[ID_Antenne],Registre[Equipementier],"Non Trouvée")</f>
        <v>Non Trouvée</v>
      </c>
      <c r="J838" t="str">
        <f>_xlfn.XLOOKUP(Logs_Reseau6[[#This Row],[Id_Client]],Clients_Churn[ID_Client],Clients_Churn[Type_Forfait],"Pas d'information")</f>
        <v>Pas d'information</v>
      </c>
      <c r="K838" s="5" t="str">
        <f>IF(Logs_Reseau6[[#This Row],[Type_Forfait]]="Pro Monde","B2B","B2C")</f>
        <v>B2C</v>
      </c>
      <c r="L838" s="5" t="str">
        <f>_xlfn.XLOOKUP(Logs_Reseau6[[#This Row],[Id_Client]],Clients_Churn[ID_Client],Clients_Churn[Duree_Cumulee_Panne_Min],"Non Trouvée")</f>
        <v>Non Trouvée</v>
      </c>
      <c r="M838" s="5" t="str">
        <f>_xlfn.XLOOKUP(Logs_Reseau6[[#This Row],[Id_Client]],Clients_Churn[ID_Client],Clients_Churn[Anciennete_Mois],"Rien à signaler")</f>
        <v>Rien à signaler</v>
      </c>
      <c r="N838" s="5" t="e">
        <f>Logs_Reseau6[[#This Row],[Anciennette]]/24</f>
        <v>#VALUE!</v>
      </c>
      <c r="O838" s="5" t="e">
        <f>Logs_Reseau6[[#This Row],[Duree_Cumulée_Panne]]/1440</f>
        <v>#VALUE!</v>
      </c>
      <c r="P83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39" spans="1:16" hidden="1" x14ac:dyDescent="0.25">
      <c r="A839" s="2">
        <v>45203</v>
      </c>
      <c r="B839" s="1">
        <v>0.67291666666666672</v>
      </c>
      <c r="C839" t="s">
        <v>1473</v>
      </c>
      <c r="D839">
        <v>82</v>
      </c>
      <c r="E839" t="s">
        <v>1300</v>
      </c>
      <c r="F839" t="str">
        <f>_xlfn.XLOOKUP(Logs_Reseau6[[#This Row],[Cell_ID]],Registre[ID_Antenne],Registre[Province_RDC],"Non Trouvée")</f>
        <v>Non Trouvée</v>
      </c>
      <c r="G839" t="str">
        <f>_xlfn.XLOOKUP(Logs_Reseau6[[#This Row],[Province]],Clients_Churn[Province_Client],Clients_Churn[ID_Client],"Aucun")</f>
        <v>Aucun</v>
      </c>
      <c r="H839" t="str">
        <f>_xlfn.XLOOKUP(Logs_Reseau6[[#This Row],[Cell_ID]],Registre[ID_Antenne],Registre[Technologie],"Rien à signaler")</f>
        <v>Rien à signaler</v>
      </c>
      <c r="I839" t="str">
        <f>_xlfn.XLOOKUP(Logs_Reseau6[[#This Row],[Cell_ID]],Registre[ID_Antenne],Registre[Equipementier],"Non Trouvée")</f>
        <v>Non Trouvée</v>
      </c>
      <c r="J839" t="str">
        <f>_xlfn.XLOOKUP(Logs_Reseau6[[#This Row],[Id_Client]],Clients_Churn[ID_Client],Clients_Churn[Type_Forfait],"Pas d'information")</f>
        <v>Pas d'information</v>
      </c>
      <c r="K839" s="5" t="str">
        <f>IF(Logs_Reseau6[[#This Row],[Type_Forfait]]="Pro Monde","B2B","B2C")</f>
        <v>B2C</v>
      </c>
      <c r="L839" s="5" t="str">
        <f>_xlfn.XLOOKUP(Logs_Reseau6[[#This Row],[Id_Client]],Clients_Churn[ID_Client],Clients_Churn[Duree_Cumulee_Panne_Min],"Non Trouvée")</f>
        <v>Non Trouvée</v>
      </c>
      <c r="M839" s="5" t="str">
        <f>_xlfn.XLOOKUP(Logs_Reseau6[[#This Row],[Id_Client]],Clients_Churn[ID_Client],Clients_Churn[Anciennete_Mois],"Rien à signaler")</f>
        <v>Rien à signaler</v>
      </c>
      <c r="N839" s="5" t="e">
        <f>Logs_Reseau6[[#This Row],[Anciennette]]/24</f>
        <v>#VALUE!</v>
      </c>
      <c r="O839" s="5" t="e">
        <f>Logs_Reseau6[[#This Row],[Duree_Cumulée_Panne]]/1440</f>
        <v>#VALUE!</v>
      </c>
      <c r="P83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40" spans="1:16" hidden="1" x14ac:dyDescent="0.25">
      <c r="A840" s="2">
        <v>45205</v>
      </c>
      <c r="B840" s="1">
        <v>0.3659722222222222</v>
      </c>
      <c r="C840" t="s">
        <v>1502</v>
      </c>
      <c r="D840">
        <v>32</v>
      </c>
      <c r="E840" t="s">
        <v>1300</v>
      </c>
      <c r="F840" t="str">
        <f>_xlfn.XLOOKUP(Logs_Reseau6[[#This Row],[Cell_ID]],Registre[ID_Antenne],Registre[Province_RDC],"Non Trouvée")</f>
        <v>Non Trouvée</v>
      </c>
      <c r="G840" t="str">
        <f>_xlfn.XLOOKUP(Logs_Reseau6[[#This Row],[Province]],Clients_Churn[Province_Client],Clients_Churn[ID_Client],"Aucun")</f>
        <v>Aucun</v>
      </c>
      <c r="H840" t="str">
        <f>_xlfn.XLOOKUP(Logs_Reseau6[[#This Row],[Cell_ID]],Registre[ID_Antenne],Registre[Technologie],"Rien à signaler")</f>
        <v>Rien à signaler</v>
      </c>
      <c r="I840" t="str">
        <f>_xlfn.XLOOKUP(Logs_Reseau6[[#This Row],[Cell_ID]],Registre[ID_Antenne],Registre[Equipementier],"Non Trouvée")</f>
        <v>Non Trouvée</v>
      </c>
      <c r="J840" t="str">
        <f>_xlfn.XLOOKUP(Logs_Reseau6[[#This Row],[Id_Client]],Clients_Churn[ID_Client],Clients_Churn[Type_Forfait],"Pas d'information")</f>
        <v>Pas d'information</v>
      </c>
      <c r="K840" s="5" t="str">
        <f>IF(Logs_Reseau6[[#This Row],[Type_Forfait]]="Pro Monde","B2B","B2C")</f>
        <v>B2C</v>
      </c>
      <c r="L840" s="5" t="str">
        <f>_xlfn.XLOOKUP(Logs_Reseau6[[#This Row],[Id_Client]],Clients_Churn[ID_Client],Clients_Churn[Duree_Cumulee_Panne_Min],"Non Trouvée")</f>
        <v>Non Trouvée</v>
      </c>
      <c r="M840" s="5" t="str">
        <f>_xlfn.XLOOKUP(Logs_Reseau6[[#This Row],[Id_Client]],Clients_Churn[ID_Client],Clients_Churn[Anciennete_Mois],"Rien à signaler")</f>
        <v>Rien à signaler</v>
      </c>
      <c r="N840" s="5" t="e">
        <f>Logs_Reseau6[[#This Row],[Anciennette]]/24</f>
        <v>#VALUE!</v>
      </c>
      <c r="O840" s="5" t="e">
        <f>Logs_Reseau6[[#This Row],[Duree_Cumulée_Panne]]/1440</f>
        <v>#VALUE!</v>
      </c>
      <c r="P84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41" spans="1:16" hidden="1" x14ac:dyDescent="0.25">
      <c r="A841" s="2">
        <v>45225</v>
      </c>
      <c r="B841" s="1">
        <v>6.1805555555555558E-2</v>
      </c>
      <c r="C841" t="s">
        <v>1502</v>
      </c>
      <c r="D841">
        <v>15</v>
      </c>
      <c r="E841" t="s">
        <v>1305</v>
      </c>
      <c r="F841" t="str">
        <f>_xlfn.XLOOKUP(Logs_Reseau6[[#This Row],[Cell_ID]],Registre[ID_Antenne],Registre[Province_RDC],"Non Trouvée")</f>
        <v>Non Trouvée</v>
      </c>
      <c r="G841" t="str">
        <f>_xlfn.XLOOKUP(Logs_Reseau6[[#This Row],[Province]],Clients_Churn[Province_Client],Clients_Churn[ID_Client],"Aucun")</f>
        <v>Aucun</v>
      </c>
      <c r="H841" t="str">
        <f>_xlfn.XLOOKUP(Logs_Reseau6[[#This Row],[Cell_ID]],Registre[ID_Antenne],Registre[Technologie],"Rien à signaler")</f>
        <v>Rien à signaler</v>
      </c>
      <c r="I841" t="str">
        <f>_xlfn.XLOOKUP(Logs_Reseau6[[#This Row],[Cell_ID]],Registre[ID_Antenne],Registre[Equipementier],"Non Trouvée")</f>
        <v>Non Trouvée</v>
      </c>
      <c r="J841" t="str">
        <f>_xlfn.XLOOKUP(Logs_Reseau6[[#This Row],[Id_Client]],Clients_Churn[ID_Client],Clients_Churn[Type_Forfait],"Pas d'information")</f>
        <v>Pas d'information</v>
      </c>
      <c r="K841" s="5" t="str">
        <f>IF(Logs_Reseau6[[#This Row],[Type_Forfait]]="Pro Monde","B2B","B2C")</f>
        <v>B2C</v>
      </c>
      <c r="L841" s="5" t="str">
        <f>_xlfn.XLOOKUP(Logs_Reseau6[[#This Row],[Id_Client]],Clients_Churn[ID_Client],Clients_Churn[Duree_Cumulee_Panne_Min],"Non Trouvée")</f>
        <v>Non Trouvée</v>
      </c>
      <c r="M841" s="5" t="str">
        <f>_xlfn.XLOOKUP(Logs_Reseau6[[#This Row],[Id_Client]],Clients_Churn[ID_Client],Clients_Churn[Anciennete_Mois],"Rien à signaler")</f>
        <v>Rien à signaler</v>
      </c>
      <c r="N841" s="5" t="e">
        <f>Logs_Reseau6[[#This Row],[Anciennette]]/24</f>
        <v>#VALUE!</v>
      </c>
      <c r="O841" s="5" t="e">
        <f>Logs_Reseau6[[#This Row],[Duree_Cumulée_Panne]]/1440</f>
        <v>#VALUE!</v>
      </c>
      <c r="P84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42" spans="1:16" hidden="1" x14ac:dyDescent="0.25">
      <c r="A842" s="2">
        <v>45214</v>
      </c>
      <c r="B842" s="1">
        <v>0.61319444444444449</v>
      </c>
      <c r="C842" t="s">
        <v>1361</v>
      </c>
      <c r="D842">
        <v>11</v>
      </c>
      <c r="E842" t="s">
        <v>1305</v>
      </c>
      <c r="F842" t="str">
        <f>_xlfn.XLOOKUP(Logs_Reseau6[[#This Row],[Cell_ID]],Registre[ID_Antenne],Registre[Province_RDC],"Non Trouvée")</f>
        <v>Non Trouvée</v>
      </c>
      <c r="G842" t="str">
        <f>_xlfn.XLOOKUP(Logs_Reseau6[[#This Row],[Province]],Clients_Churn[Province_Client],Clients_Churn[ID_Client],"Aucun")</f>
        <v>Aucun</v>
      </c>
      <c r="H842" t="str">
        <f>_xlfn.XLOOKUP(Logs_Reseau6[[#This Row],[Cell_ID]],Registre[ID_Antenne],Registre[Technologie],"Rien à signaler")</f>
        <v>Rien à signaler</v>
      </c>
      <c r="I842" t="str">
        <f>_xlfn.XLOOKUP(Logs_Reseau6[[#This Row],[Cell_ID]],Registre[ID_Antenne],Registre[Equipementier],"Non Trouvée")</f>
        <v>Non Trouvée</v>
      </c>
      <c r="J842" t="str">
        <f>_xlfn.XLOOKUP(Logs_Reseau6[[#This Row],[Id_Client]],Clients_Churn[ID_Client],Clients_Churn[Type_Forfait],"Pas d'information")</f>
        <v>Pas d'information</v>
      </c>
      <c r="K842" s="5" t="str">
        <f>IF(Logs_Reseau6[[#This Row],[Type_Forfait]]="Pro Monde","B2B","B2C")</f>
        <v>B2C</v>
      </c>
      <c r="L842" s="5" t="str">
        <f>_xlfn.XLOOKUP(Logs_Reseau6[[#This Row],[Id_Client]],Clients_Churn[ID_Client],Clients_Churn[Duree_Cumulee_Panne_Min],"Non Trouvée")</f>
        <v>Non Trouvée</v>
      </c>
      <c r="M842" s="5" t="str">
        <f>_xlfn.XLOOKUP(Logs_Reseau6[[#This Row],[Id_Client]],Clients_Churn[ID_Client],Clients_Churn[Anciennete_Mois],"Rien à signaler")</f>
        <v>Rien à signaler</v>
      </c>
      <c r="N842" s="5" t="e">
        <f>Logs_Reseau6[[#This Row],[Anciennette]]/24</f>
        <v>#VALUE!</v>
      </c>
      <c r="O842" s="5" t="e">
        <f>Logs_Reseau6[[#This Row],[Duree_Cumulée_Panne]]/1440</f>
        <v>#VALUE!</v>
      </c>
      <c r="P84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43" spans="1:16" hidden="1" x14ac:dyDescent="0.25">
      <c r="A843" s="2">
        <v>45215</v>
      </c>
      <c r="B843" s="1">
        <v>0.47916666666666669</v>
      </c>
      <c r="C843" t="s">
        <v>1361</v>
      </c>
      <c r="D843">
        <v>67</v>
      </c>
      <c r="E843" t="s">
        <v>1305</v>
      </c>
      <c r="F843" t="str">
        <f>_xlfn.XLOOKUP(Logs_Reseau6[[#This Row],[Cell_ID]],Registre[ID_Antenne],Registre[Province_RDC],"Non Trouvée")</f>
        <v>Non Trouvée</v>
      </c>
      <c r="G843" t="str">
        <f>_xlfn.XLOOKUP(Logs_Reseau6[[#This Row],[Province]],Clients_Churn[Province_Client],Clients_Churn[ID_Client],"Aucun")</f>
        <v>Aucun</v>
      </c>
      <c r="H843" t="str">
        <f>_xlfn.XLOOKUP(Logs_Reseau6[[#This Row],[Cell_ID]],Registre[ID_Antenne],Registre[Technologie],"Rien à signaler")</f>
        <v>Rien à signaler</v>
      </c>
      <c r="I843" t="str">
        <f>_xlfn.XLOOKUP(Logs_Reseau6[[#This Row],[Cell_ID]],Registre[ID_Antenne],Registre[Equipementier],"Non Trouvée")</f>
        <v>Non Trouvée</v>
      </c>
      <c r="J843" t="str">
        <f>_xlfn.XLOOKUP(Logs_Reseau6[[#This Row],[Id_Client]],Clients_Churn[ID_Client],Clients_Churn[Type_Forfait],"Pas d'information")</f>
        <v>Pas d'information</v>
      </c>
      <c r="K843" s="5" t="str">
        <f>IF(Logs_Reseau6[[#This Row],[Type_Forfait]]="Pro Monde","B2B","B2C")</f>
        <v>B2C</v>
      </c>
      <c r="L843" s="5" t="str">
        <f>_xlfn.XLOOKUP(Logs_Reseau6[[#This Row],[Id_Client]],Clients_Churn[ID_Client],Clients_Churn[Duree_Cumulee_Panne_Min],"Non Trouvée")</f>
        <v>Non Trouvée</v>
      </c>
      <c r="M843" s="5" t="str">
        <f>_xlfn.XLOOKUP(Logs_Reseau6[[#This Row],[Id_Client]],Clients_Churn[ID_Client],Clients_Churn[Anciennete_Mois],"Rien à signaler")</f>
        <v>Rien à signaler</v>
      </c>
      <c r="N843" s="5" t="e">
        <f>Logs_Reseau6[[#This Row],[Anciennette]]/24</f>
        <v>#VALUE!</v>
      </c>
      <c r="O843" s="5" t="e">
        <f>Logs_Reseau6[[#This Row],[Duree_Cumulée_Panne]]/1440</f>
        <v>#VALUE!</v>
      </c>
      <c r="P84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44" spans="1:16" x14ac:dyDescent="0.25">
      <c r="A844" s="2">
        <v>45210</v>
      </c>
      <c r="B844" s="1">
        <v>0.28055555555555556</v>
      </c>
      <c r="C844" t="s">
        <v>1009</v>
      </c>
      <c r="D844">
        <v>43</v>
      </c>
      <c r="E844" t="s">
        <v>1303</v>
      </c>
      <c r="F844" t="str">
        <f>_xlfn.XLOOKUP(Logs_Reseau6[[#This Row],[Cell_ID]],Registre[ID_Antenne],Registre[Province_RDC],"Non Trouvée")</f>
        <v>Sud-Ubangi</v>
      </c>
      <c r="G844" t="str">
        <f>_xlfn.XLOOKUP(Logs_Reseau6[[#This Row],[Province]],Clients_Churn[Province_Client],Clients_Churn[ID_Client],"Aucun")</f>
        <v>CLI-00070</v>
      </c>
      <c r="H844" t="str">
        <f>_xlfn.XLOOKUP(Logs_Reseau6[[#This Row],[Cell_ID]],Registre[ID_Antenne],Registre[Technologie],"Rien à signaler")</f>
        <v>3G</v>
      </c>
      <c r="I844" t="str">
        <f>_xlfn.XLOOKUP(Logs_Reseau6[[#This Row],[Cell_ID]],Registre[ID_Antenne],Registre[Equipementier],"Non Trouvée")</f>
        <v>Ericsson</v>
      </c>
      <c r="J844" t="str">
        <f>_xlfn.XLOOKUP(Logs_Reseau6[[#This Row],[Id_Client]],Clients_Churn[ID_Client],Clients_Churn[Type_Forfait],"Pas d'information")</f>
        <v>Illimité 50Go</v>
      </c>
      <c r="K844" s="5" t="str">
        <f>IF(Logs_Reseau6[[#This Row],[Type_Forfait]]="Pro Monde","B2B","B2C")</f>
        <v>B2C</v>
      </c>
      <c r="L844" s="5">
        <f>_xlfn.XLOOKUP(Logs_Reseau6[[#This Row],[Id_Client]],Clients_Churn[ID_Client],Clients_Churn[Duree_Cumulee_Panne_Min],"Non Trouvée")</f>
        <v>119</v>
      </c>
      <c r="M844" s="5">
        <f>_xlfn.XLOOKUP(Logs_Reseau6[[#This Row],[Id_Client]],Clients_Churn[ID_Client],Clients_Churn[Anciennete_Mois],"Rien à signaler")</f>
        <v>52</v>
      </c>
      <c r="N844" s="11">
        <f>Logs_Reseau6[[#This Row],[Anciennette]]/24</f>
        <v>2.1666666666666665</v>
      </c>
      <c r="O844" s="1">
        <f>Logs_Reseau6[[#This Row],[Duree_Cumulée_Panne]]/1440</f>
        <v>8.2638888888888887E-2</v>
      </c>
      <c r="P84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45" spans="1:16" x14ac:dyDescent="0.25">
      <c r="A845" s="2">
        <v>45211</v>
      </c>
      <c r="B845" s="1">
        <v>0.90486111111111112</v>
      </c>
      <c r="C845" t="s">
        <v>1009</v>
      </c>
      <c r="D845">
        <v>45</v>
      </c>
      <c r="E845" t="s">
        <v>1305</v>
      </c>
      <c r="F845" t="str">
        <f>_xlfn.XLOOKUP(Logs_Reseau6[[#This Row],[Cell_ID]],Registre[ID_Antenne],Registre[Province_RDC],"Non Trouvée")</f>
        <v>Sud-Ubangi</v>
      </c>
      <c r="G845" t="str">
        <f>_xlfn.XLOOKUP(Logs_Reseau6[[#This Row],[Province]],Clients_Churn[Province_Client],Clients_Churn[ID_Client],"Aucun")</f>
        <v>CLI-00070</v>
      </c>
      <c r="H845" t="str">
        <f>_xlfn.XLOOKUP(Logs_Reseau6[[#This Row],[Cell_ID]],Registre[ID_Antenne],Registre[Technologie],"Rien à signaler")</f>
        <v>3G</v>
      </c>
      <c r="I845" t="str">
        <f>_xlfn.XLOOKUP(Logs_Reseau6[[#This Row],[Cell_ID]],Registre[ID_Antenne],Registre[Equipementier],"Non Trouvée")</f>
        <v>Ericsson</v>
      </c>
      <c r="J845" t="str">
        <f>_xlfn.XLOOKUP(Logs_Reseau6[[#This Row],[Id_Client]],Clients_Churn[ID_Client],Clients_Churn[Type_Forfait],"Pas d'information")</f>
        <v>Illimité 50Go</v>
      </c>
      <c r="K845" s="5" t="str">
        <f>IF(Logs_Reseau6[[#This Row],[Type_Forfait]]="Pro Monde","B2B","B2C")</f>
        <v>B2C</v>
      </c>
      <c r="L845" s="5">
        <f>_xlfn.XLOOKUP(Logs_Reseau6[[#This Row],[Id_Client]],Clients_Churn[ID_Client],Clients_Churn[Duree_Cumulee_Panne_Min],"Non Trouvée")</f>
        <v>119</v>
      </c>
      <c r="M845" s="5">
        <f>_xlfn.XLOOKUP(Logs_Reseau6[[#This Row],[Id_Client]],Clients_Churn[ID_Client],Clients_Churn[Anciennete_Mois],"Rien à signaler")</f>
        <v>52</v>
      </c>
      <c r="N845" s="11">
        <f>Logs_Reseau6[[#This Row],[Anciennette]]/24</f>
        <v>2.1666666666666665</v>
      </c>
      <c r="O845" s="1">
        <f>Logs_Reseau6[[#This Row],[Duree_Cumulée_Panne]]/1440</f>
        <v>8.2638888888888887E-2</v>
      </c>
      <c r="P84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46" spans="1:16" hidden="1" x14ac:dyDescent="0.25">
      <c r="A846" s="2">
        <v>45202</v>
      </c>
      <c r="B846" s="1">
        <v>9.5138888888888884E-2</v>
      </c>
      <c r="C846" t="s">
        <v>1520</v>
      </c>
      <c r="D846">
        <v>61</v>
      </c>
      <c r="E846" t="s">
        <v>1303</v>
      </c>
      <c r="F846" t="str">
        <f>_xlfn.XLOOKUP(Logs_Reseau6[[#This Row],[Cell_ID]],Registre[ID_Antenne],Registre[Province_RDC],"Non Trouvée")</f>
        <v>Non Trouvée</v>
      </c>
      <c r="G846" t="str">
        <f>_xlfn.XLOOKUP(Logs_Reseau6[[#This Row],[Province]],Clients_Churn[Province_Client],Clients_Churn[ID_Client],"Aucun")</f>
        <v>Aucun</v>
      </c>
      <c r="H846" t="str">
        <f>_xlfn.XLOOKUP(Logs_Reseau6[[#This Row],[Cell_ID]],Registre[ID_Antenne],Registre[Technologie],"Rien à signaler")</f>
        <v>Rien à signaler</v>
      </c>
      <c r="I846" t="str">
        <f>_xlfn.XLOOKUP(Logs_Reseau6[[#This Row],[Cell_ID]],Registre[ID_Antenne],Registre[Equipementier],"Non Trouvée")</f>
        <v>Non Trouvée</v>
      </c>
      <c r="J846" t="str">
        <f>_xlfn.XLOOKUP(Logs_Reseau6[[#This Row],[Id_Client]],Clients_Churn[ID_Client],Clients_Churn[Type_Forfait],"Pas d'information")</f>
        <v>Pas d'information</v>
      </c>
      <c r="K846" s="5" t="str">
        <f>IF(Logs_Reseau6[[#This Row],[Type_Forfait]]="Pro Monde","B2B","B2C")</f>
        <v>B2C</v>
      </c>
      <c r="L846" s="5" t="str">
        <f>_xlfn.XLOOKUP(Logs_Reseau6[[#This Row],[Id_Client]],Clients_Churn[ID_Client],Clients_Churn[Duree_Cumulee_Panne_Min],"Non Trouvée")</f>
        <v>Non Trouvée</v>
      </c>
      <c r="M846" s="5" t="str">
        <f>_xlfn.XLOOKUP(Logs_Reseau6[[#This Row],[Id_Client]],Clients_Churn[ID_Client],Clients_Churn[Anciennete_Mois],"Rien à signaler")</f>
        <v>Rien à signaler</v>
      </c>
      <c r="N846" s="5" t="e">
        <f>Logs_Reseau6[[#This Row],[Anciennette]]/24</f>
        <v>#VALUE!</v>
      </c>
      <c r="O846" s="5" t="e">
        <f>Logs_Reseau6[[#This Row],[Duree_Cumulée_Panne]]/1440</f>
        <v>#VALUE!</v>
      </c>
      <c r="P84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47" spans="1:16" x14ac:dyDescent="0.25">
      <c r="A847" s="2">
        <v>45205</v>
      </c>
      <c r="B847" s="1">
        <v>5.2083333333333336E-2</v>
      </c>
      <c r="C847" t="s">
        <v>825</v>
      </c>
      <c r="D847">
        <v>81</v>
      </c>
      <c r="E847" t="s">
        <v>1305</v>
      </c>
      <c r="F847" t="str">
        <f>_xlfn.XLOOKUP(Logs_Reseau6[[#This Row],[Cell_ID]],Registre[ID_Antenne],Registre[Province_RDC],"Non Trouvée")</f>
        <v>Kasai</v>
      </c>
      <c r="G847" t="str">
        <f>_xlfn.XLOOKUP(Logs_Reseau6[[#This Row],[Province]],Clients_Churn[Province_Client],Clients_Churn[ID_Client],"Aucun")</f>
        <v>CLI-00057</v>
      </c>
      <c r="H847" t="str">
        <f>_xlfn.XLOOKUP(Logs_Reseau6[[#This Row],[Cell_ID]],Registre[ID_Antenne],Registre[Technologie],"Rien à signaler")</f>
        <v>4G</v>
      </c>
      <c r="I847" t="str">
        <f>_xlfn.XLOOKUP(Logs_Reseau6[[#This Row],[Cell_ID]],Registre[ID_Antenne],Registre[Equipementier],"Non Trouvée")</f>
        <v>ZTE</v>
      </c>
      <c r="J847" t="str">
        <f>_xlfn.XLOOKUP(Logs_Reseau6[[#This Row],[Id_Client]],Clients_Churn[ID_Client],Clients_Churn[Type_Forfait],"Pas d'information")</f>
        <v>Bloqué 5Go</v>
      </c>
      <c r="K847" s="5" t="str">
        <f>IF(Logs_Reseau6[[#This Row],[Type_Forfait]]="Pro Monde","B2B","B2C")</f>
        <v>B2C</v>
      </c>
      <c r="L847" s="5">
        <f>_xlfn.XLOOKUP(Logs_Reseau6[[#This Row],[Id_Client]],Clients_Churn[ID_Client],Clients_Churn[Duree_Cumulee_Panne_Min],"Non Trouvée")</f>
        <v>182</v>
      </c>
      <c r="M847" s="5">
        <f>_xlfn.XLOOKUP(Logs_Reseau6[[#This Row],[Id_Client]],Clients_Churn[ID_Client],Clients_Churn[Anciennete_Mois],"Rien à signaler")</f>
        <v>4</v>
      </c>
      <c r="N847" s="11">
        <f>Logs_Reseau6[[#This Row],[Anciennette]]/24</f>
        <v>0.16666666666666666</v>
      </c>
      <c r="O847" s="1">
        <f>Logs_Reseau6[[#This Row],[Duree_Cumulée_Panne]]/1440</f>
        <v>0.12638888888888888</v>
      </c>
      <c r="P84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48" spans="1:16" x14ac:dyDescent="0.25">
      <c r="A848" s="2">
        <v>45220</v>
      </c>
      <c r="B848" s="1">
        <v>0.92777777777777781</v>
      </c>
      <c r="C848" t="s">
        <v>825</v>
      </c>
      <c r="D848">
        <v>22</v>
      </c>
      <c r="E848" t="s">
        <v>1303</v>
      </c>
      <c r="F848" t="str">
        <f>_xlfn.XLOOKUP(Logs_Reseau6[[#This Row],[Cell_ID]],Registre[ID_Antenne],Registre[Province_RDC],"Non Trouvée")</f>
        <v>Kasai</v>
      </c>
      <c r="G848" t="str">
        <f>_xlfn.XLOOKUP(Logs_Reseau6[[#This Row],[Province]],Clients_Churn[Province_Client],Clients_Churn[ID_Client],"Aucun")</f>
        <v>CLI-00057</v>
      </c>
      <c r="H848" t="str">
        <f>_xlfn.XLOOKUP(Logs_Reseau6[[#This Row],[Cell_ID]],Registre[ID_Antenne],Registre[Technologie],"Rien à signaler")</f>
        <v>4G</v>
      </c>
      <c r="I848" t="str">
        <f>_xlfn.XLOOKUP(Logs_Reseau6[[#This Row],[Cell_ID]],Registre[ID_Antenne],Registre[Equipementier],"Non Trouvée")</f>
        <v>ZTE</v>
      </c>
      <c r="J848" t="str">
        <f>_xlfn.XLOOKUP(Logs_Reseau6[[#This Row],[Id_Client]],Clients_Churn[ID_Client],Clients_Churn[Type_Forfait],"Pas d'information")</f>
        <v>Bloqué 5Go</v>
      </c>
      <c r="K848" s="5" t="str">
        <f>IF(Logs_Reseau6[[#This Row],[Type_Forfait]]="Pro Monde","B2B","B2C")</f>
        <v>B2C</v>
      </c>
      <c r="L848" s="5">
        <f>_xlfn.XLOOKUP(Logs_Reseau6[[#This Row],[Id_Client]],Clients_Churn[ID_Client],Clients_Churn[Duree_Cumulee_Panne_Min],"Non Trouvée")</f>
        <v>182</v>
      </c>
      <c r="M848" s="5">
        <f>_xlfn.XLOOKUP(Logs_Reseau6[[#This Row],[Id_Client]],Clients_Churn[ID_Client],Clients_Churn[Anciennete_Mois],"Rien à signaler")</f>
        <v>4</v>
      </c>
      <c r="N848" s="11">
        <f>Logs_Reseau6[[#This Row],[Anciennette]]/24</f>
        <v>0.16666666666666666</v>
      </c>
      <c r="O848" s="1">
        <f>Logs_Reseau6[[#This Row],[Duree_Cumulée_Panne]]/1440</f>
        <v>0.12638888888888888</v>
      </c>
      <c r="P84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49" spans="1:16" x14ac:dyDescent="0.25">
      <c r="A849" s="2">
        <v>45213</v>
      </c>
      <c r="B849" s="1">
        <v>0.64583333333333337</v>
      </c>
      <c r="C849" t="s">
        <v>1196</v>
      </c>
      <c r="D849">
        <v>95</v>
      </c>
      <c r="E849" t="s">
        <v>1300</v>
      </c>
      <c r="F849" t="str">
        <f>_xlfn.XLOOKUP(Logs_Reseau6[[#This Row],[Cell_ID]],Registre[ID_Antenne],Registre[Province_RDC],"Non Trouvée")</f>
        <v>Haut-Katanga</v>
      </c>
      <c r="G849" t="str">
        <f>_xlfn.XLOOKUP(Logs_Reseau6[[#This Row],[Province]],Clients_Churn[Province_Client],Clients_Churn[ID_Client],"Aucun")</f>
        <v>CLI-00059</v>
      </c>
      <c r="H849" t="str">
        <f>_xlfn.XLOOKUP(Logs_Reseau6[[#This Row],[Cell_ID]],Registre[ID_Antenne],Registre[Technologie],"Rien à signaler")</f>
        <v>5G</v>
      </c>
      <c r="I849" t="str">
        <f>_xlfn.XLOOKUP(Logs_Reseau6[[#This Row],[Cell_ID]],Registre[ID_Antenne],Registre[Equipementier],"Non Trouvée")</f>
        <v>Ericsson</v>
      </c>
      <c r="J849" t="str">
        <f>_xlfn.XLOOKUP(Logs_Reseau6[[#This Row],[Id_Client]],Clients_Churn[ID_Client],Clients_Churn[Type_Forfait],"Pas d'information")</f>
        <v>Pro Monde</v>
      </c>
      <c r="K849" s="5" t="str">
        <f>IF(Logs_Reseau6[[#This Row],[Type_Forfait]]="Pro Monde","B2B","B2C")</f>
        <v>B2B</v>
      </c>
      <c r="L849" s="5">
        <f>_xlfn.XLOOKUP(Logs_Reseau6[[#This Row],[Id_Client]],Clients_Churn[ID_Client],Clients_Churn[Duree_Cumulee_Panne_Min],"Non Trouvée")</f>
        <v>76</v>
      </c>
      <c r="M849" s="5">
        <f>_xlfn.XLOOKUP(Logs_Reseau6[[#This Row],[Id_Client]],Clients_Churn[ID_Client],Clients_Churn[Anciennete_Mois],"Rien à signaler")</f>
        <v>69</v>
      </c>
      <c r="N849" s="11">
        <f>Logs_Reseau6[[#This Row],[Anciennette]]/24</f>
        <v>2.875</v>
      </c>
      <c r="O849" s="1">
        <f>Logs_Reseau6[[#This Row],[Duree_Cumulée_Panne]]/1440</f>
        <v>5.2777777777777778E-2</v>
      </c>
      <c r="P84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50" spans="1:16" x14ac:dyDescent="0.25">
      <c r="A850" s="2">
        <v>45222</v>
      </c>
      <c r="B850" s="1">
        <v>0.83402777777777781</v>
      </c>
      <c r="C850" t="s">
        <v>1196</v>
      </c>
      <c r="D850">
        <v>109</v>
      </c>
      <c r="E850" t="s">
        <v>1303</v>
      </c>
      <c r="F850" t="str">
        <f>_xlfn.XLOOKUP(Logs_Reseau6[[#This Row],[Cell_ID]],Registre[ID_Antenne],Registre[Province_RDC],"Non Trouvée")</f>
        <v>Haut-Katanga</v>
      </c>
      <c r="G850" t="str">
        <f>_xlfn.XLOOKUP(Logs_Reseau6[[#This Row],[Province]],Clients_Churn[Province_Client],Clients_Churn[ID_Client],"Aucun")</f>
        <v>CLI-00059</v>
      </c>
      <c r="H850" t="str">
        <f>_xlfn.XLOOKUP(Logs_Reseau6[[#This Row],[Cell_ID]],Registre[ID_Antenne],Registre[Technologie],"Rien à signaler")</f>
        <v>5G</v>
      </c>
      <c r="I850" t="str">
        <f>_xlfn.XLOOKUP(Logs_Reseau6[[#This Row],[Cell_ID]],Registre[ID_Antenne],Registre[Equipementier],"Non Trouvée")</f>
        <v>Ericsson</v>
      </c>
      <c r="J850" t="str">
        <f>_xlfn.XLOOKUP(Logs_Reseau6[[#This Row],[Id_Client]],Clients_Churn[ID_Client],Clients_Churn[Type_Forfait],"Pas d'information")</f>
        <v>Pro Monde</v>
      </c>
      <c r="K850" s="5" t="str">
        <f>IF(Logs_Reseau6[[#This Row],[Type_Forfait]]="Pro Monde","B2B","B2C")</f>
        <v>B2B</v>
      </c>
      <c r="L850" s="5">
        <f>_xlfn.XLOOKUP(Logs_Reseau6[[#This Row],[Id_Client]],Clients_Churn[ID_Client],Clients_Churn[Duree_Cumulee_Panne_Min],"Non Trouvée")</f>
        <v>76</v>
      </c>
      <c r="M850" s="5">
        <f>_xlfn.XLOOKUP(Logs_Reseau6[[#This Row],[Id_Client]],Clients_Churn[ID_Client],Clients_Churn[Anciennete_Mois],"Rien à signaler")</f>
        <v>69</v>
      </c>
      <c r="N850" s="11">
        <f>Logs_Reseau6[[#This Row],[Anciennette]]/24</f>
        <v>2.875</v>
      </c>
      <c r="O850" s="1">
        <f>Logs_Reseau6[[#This Row],[Duree_Cumulée_Panne]]/1440</f>
        <v>5.2777777777777778E-2</v>
      </c>
      <c r="P85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51" spans="1:16" hidden="1" x14ac:dyDescent="0.25">
      <c r="A851" s="2">
        <v>45214</v>
      </c>
      <c r="B851" s="1">
        <v>0.27291666666666664</v>
      </c>
      <c r="C851" t="s">
        <v>1379</v>
      </c>
      <c r="D851">
        <v>26</v>
      </c>
      <c r="E851" t="s">
        <v>1303</v>
      </c>
      <c r="F851" t="str">
        <f>_xlfn.XLOOKUP(Logs_Reseau6[[#This Row],[Cell_ID]],Registre[ID_Antenne],Registre[Province_RDC],"Non Trouvée")</f>
        <v>Non Trouvée</v>
      </c>
      <c r="G851" t="str">
        <f>_xlfn.XLOOKUP(Logs_Reseau6[[#This Row],[Province]],Clients_Churn[Province_Client],Clients_Churn[ID_Client],"Aucun")</f>
        <v>Aucun</v>
      </c>
      <c r="H851" t="str">
        <f>_xlfn.XLOOKUP(Logs_Reseau6[[#This Row],[Cell_ID]],Registre[ID_Antenne],Registre[Technologie],"Rien à signaler")</f>
        <v>Rien à signaler</v>
      </c>
      <c r="I851" t="str">
        <f>_xlfn.XLOOKUP(Logs_Reseau6[[#This Row],[Cell_ID]],Registre[ID_Antenne],Registre[Equipementier],"Non Trouvée")</f>
        <v>Non Trouvée</v>
      </c>
      <c r="J851" t="str">
        <f>_xlfn.XLOOKUP(Logs_Reseau6[[#This Row],[Id_Client]],Clients_Churn[ID_Client],Clients_Churn[Type_Forfait],"Pas d'information")</f>
        <v>Pas d'information</v>
      </c>
      <c r="K851" s="5" t="str">
        <f>IF(Logs_Reseau6[[#This Row],[Type_Forfait]]="Pro Monde","B2B","B2C")</f>
        <v>B2C</v>
      </c>
      <c r="L851" s="5" t="str">
        <f>_xlfn.XLOOKUP(Logs_Reseau6[[#This Row],[Id_Client]],Clients_Churn[ID_Client],Clients_Churn[Duree_Cumulee_Panne_Min],"Non Trouvée")</f>
        <v>Non Trouvée</v>
      </c>
      <c r="M851" s="5" t="str">
        <f>_xlfn.XLOOKUP(Logs_Reseau6[[#This Row],[Id_Client]],Clients_Churn[ID_Client],Clients_Churn[Anciennete_Mois],"Rien à signaler")</f>
        <v>Rien à signaler</v>
      </c>
      <c r="N851" s="5" t="e">
        <f>Logs_Reseau6[[#This Row],[Anciennette]]/24</f>
        <v>#VALUE!</v>
      </c>
      <c r="O851" s="5" t="e">
        <f>Logs_Reseau6[[#This Row],[Duree_Cumulée_Panne]]/1440</f>
        <v>#VALUE!</v>
      </c>
      <c r="P85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52" spans="1:16" hidden="1" x14ac:dyDescent="0.25">
      <c r="A852" s="2">
        <v>45215</v>
      </c>
      <c r="B852" s="1">
        <v>0.10833333333333334</v>
      </c>
      <c r="C852" t="s">
        <v>1379</v>
      </c>
      <c r="D852">
        <v>39</v>
      </c>
      <c r="E852" t="s">
        <v>1305</v>
      </c>
      <c r="F852" t="str">
        <f>_xlfn.XLOOKUP(Logs_Reseau6[[#This Row],[Cell_ID]],Registre[ID_Antenne],Registre[Province_RDC],"Non Trouvée")</f>
        <v>Non Trouvée</v>
      </c>
      <c r="G852" t="str">
        <f>_xlfn.XLOOKUP(Logs_Reseau6[[#This Row],[Province]],Clients_Churn[Province_Client],Clients_Churn[ID_Client],"Aucun")</f>
        <v>Aucun</v>
      </c>
      <c r="H852" t="str">
        <f>_xlfn.XLOOKUP(Logs_Reseau6[[#This Row],[Cell_ID]],Registre[ID_Antenne],Registre[Technologie],"Rien à signaler")</f>
        <v>Rien à signaler</v>
      </c>
      <c r="I852" t="str">
        <f>_xlfn.XLOOKUP(Logs_Reseau6[[#This Row],[Cell_ID]],Registre[ID_Antenne],Registre[Equipementier],"Non Trouvée")</f>
        <v>Non Trouvée</v>
      </c>
      <c r="J852" t="str">
        <f>_xlfn.XLOOKUP(Logs_Reseau6[[#This Row],[Id_Client]],Clients_Churn[ID_Client],Clients_Churn[Type_Forfait],"Pas d'information")</f>
        <v>Pas d'information</v>
      </c>
      <c r="K852" s="5" t="str">
        <f>IF(Logs_Reseau6[[#This Row],[Type_Forfait]]="Pro Monde","B2B","B2C")</f>
        <v>B2C</v>
      </c>
      <c r="L852" s="5" t="str">
        <f>_xlfn.XLOOKUP(Logs_Reseau6[[#This Row],[Id_Client]],Clients_Churn[ID_Client],Clients_Churn[Duree_Cumulee_Panne_Min],"Non Trouvée")</f>
        <v>Non Trouvée</v>
      </c>
      <c r="M852" s="5" t="str">
        <f>_xlfn.XLOOKUP(Logs_Reseau6[[#This Row],[Id_Client]],Clients_Churn[ID_Client],Clients_Churn[Anciennete_Mois],"Rien à signaler")</f>
        <v>Rien à signaler</v>
      </c>
      <c r="N852" s="5" t="e">
        <f>Logs_Reseau6[[#This Row],[Anciennette]]/24</f>
        <v>#VALUE!</v>
      </c>
      <c r="O852" s="5" t="e">
        <f>Logs_Reseau6[[#This Row],[Duree_Cumulée_Panne]]/1440</f>
        <v>#VALUE!</v>
      </c>
      <c r="P85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53" spans="1:16" hidden="1" x14ac:dyDescent="0.25">
      <c r="A853" s="2">
        <v>45217</v>
      </c>
      <c r="B853" s="1">
        <v>0.94444444444444442</v>
      </c>
      <c r="C853" t="s">
        <v>1627</v>
      </c>
      <c r="D853">
        <v>33</v>
      </c>
      <c r="E853" t="s">
        <v>1300</v>
      </c>
      <c r="F853" t="str">
        <f>_xlfn.XLOOKUP(Logs_Reseau6[[#This Row],[Cell_ID]],Registre[ID_Antenne],Registre[Province_RDC],"Non Trouvée")</f>
        <v>Non Trouvée</v>
      </c>
      <c r="G853" t="str">
        <f>_xlfn.XLOOKUP(Logs_Reseau6[[#This Row],[Province]],Clients_Churn[Province_Client],Clients_Churn[ID_Client],"Aucun")</f>
        <v>Aucun</v>
      </c>
      <c r="H853" t="str">
        <f>_xlfn.XLOOKUP(Logs_Reseau6[[#This Row],[Cell_ID]],Registre[ID_Antenne],Registre[Technologie],"Rien à signaler")</f>
        <v>Rien à signaler</v>
      </c>
      <c r="I853" t="str">
        <f>_xlfn.XLOOKUP(Logs_Reseau6[[#This Row],[Cell_ID]],Registre[ID_Antenne],Registre[Equipementier],"Non Trouvée")</f>
        <v>Non Trouvée</v>
      </c>
      <c r="J853" t="str">
        <f>_xlfn.XLOOKUP(Logs_Reseau6[[#This Row],[Id_Client]],Clients_Churn[ID_Client],Clients_Churn[Type_Forfait],"Pas d'information")</f>
        <v>Pas d'information</v>
      </c>
      <c r="K853" s="5" t="str">
        <f>IF(Logs_Reseau6[[#This Row],[Type_Forfait]]="Pro Monde","B2B","B2C")</f>
        <v>B2C</v>
      </c>
      <c r="L853" s="5" t="str">
        <f>_xlfn.XLOOKUP(Logs_Reseau6[[#This Row],[Id_Client]],Clients_Churn[ID_Client],Clients_Churn[Duree_Cumulee_Panne_Min],"Non Trouvée")</f>
        <v>Non Trouvée</v>
      </c>
      <c r="M853" s="5" t="str">
        <f>_xlfn.XLOOKUP(Logs_Reseau6[[#This Row],[Id_Client]],Clients_Churn[ID_Client],Clients_Churn[Anciennete_Mois],"Rien à signaler")</f>
        <v>Rien à signaler</v>
      </c>
      <c r="N853" s="5" t="e">
        <f>Logs_Reseau6[[#This Row],[Anciennette]]/24</f>
        <v>#VALUE!</v>
      </c>
      <c r="O853" s="5" t="e">
        <f>Logs_Reseau6[[#This Row],[Duree_Cumulée_Panne]]/1440</f>
        <v>#VALUE!</v>
      </c>
      <c r="P85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54" spans="1:16" x14ac:dyDescent="0.25">
      <c r="A854" s="2">
        <v>45216</v>
      </c>
      <c r="B854" s="1">
        <v>0.2326388888888889</v>
      </c>
      <c r="C854" t="s">
        <v>837</v>
      </c>
      <c r="D854">
        <v>11</v>
      </c>
      <c r="E854" t="s">
        <v>1305</v>
      </c>
      <c r="F854" t="str">
        <f>_xlfn.XLOOKUP(Logs_Reseau6[[#This Row],[Cell_ID]],Registre[ID_Antenne],Registre[Province_RDC],"Non Trouvée")</f>
        <v>Kasai</v>
      </c>
      <c r="G854" t="str">
        <f>_xlfn.XLOOKUP(Logs_Reseau6[[#This Row],[Province]],Clients_Churn[Province_Client],Clients_Churn[ID_Client],"Aucun")</f>
        <v>CLI-00057</v>
      </c>
      <c r="H854" t="str">
        <f>_xlfn.XLOOKUP(Logs_Reseau6[[#This Row],[Cell_ID]],Registre[ID_Antenne],Registre[Technologie],"Rien à signaler")</f>
        <v>3G</v>
      </c>
      <c r="I854" t="str">
        <f>_xlfn.XLOOKUP(Logs_Reseau6[[#This Row],[Cell_ID]],Registre[ID_Antenne],Registre[Equipementier],"Non Trouvée")</f>
        <v>ZTE</v>
      </c>
      <c r="J854" t="str">
        <f>_xlfn.XLOOKUP(Logs_Reseau6[[#This Row],[Id_Client]],Clients_Churn[ID_Client],Clients_Churn[Type_Forfait],"Pas d'information")</f>
        <v>Bloqué 5Go</v>
      </c>
      <c r="K854" s="5" t="str">
        <f>IF(Logs_Reseau6[[#This Row],[Type_Forfait]]="Pro Monde","B2B","B2C")</f>
        <v>B2C</v>
      </c>
      <c r="L854" s="5">
        <f>_xlfn.XLOOKUP(Logs_Reseau6[[#This Row],[Id_Client]],Clients_Churn[ID_Client],Clients_Churn[Duree_Cumulee_Panne_Min],"Non Trouvée")</f>
        <v>182</v>
      </c>
      <c r="M854" s="5">
        <f>_xlfn.XLOOKUP(Logs_Reseau6[[#This Row],[Id_Client]],Clients_Churn[ID_Client],Clients_Churn[Anciennete_Mois],"Rien à signaler")</f>
        <v>4</v>
      </c>
      <c r="N854" s="11">
        <f>Logs_Reseau6[[#This Row],[Anciennette]]/24</f>
        <v>0.16666666666666666</v>
      </c>
      <c r="O854" s="1">
        <f>Logs_Reseau6[[#This Row],[Duree_Cumulée_Panne]]/1440</f>
        <v>0.12638888888888888</v>
      </c>
      <c r="P85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55" spans="1:16" x14ac:dyDescent="0.25">
      <c r="A855" s="2">
        <v>45206</v>
      </c>
      <c r="B855" s="1">
        <v>0.6875</v>
      </c>
      <c r="C855" t="s">
        <v>1144</v>
      </c>
      <c r="D855">
        <v>76</v>
      </c>
      <c r="E855" t="s">
        <v>1305</v>
      </c>
      <c r="F855" t="str">
        <f>_xlfn.XLOOKUP(Logs_Reseau6[[#This Row],[Cell_ID]],Registre[ID_Antenne],Registre[Province_RDC],"Non Trouvée")</f>
        <v>Haut-Uele</v>
      </c>
      <c r="G855" t="str">
        <f>_xlfn.XLOOKUP(Logs_Reseau6[[#This Row],[Province]],Clients_Churn[Province_Client],Clients_Churn[ID_Client],"Aucun")</f>
        <v>CLI-00055</v>
      </c>
      <c r="H855" t="str">
        <f>_xlfn.XLOOKUP(Logs_Reseau6[[#This Row],[Cell_ID]],Registre[ID_Antenne],Registre[Technologie],"Rien à signaler")</f>
        <v>4G</v>
      </c>
      <c r="I855" t="str">
        <f>_xlfn.XLOOKUP(Logs_Reseau6[[#This Row],[Cell_ID]],Registre[ID_Antenne],Registre[Equipementier],"Non Trouvée")</f>
        <v>Huawei</v>
      </c>
      <c r="J855" t="str">
        <f>_xlfn.XLOOKUP(Logs_Reseau6[[#This Row],[Id_Client]],Clients_Churn[ID_Client],Clients_Churn[Type_Forfait],"Pas d'information")</f>
        <v>Pro Monde</v>
      </c>
      <c r="K855" s="5" t="str">
        <f>IF(Logs_Reseau6[[#This Row],[Type_Forfait]]="Pro Monde","B2B","B2C")</f>
        <v>B2B</v>
      </c>
      <c r="L855" s="5">
        <f>_xlfn.XLOOKUP(Logs_Reseau6[[#This Row],[Id_Client]],Clients_Churn[ID_Client],Clients_Churn[Duree_Cumulee_Panne_Min],"Non Trouvée")</f>
        <v>206</v>
      </c>
      <c r="M855" s="5">
        <f>_xlfn.XLOOKUP(Logs_Reseau6[[#This Row],[Id_Client]],Clients_Churn[ID_Client],Clients_Churn[Anciennete_Mois],"Rien à signaler")</f>
        <v>6</v>
      </c>
      <c r="N855" s="11">
        <f>Logs_Reseau6[[#This Row],[Anciennette]]/24</f>
        <v>0.25</v>
      </c>
      <c r="O855" s="1">
        <f>Logs_Reseau6[[#This Row],[Duree_Cumulée_Panne]]/1440</f>
        <v>0.14305555555555555</v>
      </c>
      <c r="P85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56" spans="1:16" x14ac:dyDescent="0.25">
      <c r="A856" s="2">
        <v>45216</v>
      </c>
      <c r="B856" s="1">
        <v>0.69374999999999998</v>
      </c>
      <c r="C856" t="s">
        <v>1144</v>
      </c>
      <c r="D856">
        <v>24</v>
      </c>
      <c r="E856" t="s">
        <v>1305</v>
      </c>
      <c r="F856" t="str">
        <f>_xlfn.XLOOKUP(Logs_Reseau6[[#This Row],[Cell_ID]],Registre[ID_Antenne],Registre[Province_RDC],"Non Trouvée")</f>
        <v>Haut-Uele</v>
      </c>
      <c r="G856" t="str">
        <f>_xlfn.XLOOKUP(Logs_Reseau6[[#This Row],[Province]],Clients_Churn[Province_Client],Clients_Churn[ID_Client],"Aucun")</f>
        <v>CLI-00055</v>
      </c>
      <c r="H856" t="str">
        <f>_xlfn.XLOOKUP(Logs_Reseau6[[#This Row],[Cell_ID]],Registre[ID_Antenne],Registre[Technologie],"Rien à signaler")</f>
        <v>4G</v>
      </c>
      <c r="I856" t="str">
        <f>_xlfn.XLOOKUP(Logs_Reseau6[[#This Row],[Cell_ID]],Registre[ID_Antenne],Registre[Equipementier],"Non Trouvée")</f>
        <v>Huawei</v>
      </c>
      <c r="J856" t="str">
        <f>_xlfn.XLOOKUP(Logs_Reseau6[[#This Row],[Id_Client]],Clients_Churn[ID_Client],Clients_Churn[Type_Forfait],"Pas d'information")</f>
        <v>Pro Monde</v>
      </c>
      <c r="K856" s="5" t="str">
        <f>IF(Logs_Reseau6[[#This Row],[Type_Forfait]]="Pro Monde","B2B","B2C")</f>
        <v>B2B</v>
      </c>
      <c r="L856" s="5">
        <f>_xlfn.XLOOKUP(Logs_Reseau6[[#This Row],[Id_Client]],Clients_Churn[ID_Client],Clients_Churn[Duree_Cumulee_Panne_Min],"Non Trouvée")</f>
        <v>206</v>
      </c>
      <c r="M856" s="5">
        <f>_xlfn.XLOOKUP(Logs_Reseau6[[#This Row],[Id_Client]],Clients_Churn[ID_Client],Clients_Churn[Anciennete_Mois],"Rien à signaler")</f>
        <v>6</v>
      </c>
      <c r="N856" s="11">
        <f>Logs_Reseau6[[#This Row],[Anciennette]]/24</f>
        <v>0.25</v>
      </c>
      <c r="O856" s="1">
        <f>Logs_Reseau6[[#This Row],[Duree_Cumulée_Panne]]/1440</f>
        <v>0.14305555555555555</v>
      </c>
      <c r="P85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57" spans="1:16" hidden="1" x14ac:dyDescent="0.25">
      <c r="A857" s="2">
        <v>45209</v>
      </c>
      <c r="B857" s="1">
        <v>0.90486111111111112</v>
      </c>
      <c r="C857" t="s">
        <v>1317</v>
      </c>
      <c r="D857">
        <v>45</v>
      </c>
      <c r="E857" t="s">
        <v>1305</v>
      </c>
      <c r="F857" t="str">
        <f>_xlfn.XLOOKUP(Logs_Reseau6[[#This Row],[Cell_ID]],Registre[ID_Antenne],Registre[Province_RDC],"Non Trouvée")</f>
        <v>Non Trouvée</v>
      </c>
      <c r="G857" t="str">
        <f>_xlfn.XLOOKUP(Logs_Reseau6[[#This Row],[Province]],Clients_Churn[Province_Client],Clients_Churn[ID_Client],"Aucun")</f>
        <v>Aucun</v>
      </c>
      <c r="H857" t="str">
        <f>_xlfn.XLOOKUP(Logs_Reseau6[[#This Row],[Cell_ID]],Registre[ID_Antenne],Registre[Technologie],"Rien à signaler")</f>
        <v>Rien à signaler</v>
      </c>
      <c r="I857" t="str">
        <f>_xlfn.XLOOKUP(Logs_Reseau6[[#This Row],[Cell_ID]],Registre[ID_Antenne],Registre[Equipementier],"Non Trouvée")</f>
        <v>Non Trouvée</v>
      </c>
      <c r="J857" t="str">
        <f>_xlfn.XLOOKUP(Logs_Reseau6[[#This Row],[Id_Client]],Clients_Churn[ID_Client],Clients_Churn[Type_Forfait],"Pas d'information")</f>
        <v>Pas d'information</v>
      </c>
      <c r="K857" s="5" t="str">
        <f>IF(Logs_Reseau6[[#This Row],[Type_Forfait]]="Pro Monde","B2B","B2C")</f>
        <v>B2C</v>
      </c>
      <c r="L857" s="5" t="str">
        <f>_xlfn.XLOOKUP(Logs_Reseau6[[#This Row],[Id_Client]],Clients_Churn[ID_Client],Clients_Churn[Duree_Cumulee_Panne_Min],"Non Trouvée")</f>
        <v>Non Trouvée</v>
      </c>
      <c r="M857" s="5" t="str">
        <f>_xlfn.XLOOKUP(Logs_Reseau6[[#This Row],[Id_Client]],Clients_Churn[ID_Client],Clients_Churn[Anciennete_Mois],"Rien à signaler")</f>
        <v>Rien à signaler</v>
      </c>
      <c r="N857" s="5" t="e">
        <f>Logs_Reseau6[[#This Row],[Anciennette]]/24</f>
        <v>#VALUE!</v>
      </c>
      <c r="O857" s="5" t="e">
        <f>Logs_Reseau6[[#This Row],[Duree_Cumulée_Panne]]/1440</f>
        <v>#VALUE!</v>
      </c>
      <c r="P85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58" spans="1:16" hidden="1" x14ac:dyDescent="0.25">
      <c r="A858" s="2">
        <v>45220</v>
      </c>
      <c r="B858" s="1">
        <v>0.4284722222222222</v>
      </c>
      <c r="C858" t="s">
        <v>1317</v>
      </c>
      <c r="D858">
        <v>26</v>
      </c>
      <c r="E858" t="s">
        <v>1305</v>
      </c>
      <c r="F858" t="str">
        <f>_xlfn.XLOOKUP(Logs_Reseau6[[#This Row],[Cell_ID]],Registre[ID_Antenne],Registre[Province_RDC],"Non Trouvée")</f>
        <v>Non Trouvée</v>
      </c>
      <c r="G858" t="str">
        <f>_xlfn.XLOOKUP(Logs_Reseau6[[#This Row],[Province]],Clients_Churn[Province_Client],Clients_Churn[ID_Client],"Aucun")</f>
        <v>Aucun</v>
      </c>
      <c r="H858" t="str">
        <f>_xlfn.XLOOKUP(Logs_Reseau6[[#This Row],[Cell_ID]],Registre[ID_Antenne],Registre[Technologie],"Rien à signaler")</f>
        <v>Rien à signaler</v>
      </c>
      <c r="I858" t="str">
        <f>_xlfn.XLOOKUP(Logs_Reseau6[[#This Row],[Cell_ID]],Registre[ID_Antenne],Registre[Equipementier],"Non Trouvée")</f>
        <v>Non Trouvée</v>
      </c>
      <c r="J858" t="str">
        <f>_xlfn.XLOOKUP(Logs_Reseau6[[#This Row],[Id_Client]],Clients_Churn[ID_Client],Clients_Churn[Type_Forfait],"Pas d'information")</f>
        <v>Pas d'information</v>
      </c>
      <c r="K858" s="5" t="str">
        <f>IF(Logs_Reseau6[[#This Row],[Type_Forfait]]="Pro Monde","B2B","B2C")</f>
        <v>B2C</v>
      </c>
      <c r="L858" s="5" t="str">
        <f>_xlfn.XLOOKUP(Logs_Reseau6[[#This Row],[Id_Client]],Clients_Churn[ID_Client],Clients_Churn[Duree_Cumulee_Panne_Min],"Non Trouvée")</f>
        <v>Non Trouvée</v>
      </c>
      <c r="M858" s="5" t="str">
        <f>_xlfn.XLOOKUP(Logs_Reseau6[[#This Row],[Id_Client]],Clients_Churn[ID_Client],Clients_Churn[Anciennete_Mois],"Rien à signaler")</f>
        <v>Rien à signaler</v>
      </c>
      <c r="N858" s="5" t="e">
        <f>Logs_Reseau6[[#This Row],[Anciennette]]/24</f>
        <v>#VALUE!</v>
      </c>
      <c r="O858" s="5" t="e">
        <f>Logs_Reseau6[[#This Row],[Duree_Cumulée_Panne]]/1440</f>
        <v>#VALUE!</v>
      </c>
      <c r="P85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59" spans="1:16" hidden="1" x14ac:dyDescent="0.25">
      <c r="A859" s="2">
        <v>45222</v>
      </c>
      <c r="B859" s="1">
        <v>0.47847222222222224</v>
      </c>
      <c r="C859" t="s">
        <v>1317</v>
      </c>
      <c r="D859">
        <v>72</v>
      </c>
      <c r="E859" t="s">
        <v>1303</v>
      </c>
      <c r="F859" t="str">
        <f>_xlfn.XLOOKUP(Logs_Reseau6[[#This Row],[Cell_ID]],Registre[ID_Antenne],Registre[Province_RDC],"Non Trouvée")</f>
        <v>Non Trouvée</v>
      </c>
      <c r="G859" t="str">
        <f>_xlfn.XLOOKUP(Logs_Reseau6[[#This Row],[Province]],Clients_Churn[Province_Client],Clients_Churn[ID_Client],"Aucun")</f>
        <v>Aucun</v>
      </c>
      <c r="H859" t="str">
        <f>_xlfn.XLOOKUP(Logs_Reseau6[[#This Row],[Cell_ID]],Registre[ID_Antenne],Registre[Technologie],"Rien à signaler")</f>
        <v>Rien à signaler</v>
      </c>
      <c r="I859" t="str">
        <f>_xlfn.XLOOKUP(Logs_Reseau6[[#This Row],[Cell_ID]],Registre[ID_Antenne],Registre[Equipementier],"Non Trouvée")</f>
        <v>Non Trouvée</v>
      </c>
      <c r="J859" t="str">
        <f>_xlfn.XLOOKUP(Logs_Reseau6[[#This Row],[Id_Client]],Clients_Churn[ID_Client],Clients_Churn[Type_Forfait],"Pas d'information")</f>
        <v>Pas d'information</v>
      </c>
      <c r="K859" s="5" t="str">
        <f>IF(Logs_Reseau6[[#This Row],[Type_Forfait]]="Pro Monde","B2B","B2C")</f>
        <v>B2C</v>
      </c>
      <c r="L859" s="5" t="str">
        <f>_xlfn.XLOOKUP(Logs_Reseau6[[#This Row],[Id_Client]],Clients_Churn[ID_Client],Clients_Churn[Duree_Cumulee_Panne_Min],"Non Trouvée")</f>
        <v>Non Trouvée</v>
      </c>
      <c r="M859" s="5" t="str">
        <f>_xlfn.XLOOKUP(Logs_Reseau6[[#This Row],[Id_Client]],Clients_Churn[ID_Client],Clients_Churn[Anciennete_Mois],"Rien à signaler")</f>
        <v>Rien à signaler</v>
      </c>
      <c r="N859" s="5" t="e">
        <f>Logs_Reseau6[[#This Row],[Anciennette]]/24</f>
        <v>#VALUE!</v>
      </c>
      <c r="O859" s="5" t="e">
        <f>Logs_Reseau6[[#This Row],[Duree_Cumulée_Panne]]/1440</f>
        <v>#VALUE!</v>
      </c>
      <c r="P85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60" spans="1:16" hidden="1" x14ac:dyDescent="0.25">
      <c r="A860" s="2">
        <v>45227</v>
      </c>
      <c r="B860" s="1">
        <v>0.3298611111111111</v>
      </c>
      <c r="C860" t="s">
        <v>1317</v>
      </c>
      <c r="D860">
        <v>81</v>
      </c>
      <c r="E860" t="s">
        <v>1303</v>
      </c>
      <c r="F860" t="str">
        <f>_xlfn.XLOOKUP(Logs_Reseau6[[#This Row],[Cell_ID]],Registre[ID_Antenne],Registre[Province_RDC],"Non Trouvée")</f>
        <v>Non Trouvée</v>
      </c>
      <c r="G860" t="str">
        <f>_xlfn.XLOOKUP(Logs_Reseau6[[#This Row],[Province]],Clients_Churn[Province_Client],Clients_Churn[ID_Client],"Aucun")</f>
        <v>Aucun</v>
      </c>
      <c r="H860" t="str">
        <f>_xlfn.XLOOKUP(Logs_Reseau6[[#This Row],[Cell_ID]],Registre[ID_Antenne],Registre[Technologie],"Rien à signaler")</f>
        <v>Rien à signaler</v>
      </c>
      <c r="I860" t="str">
        <f>_xlfn.XLOOKUP(Logs_Reseau6[[#This Row],[Cell_ID]],Registre[ID_Antenne],Registre[Equipementier],"Non Trouvée")</f>
        <v>Non Trouvée</v>
      </c>
      <c r="J860" t="str">
        <f>_xlfn.XLOOKUP(Logs_Reseau6[[#This Row],[Id_Client]],Clients_Churn[ID_Client],Clients_Churn[Type_Forfait],"Pas d'information")</f>
        <v>Pas d'information</v>
      </c>
      <c r="K860" s="5" t="str">
        <f>IF(Logs_Reseau6[[#This Row],[Type_Forfait]]="Pro Monde","B2B","B2C")</f>
        <v>B2C</v>
      </c>
      <c r="L860" s="5" t="str">
        <f>_xlfn.XLOOKUP(Logs_Reseau6[[#This Row],[Id_Client]],Clients_Churn[ID_Client],Clients_Churn[Duree_Cumulee_Panne_Min],"Non Trouvée")</f>
        <v>Non Trouvée</v>
      </c>
      <c r="M860" s="5" t="str">
        <f>_xlfn.XLOOKUP(Logs_Reseau6[[#This Row],[Id_Client]],Clients_Churn[ID_Client],Clients_Churn[Anciennete_Mois],"Rien à signaler")</f>
        <v>Rien à signaler</v>
      </c>
      <c r="N860" s="5" t="e">
        <f>Logs_Reseau6[[#This Row],[Anciennette]]/24</f>
        <v>#VALUE!</v>
      </c>
      <c r="O860" s="5" t="e">
        <f>Logs_Reseau6[[#This Row],[Duree_Cumulée_Panne]]/1440</f>
        <v>#VALUE!</v>
      </c>
      <c r="P86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61" spans="1:16" hidden="1" x14ac:dyDescent="0.25">
      <c r="A861" s="2">
        <v>45209</v>
      </c>
      <c r="B861" s="1">
        <v>0.58194444444444449</v>
      </c>
      <c r="C861" t="s">
        <v>1531</v>
      </c>
      <c r="D861">
        <v>93</v>
      </c>
      <c r="E861" t="s">
        <v>1303</v>
      </c>
      <c r="F861" t="str">
        <f>_xlfn.XLOOKUP(Logs_Reseau6[[#This Row],[Cell_ID]],Registre[ID_Antenne],Registre[Province_RDC],"Non Trouvée")</f>
        <v>Non Trouvée</v>
      </c>
      <c r="G861" t="str">
        <f>_xlfn.XLOOKUP(Logs_Reseau6[[#This Row],[Province]],Clients_Churn[Province_Client],Clients_Churn[ID_Client],"Aucun")</f>
        <v>Aucun</v>
      </c>
      <c r="H861" t="str">
        <f>_xlfn.XLOOKUP(Logs_Reseau6[[#This Row],[Cell_ID]],Registre[ID_Antenne],Registre[Technologie],"Rien à signaler")</f>
        <v>Rien à signaler</v>
      </c>
      <c r="I861" t="str">
        <f>_xlfn.XLOOKUP(Logs_Reseau6[[#This Row],[Cell_ID]],Registre[ID_Antenne],Registre[Equipementier],"Non Trouvée")</f>
        <v>Non Trouvée</v>
      </c>
      <c r="J861" t="str">
        <f>_xlfn.XLOOKUP(Logs_Reseau6[[#This Row],[Id_Client]],Clients_Churn[ID_Client],Clients_Churn[Type_Forfait],"Pas d'information")</f>
        <v>Pas d'information</v>
      </c>
      <c r="K861" s="5" t="str">
        <f>IF(Logs_Reseau6[[#This Row],[Type_Forfait]]="Pro Monde","B2B","B2C")</f>
        <v>B2C</v>
      </c>
      <c r="L861" s="5" t="str">
        <f>_xlfn.XLOOKUP(Logs_Reseau6[[#This Row],[Id_Client]],Clients_Churn[ID_Client],Clients_Churn[Duree_Cumulee_Panne_Min],"Non Trouvée")</f>
        <v>Non Trouvée</v>
      </c>
      <c r="M861" s="5" t="str">
        <f>_xlfn.XLOOKUP(Logs_Reseau6[[#This Row],[Id_Client]],Clients_Churn[ID_Client],Clients_Churn[Anciennete_Mois],"Rien à signaler")</f>
        <v>Rien à signaler</v>
      </c>
      <c r="N861" s="5" t="e">
        <f>Logs_Reseau6[[#This Row],[Anciennette]]/24</f>
        <v>#VALUE!</v>
      </c>
      <c r="O861" s="5" t="e">
        <f>Logs_Reseau6[[#This Row],[Duree_Cumulée_Panne]]/1440</f>
        <v>#VALUE!</v>
      </c>
      <c r="P86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62" spans="1:16" hidden="1" x14ac:dyDescent="0.25">
      <c r="A862" s="2">
        <v>45201</v>
      </c>
      <c r="B862" s="1">
        <v>0.45763888888888887</v>
      </c>
      <c r="C862" t="s">
        <v>1458</v>
      </c>
      <c r="D862">
        <v>42</v>
      </c>
      <c r="E862" t="s">
        <v>1305</v>
      </c>
      <c r="F862" t="str">
        <f>_xlfn.XLOOKUP(Logs_Reseau6[[#This Row],[Cell_ID]],Registre[ID_Antenne],Registre[Province_RDC],"Non Trouvée")</f>
        <v>Non Trouvée</v>
      </c>
      <c r="G862" t="str">
        <f>_xlfn.XLOOKUP(Logs_Reseau6[[#This Row],[Province]],Clients_Churn[Province_Client],Clients_Churn[ID_Client],"Aucun")</f>
        <v>Aucun</v>
      </c>
      <c r="H862" t="str">
        <f>_xlfn.XLOOKUP(Logs_Reseau6[[#This Row],[Cell_ID]],Registre[ID_Antenne],Registre[Technologie],"Rien à signaler")</f>
        <v>Rien à signaler</v>
      </c>
      <c r="I862" t="str">
        <f>_xlfn.XLOOKUP(Logs_Reseau6[[#This Row],[Cell_ID]],Registre[ID_Antenne],Registre[Equipementier],"Non Trouvée")</f>
        <v>Non Trouvée</v>
      </c>
      <c r="J862" t="str">
        <f>_xlfn.XLOOKUP(Logs_Reseau6[[#This Row],[Id_Client]],Clients_Churn[ID_Client],Clients_Churn[Type_Forfait],"Pas d'information")</f>
        <v>Pas d'information</v>
      </c>
      <c r="K862" s="5" t="str">
        <f>IF(Logs_Reseau6[[#This Row],[Type_Forfait]]="Pro Monde","B2B","B2C")</f>
        <v>B2C</v>
      </c>
      <c r="L862" s="5" t="str">
        <f>_xlfn.XLOOKUP(Logs_Reseau6[[#This Row],[Id_Client]],Clients_Churn[ID_Client],Clients_Churn[Duree_Cumulee_Panne_Min],"Non Trouvée")</f>
        <v>Non Trouvée</v>
      </c>
      <c r="M862" s="5" t="str">
        <f>_xlfn.XLOOKUP(Logs_Reseau6[[#This Row],[Id_Client]],Clients_Churn[ID_Client],Clients_Churn[Anciennete_Mois],"Rien à signaler")</f>
        <v>Rien à signaler</v>
      </c>
      <c r="N862" s="5" t="e">
        <f>Logs_Reseau6[[#This Row],[Anciennette]]/24</f>
        <v>#VALUE!</v>
      </c>
      <c r="O862" s="5" t="e">
        <f>Logs_Reseau6[[#This Row],[Duree_Cumulée_Panne]]/1440</f>
        <v>#VALUE!</v>
      </c>
      <c r="P86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63" spans="1:16" hidden="1" x14ac:dyDescent="0.25">
      <c r="A863" s="2">
        <v>45204</v>
      </c>
      <c r="B863" s="1">
        <v>0.84652777777777777</v>
      </c>
      <c r="C863" t="s">
        <v>1544</v>
      </c>
      <c r="D863">
        <v>16</v>
      </c>
      <c r="E863" t="s">
        <v>1305</v>
      </c>
      <c r="F863" t="str">
        <f>_xlfn.XLOOKUP(Logs_Reseau6[[#This Row],[Cell_ID]],Registre[ID_Antenne],Registre[Province_RDC],"Non Trouvée")</f>
        <v>Non Trouvée</v>
      </c>
      <c r="G863" t="str">
        <f>_xlfn.XLOOKUP(Logs_Reseau6[[#This Row],[Province]],Clients_Churn[Province_Client],Clients_Churn[ID_Client],"Aucun")</f>
        <v>Aucun</v>
      </c>
      <c r="H863" t="str">
        <f>_xlfn.XLOOKUP(Logs_Reseau6[[#This Row],[Cell_ID]],Registre[ID_Antenne],Registre[Technologie],"Rien à signaler")</f>
        <v>Rien à signaler</v>
      </c>
      <c r="I863" t="str">
        <f>_xlfn.XLOOKUP(Logs_Reseau6[[#This Row],[Cell_ID]],Registre[ID_Antenne],Registre[Equipementier],"Non Trouvée")</f>
        <v>Non Trouvée</v>
      </c>
      <c r="J863" t="str">
        <f>_xlfn.XLOOKUP(Logs_Reseau6[[#This Row],[Id_Client]],Clients_Churn[ID_Client],Clients_Churn[Type_Forfait],"Pas d'information")</f>
        <v>Pas d'information</v>
      </c>
      <c r="K863" s="5" t="str">
        <f>IF(Logs_Reseau6[[#This Row],[Type_Forfait]]="Pro Monde","B2B","B2C")</f>
        <v>B2C</v>
      </c>
      <c r="L863" s="5" t="str">
        <f>_xlfn.XLOOKUP(Logs_Reseau6[[#This Row],[Id_Client]],Clients_Churn[ID_Client],Clients_Churn[Duree_Cumulee_Panne_Min],"Non Trouvée")</f>
        <v>Non Trouvée</v>
      </c>
      <c r="M863" s="5" t="str">
        <f>_xlfn.XLOOKUP(Logs_Reseau6[[#This Row],[Id_Client]],Clients_Churn[ID_Client],Clients_Churn[Anciennete_Mois],"Rien à signaler")</f>
        <v>Rien à signaler</v>
      </c>
      <c r="N863" s="5" t="e">
        <f>Logs_Reseau6[[#This Row],[Anciennette]]/24</f>
        <v>#VALUE!</v>
      </c>
      <c r="O863" s="5" t="e">
        <f>Logs_Reseau6[[#This Row],[Duree_Cumulée_Panne]]/1440</f>
        <v>#VALUE!</v>
      </c>
      <c r="P86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64" spans="1:16" hidden="1" x14ac:dyDescent="0.25">
      <c r="A864" s="2">
        <v>45221</v>
      </c>
      <c r="B864" s="1">
        <v>0.33958333333333335</v>
      </c>
      <c r="C864" t="s">
        <v>1544</v>
      </c>
      <c r="D864">
        <v>97</v>
      </c>
      <c r="E864" t="s">
        <v>1303</v>
      </c>
      <c r="F864" t="str">
        <f>_xlfn.XLOOKUP(Logs_Reseau6[[#This Row],[Cell_ID]],Registre[ID_Antenne],Registre[Province_RDC],"Non Trouvée")</f>
        <v>Non Trouvée</v>
      </c>
      <c r="G864" t="str">
        <f>_xlfn.XLOOKUP(Logs_Reseau6[[#This Row],[Province]],Clients_Churn[Province_Client],Clients_Churn[ID_Client],"Aucun")</f>
        <v>Aucun</v>
      </c>
      <c r="H864" t="str">
        <f>_xlfn.XLOOKUP(Logs_Reseau6[[#This Row],[Cell_ID]],Registre[ID_Antenne],Registre[Technologie],"Rien à signaler")</f>
        <v>Rien à signaler</v>
      </c>
      <c r="I864" t="str">
        <f>_xlfn.XLOOKUP(Logs_Reseau6[[#This Row],[Cell_ID]],Registre[ID_Antenne],Registre[Equipementier],"Non Trouvée")</f>
        <v>Non Trouvée</v>
      </c>
      <c r="J864" t="str">
        <f>_xlfn.XLOOKUP(Logs_Reseau6[[#This Row],[Id_Client]],Clients_Churn[ID_Client],Clients_Churn[Type_Forfait],"Pas d'information")</f>
        <v>Pas d'information</v>
      </c>
      <c r="K864" s="5" t="str">
        <f>IF(Logs_Reseau6[[#This Row],[Type_Forfait]]="Pro Monde","B2B","B2C")</f>
        <v>B2C</v>
      </c>
      <c r="L864" s="5" t="str">
        <f>_xlfn.XLOOKUP(Logs_Reseau6[[#This Row],[Id_Client]],Clients_Churn[ID_Client],Clients_Churn[Duree_Cumulee_Panne_Min],"Non Trouvée")</f>
        <v>Non Trouvée</v>
      </c>
      <c r="M864" s="5" t="str">
        <f>_xlfn.XLOOKUP(Logs_Reseau6[[#This Row],[Id_Client]],Clients_Churn[ID_Client],Clients_Churn[Anciennete_Mois],"Rien à signaler")</f>
        <v>Rien à signaler</v>
      </c>
      <c r="N864" s="5" t="e">
        <f>Logs_Reseau6[[#This Row],[Anciennette]]/24</f>
        <v>#VALUE!</v>
      </c>
      <c r="O864" s="5" t="e">
        <f>Logs_Reseau6[[#This Row],[Duree_Cumulée_Panne]]/1440</f>
        <v>#VALUE!</v>
      </c>
      <c r="P86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65" spans="1:16" x14ac:dyDescent="0.25">
      <c r="A865" s="2">
        <v>45220</v>
      </c>
      <c r="B865" s="1">
        <v>0.11041666666666666</v>
      </c>
      <c r="C865" t="s">
        <v>1240</v>
      </c>
      <c r="D865">
        <v>111</v>
      </c>
      <c r="E865" t="s">
        <v>1305</v>
      </c>
      <c r="F865" t="str">
        <f>_xlfn.XLOOKUP(Logs_Reseau6[[#This Row],[Cell_ID]],Registre[ID_Antenne],Registre[Province_RDC],"Non Trouvée")</f>
        <v>Ituri</v>
      </c>
      <c r="G865" t="str">
        <f>_xlfn.XLOOKUP(Logs_Reseau6[[#This Row],[Province]],Clients_Churn[Province_Client],Clients_Churn[ID_Client],"Aucun")</f>
        <v>CLI-00041</v>
      </c>
      <c r="H865" t="str">
        <f>_xlfn.XLOOKUP(Logs_Reseau6[[#This Row],[Cell_ID]],Registre[ID_Antenne],Registre[Technologie],"Rien à signaler")</f>
        <v>3G</v>
      </c>
      <c r="I865" t="str">
        <f>_xlfn.XLOOKUP(Logs_Reseau6[[#This Row],[Cell_ID]],Registre[ID_Antenne],Registre[Equipementier],"Non Trouvée")</f>
        <v>Nokia</v>
      </c>
      <c r="J865" t="str">
        <f>_xlfn.XLOOKUP(Logs_Reseau6[[#This Row],[Id_Client]],Clients_Churn[ID_Client],Clients_Churn[Type_Forfait],"Pas d'information")</f>
        <v>Pro Monde</v>
      </c>
      <c r="K865" s="5" t="str">
        <f>IF(Logs_Reseau6[[#This Row],[Type_Forfait]]="Pro Monde","B2B","B2C")</f>
        <v>B2B</v>
      </c>
      <c r="L865" s="5">
        <f>_xlfn.XLOOKUP(Logs_Reseau6[[#This Row],[Id_Client]],Clients_Churn[ID_Client],Clients_Churn[Duree_Cumulee_Panne_Min],"Non Trouvée")</f>
        <v>105</v>
      </c>
      <c r="M865" s="5">
        <f>_xlfn.XLOOKUP(Logs_Reseau6[[#This Row],[Id_Client]],Clients_Churn[ID_Client],Clients_Churn[Anciennete_Mois],"Rien à signaler")</f>
        <v>103</v>
      </c>
      <c r="N865" s="11">
        <f>Logs_Reseau6[[#This Row],[Anciennette]]/24</f>
        <v>4.291666666666667</v>
      </c>
      <c r="O865" s="1">
        <f>Logs_Reseau6[[#This Row],[Duree_Cumulée_Panne]]/1440</f>
        <v>7.2916666666666671E-2</v>
      </c>
      <c r="P86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66" spans="1:16" x14ac:dyDescent="0.25">
      <c r="A866" s="2">
        <v>45228</v>
      </c>
      <c r="B866" s="1">
        <v>0.88055555555555554</v>
      </c>
      <c r="C866" t="s">
        <v>1240</v>
      </c>
      <c r="D866">
        <v>112</v>
      </c>
      <c r="E866" t="s">
        <v>1305</v>
      </c>
      <c r="F866" t="str">
        <f>_xlfn.XLOOKUP(Logs_Reseau6[[#This Row],[Cell_ID]],Registre[ID_Antenne],Registre[Province_RDC],"Non Trouvée")</f>
        <v>Ituri</v>
      </c>
      <c r="G866" t="str">
        <f>_xlfn.XLOOKUP(Logs_Reseau6[[#This Row],[Province]],Clients_Churn[Province_Client],Clients_Churn[ID_Client],"Aucun")</f>
        <v>CLI-00041</v>
      </c>
      <c r="H866" t="str">
        <f>_xlfn.XLOOKUP(Logs_Reseau6[[#This Row],[Cell_ID]],Registre[ID_Antenne],Registre[Technologie],"Rien à signaler")</f>
        <v>3G</v>
      </c>
      <c r="I866" t="str">
        <f>_xlfn.XLOOKUP(Logs_Reseau6[[#This Row],[Cell_ID]],Registre[ID_Antenne],Registre[Equipementier],"Non Trouvée")</f>
        <v>Nokia</v>
      </c>
      <c r="J866" t="str">
        <f>_xlfn.XLOOKUP(Logs_Reseau6[[#This Row],[Id_Client]],Clients_Churn[ID_Client],Clients_Churn[Type_Forfait],"Pas d'information")</f>
        <v>Pro Monde</v>
      </c>
      <c r="K866" s="5" t="str">
        <f>IF(Logs_Reseau6[[#This Row],[Type_Forfait]]="Pro Monde","B2B","B2C")</f>
        <v>B2B</v>
      </c>
      <c r="L866" s="5">
        <f>_xlfn.XLOOKUP(Logs_Reseau6[[#This Row],[Id_Client]],Clients_Churn[ID_Client],Clients_Churn[Duree_Cumulee_Panne_Min],"Non Trouvée")</f>
        <v>105</v>
      </c>
      <c r="M866" s="5">
        <f>_xlfn.XLOOKUP(Logs_Reseau6[[#This Row],[Id_Client]],Clients_Churn[ID_Client],Clients_Churn[Anciennete_Mois],"Rien à signaler")</f>
        <v>103</v>
      </c>
      <c r="N866" s="11">
        <f>Logs_Reseau6[[#This Row],[Anciennette]]/24</f>
        <v>4.291666666666667</v>
      </c>
      <c r="O866" s="1">
        <f>Logs_Reseau6[[#This Row],[Duree_Cumulée_Panne]]/1440</f>
        <v>7.2916666666666671E-2</v>
      </c>
      <c r="P86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67" spans="1:16" hidden="1" x14ac:dyDescent="0.25">
      <c r="A867" s="2">
        <v>45213</v>
      </c>
      <c r="B867" s="1">
        <v>0.32847222222222222</v>
      </c>
      <c r="C867" t="s">
        <v>1517</v>
      </c>
      <c r="D867">
        <v>22</v>
      </c>
      <c r="E867" t="s">
        <v>1305</v>
      </c>
      <c r="F867" t="str">
        <f>_xlfn.XLOOKUP(Logs_Reseau6[[#This Row],[Cell_ID]],Registre[ID_Antenne],Registre[Province_RDC],"Non Trouvée")</f>
        <v>Non Trouvée</v>
      </c>
      <c r="G867" t="str">
        <f>_xlfn.XLOOKUP(Logs_Reseau6[[#This Row],[Province]],Clients_Churn[Province_Client],Clients_Churn[ID_Client],"Aucun")</f>
        <v>Aucun</v>
      </c>
      <c r="H867" t="str">
        <f>_xlfn.XLOOKUP(Logs_Reseau6[[#This Row],[Cell_ID]],Registre[ID_Antenne],Registre[Technologie],"Rien à signaler")</f>
        <v>Rien à signaler</v>
      </c>
      <c r="I867" t="str">
        <f>_xlfn.XLOOKUP(Logs_Reseau6[[#This Row],[Cell_ID]],Registre[ID_Antenne],Registre[Equipementier],"Non Trouvée")</f>
        <v>Non Trouvée</v>
      </c>
      <c r="J867" t="str">
        <f>_xlfn.XLOOKUP(Logs_Reseau6[[#This Row],[Id_Client]],Clients_Churn[ID_Client],Clients_Churn[Type_Forfait],"Pas d'information")</f>
        <v>Pas d'information</v>
      </c>
      <c r="K867" s="5" t="str">
        <f>IF(Logs_Reseau6[[#This Row],[Type_Forfait]]="Pro Monde","B2B","B2C")</f>
        <v>B2C</v>
      </c>
      <c r="L867" s="5" t="str">
        <f>_xlfn.XLOOKUP(Logs_Reseau6[[#This Row],[Id_Client]],Clients_Churn[ID_Client],Clients_Churn[Duree_Cumulee_Panne_Min],"Non Trouvée")</f>
        <v>Non Trouvée</v>
      </c>
      <c r="M867" s="5" t="str">
        <f>_xlfn.XLOOKUP(Logs_Reseau6[[#This Row],[Id_Client]],Clients_Churn[ID_Client],Clients_Churn[Anciennete_Mois],"Rien à signaler")</f>
        <v>Rien à signaler</v>
      </c>
      <c r="N867" s="5" t="e">
        <f>Logs_Reseau6[[#This Row],[Anciennette]]/24</f>
        <v>#VALUE!</v>
      </c>
      <c r="O867" s="5" t="e">
        <f>Logs_Reseau6[[#This Row],[Duree_Cumulée_Panne]]/1440</f>
        <v>#VALUE!</v>
      </c>
      <c r="P86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68" spans="1:16" hidden="1" x14ac:dyDescent="0.25">
      <c r="A868" s="2">
        <v>45210</v>
      </c>
      <c r="B868" s="1">
        <v>5.4166666666666669E-2</v>
      </c>
      <c r="C868" t="s">
        <v>1412</v>
      </c>
      <c r="D868">
        <v>68</v>
      </c>
      <c r="E868" t="s">
        <v>1305</v>
      </c>
      <c r="F868" t="str">
        <f>_xlfn.XLOOKUP(Logs_Reseau6[[#This Row],[Cell_ID]],Registre[ID_Antenne],Registre[Province_RDC],"Non Trouvée")</f>
        <v>Non Trouvée</v>
      </c>
      <c r="G868" t="str">
        <f>_xlfn.XLOOKUP(Logs_Reseau6[[#This Row],[Province]],Clients_Churn[Province_Client],Clients_Churn[ID_Client],"Aucun")</f>
        <v>Aucun</v>
      </c>
      <c r="H868" t="str">
        <f>_xlfn.XLOOKUP(Logs_Reseau6[[#This Row],[Cell_ID]],Registre[ID_Antenne],Registre[Technologie],"Rien à signaler")</f>
        <v>Rien à signaler</v>
      </c>
      <c r="I868" t="str">
        <f>_xlfn.XLOOKUP(Logs_Reseau6[[#This Row],[Cell_ID]],Registre[ID_Antenne],Registre[Equipementier],"Non Trouvée")</f>
        <v>Non Trouvée</v>
      </c>
      <c r="J868" t="str">
        <f>_xlfn.XLOOKUP(Logs_Reseau6[[#This Row],[Id_Client]],Clients_Churn[ID_Client],Clients_Churn[Type_Forfait],"Pas d'information")</f>
        <v>Pas d'information</v>
      </c>
      <c r="K868" s="5" t="str">
        <f>IF(Logs_Reseau6[[#This Row],[Type_Forfait]]="Pro Monde","B2B","B2C")</f>
        <v>B2C</v>
      </c>
      <c r="L868" s="5" t="str">
        <f>_xlfn.XLOOKUP(Logs_Reseau6[[#This Row],[Id_Client]],Clients_Churn[ID_Client],Clients_Churn[Duree_Cumulee_Panne_Min],"Non Trouvée")</f>
        <v>Non Trouvée</v>
      </c>
      <c r="M868" s="5" t="str">
        <f>_xlfn.XLOOKUP(Logs_Reseau6[[#This Row],[Id_Client]],Clients_Churn[ID_Client],Clients_Churn[Anciennete_Mois],"Rien à signaler")</f>
        <v>Rien à signaler</v>
      </c>
      <c r="N868" s="5" t="e">
        <f>Logs_Reseau6[[#This Row],[Anciennette]]/24</f>
        <v>#VALUE!</v>
      </c>
      <c r="O868" s="5" t="e">
        <f>Logs_Reseau6[[#This Row],[Duree_Cumulée_Panne]]/1440</f>
        <v>#VALUE!</v>
      </c>
      <c r="P86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69" spans="1:16" hidden="1" x14ac:dyDescent="0.25">
      <c r="A869" s="2">
        <v>45227</v>
      </c>
      <c r="B869" s="1">
        <v>0.83958333333333335</v>
      </c>
      <c r="C869" t="s">
        <v>1403</v>
      </c>
      <c r="D869">
        <v>94</v>
      </c>
      <c r="E869" t="s">
        <v>1305</v>
      </c>
      <c r="F869" t="str">
        <f>_xlfn.XLOOKUP(Logs_Reseau6[[#This Row],[Cell_ID]],Registre[ID_Antenne],Registre[Province_RDC],"Non Trouvée")</f>
        <v>Non Trouvée</v>
      </c>
      <c r="G869" t="str">
        <f>_xlfn.XLOOKUP(Logs_Reseau6[[#This Row],[Province]],Clients_Churn[Province_Client],Clients_Churn[ID_Client],"Aucun")</f>
        <v>Aucun</v>
      </c>
      <c r="H869" t="str">
        <f>_xlfn.XLOOKUP(Logs_Reseau6[[#This Row],[Cell_ID]],Registre[ID_Antenne],Registre[Technologie],"Rien à signaler")</f>
        <v>Rien à signaler</v>
      </c>
      <c r="I869" t="str">
        <f>_xlfn.XLOOKUP(Logs_Reseau6[[#This Row],[Cell_ID]],Registre[ID_Antenne],Registre[Equipementier],"Non Trouvée")</f>
        <v>Non Trouvée</v>
      </c>
      <c r="J869" t="str">
        <f>_xlfn.XLOOKUP(Logs_Reseau6[[#This Row],[Id_Client]],Clients_Churn[ID_Client],Clients_Churn[Type_Forfait],"Pas d'information")</f>
        <v>Pas d'information</v>
      </c>
      <c r="K869" s="5" t="str">
        <f>IF(Logs_Reseau6[[#This Row],[Type_Forfait]]="Pro Monde","B2B","B2C")</f>
        <v>B2C</v>
      </c>
      <c r="L869" s="5" t="str">
        <f>_xlfn.XLOOKUP(Logs_Reseau6[[#This Row],[Id_Client]],Clients_Churn[ID_Client],Clients_Churn[Duree_Cumulee_Panne_Min],"Non Trouvée")</f>
        <v>Non Trouvée</v>
      </c>
      <c r="M869" s="5" t="str">
        <f>_xlfn.XLOOKUP(Logs_Reseau6[[#This Row],[Id_Client]],Clients_Churn[ID_Client],Clients_Churn[Anciennete_Mois],"Rien à signaler")</f>
        <v>Rien à signaler</v>
      </c>
      <c r="N869" s="5" t="e">
        <f>Logs_Reseau6[[#This Row],[Anciennette]]/24</f>
        <v>#VALUE!</v>
      </c>
      <c r="O869" s="5" t="e">
        <f>Logs_Reseau6[[#This Row],[Duree_Cumulée_Panne]]/1440</f>
        <v>#VALUE!</v>
      </c>
      <c r="P86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70" spans="1:16" x14ac:dyDescent="0.25">
      <c r="A870" s="2">
        <v>45200</v>
      </c>
      <c r="B870" s="1">
        <v>0.67083333333333328</v>
      </c>
      <c r="C870" t="s">
        <v>1171</v>
      </c>
      <c r="D870">
        <v>74</v>
      </c>
      <c r="E870" t="s">
        <v>1305</v>
      </c>
      <c r="F870" t="str">
        <f>_xlfn.XLOOKUP(Logs_Reseau6[[#This Row],[Cell_ID]],Registre[ID_Antenne],Registre[Province_RDC],"Non Trouvée")</f>
        <v>Ituri</v>
      </c>
      <c r="G870" t="str">
        <f>_xlfn.XLOOKUP(Logs_Reseau6[[#This Row],[Province]],Clients_Churn[Province_Client],Clients_Churn[ID_Client],"Aucun")</f>
        <v>CLI-00041</v>
      </c>
      <c r="H870" t="str">
        <f>_xlfn.XLOOKUP(Logs_Reseau6[[#This Row],[Cell_ID]],Registre[ID_Antenne],Registre[Technologie],"Rien à signaler")</f>
        <v>4G</v>
      </c>
      <c r="I870" t="str">
        <f>_xlfn.XLOOKUP(Logs_Reseau6[[#This Row],[Cell_ID]],Registre[ID_Antenne],Registre[Equipementier],"Non Trouvée")</f>
        <v>ZTE</v>
      </c>
      <c r="J870" t="str">
        <f>_xlfn.XLOOKUP(Logs_Reseau6[[#This Row],[Id_Client]],Clients_Churn[ID_Client],Clients_Churn[Type_Forfait],"Pas d'information")</f>
        <v>Pro Monde</v>
      </c>
      <c r="K870" s="5" t="str">
        <f>IF(Logs_Reseau6[[#This Row],[Type_Forfait]]="Pro Monde","B2B","B2C")</f>
        <v>B2B</v>
      </c>
      <c r="L870" s="5">
        <f>_xlfn.XLOOKUP(Logs_Reseau6[[#This Row],[Id_Client]],Clients_Churn[ID_Client],Clients_Churn[Duree_Cumulee_Panne_Min],"Non Trouvée")</f>
        <v>105</v>
      </c>
      <c r="M870" s="5">
        <f>_xlfn.XLOOKUP(Logs_Reseau6[[#This Row],[Id_Client]],Clients_Churn[ID_Client],Clients_Churn[Anciennete_Mois],"Rien à signaler")</f>
        <v>103</v>
      </c>
      <c r="N870" s="11">
        <f>Logs_Reseau6[[#This Row],[Anciennette]]/24</f>
        <v>4.291666666666667</v>
      </c>
      <c r="O870" s="1">
        <f>Logs_Reseau6[[#This Row],[Duree_Cumulée_Panne]]/1440</f>
        <v>7.2916666666666671E-2</v>
      </c>
      <c r="P87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71" spans="1:16" x14ac:dyDescent="0.25">
      <c r="A871" s="2">
        <v>45211</v>
      </c>
      <c r="B871" s="1">
        <v>0.10625</v>
      </c>
      <c r="C871" t="s">
        <v>892</v>
      </c>
      <c r="D871">
        <v>107</v>
      </c>
      <c r="E871" t="s">
        <v>1300</v>
      </c>
      <c r="F871" t="str">
        <f>_xlfn.XLOOKUP(Logs_Reseau6[[#This Row],[Cell_ID]],Registre[ID_Antenne],Registre[Province_RDC],"Non Trouvée")</f>
        <v>Kasai</v>
      </c>
      <c r="G871" t="str">
        <f>_xlfn.XLOOKUP(Logs_Reseau6[[#This Row],[Province]],Clients_Churn[Province_Client],Clients_Churn[ID_Client],"Aucun")</f>
        <v>CLI-00057</v>
      </c>
      <c r="H871" t="str">
        <f>_xlfn.XLOOKUP(Logs_Reseau6[[#This Row],[Cell_ID]],Registre[ID_Antenne],Registre[Technologie],"Rien à signaler")</f>
        <v>5G</v>
      </c>
      <c r="I871" t="str">
        <f>_xlfn.XLOOKUP(Logs_Reseau6[[#This Row],[Cell_ID]],Registre[ID_Antenne],Registre[Equipementier],"Non Trouvée")</f>
        <v>Huawei</v>
      </c>
      <c r="J871" t="str">
        <f>_xlfn.XLOOKUP(Logs_Reseau6[[#This Row],[Id_Client]],Clients_Churn[ID_Client],Clients_Churn[Type_Forfait],"Pas d'information")</f>
        <v>Bloqué 5Go</v>
      </c>
      <c r="K871" s="5" t="str">
        <f>IF(Logs_Reseau6[[#This Row],[Type_Forfait]]="Pro Monde","B2B","B2C")</f>
        <v>B2C</v>
      </c>
      <c r="L871" s="5">
        <f>_xlfn.XLOOKUP(Logs_Reseau6[[#This Row],[Id_Client]],Clients_Churn[ID_Client],Clients_Churn[Duree_Cumulee_Panne_Min],"Non Trouvée")</f>
        <v>182</v>
      </c>
      <c r="M871" s="5">
        <f>_xlfn.XLOOKUP(Logs_Reseau6[[#This Row],[Id_Client]],Clients_Churn[ID_Client],Clients_Churn[Anciennete_Mois],"Rien à signaler")</f>
        <v>4</v>
      </c>
      <c r="N871" s="11">
        <f>Logs_Reseau6[[#This Row],[Anciennette]]/24</f>
        <v>0.16666666666666666</v>
      </c>
      <c r="O871" s="1">
        <f>Logs_Reseau6[[#This Row],[Duree_Cumulée_Panne]]/1440</f>
        <v>0.12638888888888888</v>
      </c>
      <c r="P87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72" spans="1:16" x14ac:dyDescent="0.25">
      <c r="A872" s="2">
        <v>45227</v>
      </c>
      <c r="B872" s="1">
        <v>0.66041666666666665</v>
      </c>
      <c r="C872" t="s">
        <v>892</v>
      </c>
      <c r="D872">
        <v>67</v>
      </c>
      <c r="E872" t="s">
        <v>1305</v>
      </c>
      <c r="F872" t="str">
        <f>_xlfn.XLOOKUP(Logs_Reseau6[[#This Row],[Cell_ID]],Registre[ID_Antenne],Registre[Province_RDC],"Non Trouvée")</f>
        <v>Kasai</v>
      </c>
      <c r="G872" t="str">
        <f>_xlfn.XLOOKUP(Logs_Reseau6[[#This Row],[Province]],Clients_Churn[Province_Client],Clients_Churn[ID_Client],"Aucun")</f>
        <v>CLI-00057</v>
      </c>
      <c r="H872" t="str">
        <f>_xlfn.XLOOKUP(Logs_Reseau6[[#This Row],[Cell_ID]],Registre[ID_Antenne],Registre[Technologie],"Rien à signaler")</f>
        <v>5G</v>
      </c>
      <c r="I872" t="str">
        <f>_xlfn.XLOOKUP(Logs_Reseau6[[#This Row],[Cell_ID]],Registre[ID_Antenne],Registre[Equipementier],"Non Trouvée")</f>
        <v>Huawei</v>
      </c>
      <c r="J872" t="str">
        <f>_xlfn.XLOOKUP(Logs_Reseau6[[#This Row],[Id_Client]],Clients_Churn[ID_Client],Clients_Churn[Type_Forfait],"Pas d'information")</f>
        <v>Bloqué 5Go</v>
      </c>
      <c r="K872" s="5" t="str">
        <f>IF(Logs_Reseau6[[#This Row],[Type_Forfait]]="Pro Monde","B2B","B2C")</f>
        <v>B2C</v>
      </c>
      <c r="L872" s="5">
        <f>_xlfn.XLOOKUP(Logs_Reseau6[[#This Row],[Id_Client]],Clients_Churn[ID_Client],Clients_Churn[Duree_Cumulee_Panne_Min],"Non Trouvée")</f>
        <v>182</v>
      </c>
      <c r="M872" s="5">
        <f>_xlfn.XLOOKUP(Logs_Reseau6[[#This Row],[Id_Client]],Clients_Churn[ID_Client],Clients_Churn[Anciennete_Mois],"Rien à signaler")</f>
        <v>4</v>
      </c>
      <c r="N872" s="11">
        <f>Logs_Reseau6[[#This Row],[Anciennette]]/24</f>
        <v>0.16666666666666666</v>
      </c>
      <c r="O872" s="1">
        <f>Logs_Reseau6[[#This Row],[Duree_Cumulée_Panne]]/1440</f>
        <v>0.12638888888888888</v>
      </c>
      <c r="P87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73" spans="1:16" x14ac:dyDescent="0.25">
      <c r="A873" s="2">
        <v>45211</v>
      </c>
      <c r="B873" s="1">
        <v>0.23472222222222222</v>
      </c>
      <c r="C873" t="s">
        <v>932</v>
      </c>
      <c r="D873">
        <v>62</v>
      </c>
      <c r="E873" t="s">
        <v>1305</v>
      </c>
      <c r="F873" t="str">
        <f>_xlfn.XLOOKUP(Logs_Reseau6[[#This Row],[Cell_ID]],Registre[ID_Antenne],Registre[Province_RDC],"Non Trouvée")</f>
        <v>Nord-Kivu</v>
      </c>
      <c r="G873" t="str">
        <f>_xlfn.XLOOKUP(Logs_Reseau6[[#This Row],[Province]],Clients_Churn[Province_Client],Clients_Churn[ID_Client],"Aucun")</f>
        <v>CLI-00043</v>
      </c>
      <c r="H873" t="str">
        <f>_xlfn.XLOOKUP(Logs_Reseau6[[#This Row],[Cell_ID]],Registre[ID_Antenne],Registre[Technologie],"Rien à signaler")</f>
        <v>5G</v>
      </c>
      <c r="I873" t="str">
        <f>_xlfn.XLOOKUP(Logs_Reseau6[[#This Row],[Cell_ID]],Registre[ID_Antenne],Registre[Equipementier],"Non Trouvée")</f>
        <v>Nokia</v>
      </c>
      <c r="J873" t="str">
        <f>_xlfn.XLOOKUP(Logs_Reseau6[[#This Row],[Id_Client]],Clients_Churn[ID_Client],Clients_Churn[Type_Forfait],"Pas d'information")</f>
        <v>Pro Monde</v>
      </c>
      <c r="K873" s="5" t="str">
        <f>IF(Logs_Reseau6[[#This Row],[Type_Forfait]]="Pro Monde","B2B","B2C")</f>
        <v>B2B</v>
      </c>
      <c r="L873" s="5">
        <f>_xlfn.XLOOKUP(Logs_Reseau6[[#This Row],[Id_Client]],Clients_Churn[ID_Client],Clients_Churn[Duree_Cumulee_Panne_Min],"Non Trouvée")</f>
        <v>132</v>
      </c>
      <c r="M873" s="5">
        <f>_xlfn.XLOOKUP(Logs_Reseau6[[#This Row],[Id_Client]],Clients_Churn[ID_Client],Clients_Churn[Anciennete_Mois],"Rien à signaler")</f>
        <v>118</v>
      </c>
      <c r="N873" s="11">
        <f>Logs_Reseau6[[#This Row],[Anciennette]]/24</f>
        <v>4.916666666666667</v>
      </c>
      <c r="O873" s="1">
        <f>Logs_Reseau6[[#This Row],[Duree_Cumulée_Panne]]/1440</f>
        <v>9.166666666666666E-2</v>
      </c>
      <c r="P87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74" spans="1:16" x14ac:dyDescent="0.25">
      <c r="A874" s="2">
        <v>45200</v>
      </c>
      <c r="B874" s="1">
        <v>0.49305555555555558</v>
      </c>
      <c r="C874" t="s">
        <v>1231</v>
      </c>
      <c r="D874">
        <v>113</v>
      </c>
      <c r="E874" t="s">
        <v>1300</v>
      </c>
      <c r="F874" t="str">
        <f>_xlfn.XLOOKUP(Logs_Reseau6[[#This Row],[Cell_ID]],Registre[ID_Antenne],Registre[Province_RDC],"Non Trouvée")</f>
        <v>Sud-Kivu</v>
      </c>
      <c r="G874" t="str">
        <f>_xlfn.XLOOKUP(Logs_Reseau6[[#This Row],[Province]],Clients_Churn[Province_Client],Clients_Churn[ID_Client],"Aucun")</f>
        <v>CLI-00054</v>
      </c>
      <c r="H874" t="str">
        <f>_xlfn.XLOOKUP(Logs_Reseau6[[#This Row],[Cell_ID]],Registre[ID_Antenne],Registre[Technologie],"Rien à signaler")</f>
        <v>3G</v>
      </c>
      <c r="I874" t="str">
        <f>_xlfn.XLOOKUP(Logs_Reseau6[[#This Row],[Cell_ID]],Registre[ID_Antenne],Registre[Equipementier],"Non Trouvée")</f>
        <v>ZTE</v>
      </c>
      <c r="J874" t="str">
        <f>_xlfn.XLOOKUP(Logs_Reseau6[[#This Row],[Id_Client]],Clients_Churn[ID_Client],Clients_Churn[Type_Forfait],"Pas d'information")</f>
        <v>Bloqué 5Go</v>
      </c>
      <c r="K874" s="5" t="str">
        <f>IF(Logs_Reseau6[[#This Row],[Type_Forfait]]="Pro Monde","B2B","B2C")</f>
        <v>B2C</v>
      </c>
      <c r="L874" s="5">
        <f>_xlfn.XLOOKUP(Logs_Reseau6[[#This Row],[Id_Client]],Clients_Churn[ID_Client],Clients_Churn[Duree_Cumulee_Panne_Min],"Non Trouvée")</f>
        <v>40</v>
      </c>
      <c r="M874" s="5">
        <f>_xlfn.XLOOKUP(Logs_Reseau6[[#This Row],[Id_Client]],Clients_Churn[ID_Client],Clients_Churn[Anciennete_Mois],"Rien à signaler")</f>
        <v>34</v>
      </c>
      <c r="N874" s="11">
        <f>Logs_Reseau6[[#This Row],[Anciennette]]/24</f>
        <v>1.4166666666666667</v>
      </c>
      <c r="O874" s="1">
        <f>Logs_Reseau6[[#This Row],[Duree_Cumulée_Panne]]/1440</f>
        <v>2.7777777777777776E-2</v>
      </c>
      <c r="P87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75" spans="1:16" x14ac:dyDescent="0.25">
      <c r="A875" s="2">
        <v>45220</v>
      </c>
      <c r="B875" s="1">
        <v>0.46944444444444444</v>
      </c>
      <c r="C875" t="s">
        <v>1231</v>
      </c>
      <c r="D875">
        <v>17</v>
      </c>
      <c r="E875" t="s">
        <v>1303</v>
      </c>
      <c r="F875" t="str">
        <f>_xlfn.XLOOKUP(Logs_Reseau6[[#This Row],[Cell_ID]],Registre[ID_Antenne],Registre[Province_RDC],"Non Trouvée")</f>
        <v>Sud-Kivu</v>
      </c>
      <c r="G875" t="str">
        <f>_xlfn.XLOOKUP(Logs_Reseau6[[#This Row],[Province]],Clients_Churn[Province_Client],Clients_Churn[ID_Client],"Aucun")</f>
        <v>CLI-00054</v>
      </c>
      <c r="H875" t="str">
        <f>_xlfn.XLOOKUP(Logs_Reseau6[[#This Row],[Cell_ID]],Registre[ID_Antenne],Registre[Technologie],"Rien à signaler")</f>
        <v>3G</v>
      </c>
      <c r="I875" t="str">
        <f>_xlfn.XLOOKUP(Logs_Reseau6[[#This Row],[Cell_ID]],Registre[ID_Antenne],Registre[Equipementier],"Non Trouvée")</f>
        <v>ZTE</v>
      </c>
      <c r="J875" t="str">
        <f>_xlfn.XLOOKUP(Logs_Reseau6[[#This Row],[Id_Client]],Clients_Churn[ID_Client],Clients_Churn[Type_Forfait],"Pas d'information")</f>
        <v>Bloqué 5Go</v>
      </c>
      <c r="K875" s="5" t="str">
        <f>IF(Logs_Reseau6[[#This Row],[Type_Forfait]]="Pro Monde","B2B","B2C")</f>
        <v>B2C</v>
      </c>
      <c r="L875" s="5">
        <f>_xlfn.XLOOKUP(Logs_Reseau6[[#This Row],[Id_Client]],Clients_Churn[ID_Client],Clients_Churn[Duree_Cumulee_Panne_Min],"Non Trouvée")</f>
        <v>40</v>
      </c>
      <c r="M875" s="5">
        <f>_xlfn.XLOOKUP(Logs_Reseau6[[#This Row],[Id_Client]],Clients_Churn[ID_Client],Clients_Churn[Anciennete_Mois],"Rien à signaler")</f>
        <v>34</v>
      </c>
      <c r="N875" s="11">
        <f>Logs_Reseau6[[#This Row],[Anciennette]]/24</f>
        <v>1.4166666666666667</v>
      </c>
      <c r="O875" s="1">
        <f>Logs_Reseau6[[#This Row],[Duree_Cumulée_Panne]]/1440</f>
        <v>2.7777777777777776E-2</v>
      </c>
      <c r="P87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76" spans="1:16" hidden="1" x14ac:dyDescent="0.25">
      <c r="A876" s="2">
        <v>45205</v>
      </c>
      <c r="B876" s="3">
        <v>0.89166666666666672</v>
      </c>
      <c r="C876" t="s">
        <v>1511</v>
      </c>
      <c r="D876">
        <v>45</v>
      </c>
      <c r="E876" t="s">
        <v>1303</v>
      </c>
      <c r="F876" t="str">
        <f>_xlfn.XLOOKUP(Logs_Reseau6[[#This Row],[Cell_ID]],Registre[ID_Antenne],Registre[Province_RDC],"Non Trouvée")</f>
        <v>Non Trouvée</v>
      </c>
      <c r="G876" t="str">
        <f>_xlfn.XLOOKUP(Logs_Reseau6[[#This Row],[Province]],Clients_Churn[Province_Client],Clients_Churn[ID_Client],"Aucun")</f>
        <v>Aucun</v>
      </c>
      <c r="H876" t="str">
        <f>_xlfn.XLOOKUP(Logs_Reseau6[[#This Row],[Cell_ID]],Registre[ID_Antenne],Registre[Technologie],"Rien à signaler")</f>
        <v>Rien à signaler</v>
      </c>
      <c r="I876" t="str">
        <f>_xlfn.XLOOKUP(Logs_Reseau6[[#This Row],[Cell_ID]],Registre[ID_Antenne],Registre[Equipementier],"Non Trouvée")</f>
        <v>Non Trouvée</v>
      </c>
      <c r="J876" t="str">
        <f>_xlfn.XLOOKUP(Logs_Reseau6[[#This Row],[Id_Client]],Clients_Churn[ID_Client],Clients_Churn[Type_Forfait],"Pas d'information")</f>
        <v>Pas d'information</v>
      </c>
      <c r="K876" s="5" t="str">
        <f>IF(Logs_Reseau6[[#This Row],[Type_Forfait]]="Pro Monde","B2B","B2C")</f>
        <v>B2C</v>
      </c>
      <c r="L876" s="5" t="str">
        <f>_xlfn.XLOOKUP(Logs_Reseau6[[#This Row],[Id_Client]],Clients_Churn[ID_Client],Clients_Churn[Duree_Cumulee_Panne_Min],"Non Trouvée")</f>
        <v>Non Trouvée</v>
      </c>
      <c r="M876" s="5" t="str">
        <f>_xlfn.XLOOKUP(Logs_Reseau6[[#This Row],[Id_Client]],Clients_Churn[ID_Client],Clients_Churn[Anciennete_Mois],"Rien à signaler")</f>
        <v>Rien à signaler</v>
      </c>
      <c r="N876" s="5" t="e">
        <f>Logs_Reseau6[[#This Row],[Anciennette]]/24</f>
        <v>#VALUE!</v>
      </c>
      <c r="O876" s="5" t="e">
        <f>Logs_Reseau6[[#This Row],[Duree_Cumulée_Panne]]/1440</f>
        <v>#VALUE!</v>
      </c>
      <c r="P87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77" spans="1:16" hidden="1" x14ac:dyDescent="0.25">
      <c r="A877" s="2">
        <v>45207</v>
      </c>
      <c r="B877" s="1">
        <v>0.7729166666666667</v>
      </c>
      <c r="C877" t="s">
        <v>1511</v>
      </c>
      <c r="D877">
        <v>55</v>
      </c>
      <c r="E877" t="s">
        <v>1303</v>
      </c>
      <c r="F877" t="str">
        <f>_xlfn.XLOOKUP(Logs_Reseau6[[#This Row],[Cell_ID]],Registre[ID_Antenne],Registre[Province_RDC],"Non Trouvée")</f>
        <v>Non Trouvée</v>
      </c>
      <c r="G877" t="str">
        <f>_xlfn.XLOOKUP(Logs_Reseau6[[#This Row],[Province]],Clients_Churn[Province_Client],Clients_Churn[ID_Client],"Aucun")</f>
        <v>Aucun</v>
      </c>
      <c r="H877" t="str">
        <f>_xlfn.XLOOKUP(Logs_Reseau6[[#This Row],[Cell_ID]],Registre[ID_Antenne],Registre[Technologie],"Rien à signaler")</f>
        <v>Rien à signaler</v>
      </c>
      <c r="I877" t="str">
        <f>_xlfn.XLOOKUP(Logs_Reseau6[[#This Row],[Cell_ID]],Registre[ID_Antenne],Registre[Equipementier],"Non Trouvée")</f>
        <v>Non Trouvée</v>
      </c>
      <c r="J877" t="str">
        <f>_xlfn.XLOOKUP(Logs_Reseau6[[#This Row],[Id_Client]],Clients_Churn[ID_Client],Clients_Churn[Type_Forfait],"Pas d'information")</f>
        <v>Pas d'information</v>
      </c>
      <c r="K877" s="5" t="str">
        <f>IF(Logs_Reseau6[[#This Row],[Type_Forfait]]="Pro Monde","B2B","B2C")</f>
        <v>B2C</v>
      </c>
      <c r="L877" s="5" t="str">
        <f>_xlfn.XLOOKUP(Logs_Reseau6[[#This Row],[Id_Client]],Clients_Churn[ID_Client],Clients_Churn[Duree_Cumulee_Panne_Min],"Non Trouvée")</f>
        <v>Non Trouvée</v>
      </c>
      <c r="M877" s="5" t="str">
        <f>_xlfn.XLOOKUP(Logs_Reseau6[[#This Row],[Id_Client]],Clients_Churn[ID_Client],Clients_Churn[Anciennete_Mois],"Rien à signaler")</f>
        <v>Rien à signaler</v>
      </c>
      <c r="N877" s="5" t="e">
        <f>Logs_Reseau6[[#This Row],[Anciennette]]/24</f>
        <v>#VALUE!</v>
      </c>
      <c r="O877" s="5" t="e">
        <f>Logs_Reseau6[[#This Row],[Duree_Cumulée_Panne]]/1440</f>
        <v>#VALUE!</v>
      </c>
      <c r="P87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78" spans="1:16" hidden="1" x14ac:dyDescent="0.25">
      <c r="A878" s="2">
        <v>45211</v>
      </c>
      <c r="B878" s="1">
        <v>0.7055555555555556</v>
      </c>
      <c r="C878" t="s">
        <v>1511</v>
      </c>
      <c r="D878">
        <v>95</v>
      </c>
      <c r="E878" t="s">
        <v>1303</v>
      </c>
      <c r="F878" t="str">
        <f>_xlfn.XLOOKUP(Logs_Reseau6[[#This Row],[Cell_ID]],Registre[ID_Antenne],Registre[Province_RDC],"Non Trouvée")</f>
        <v>Non Trouvée</v>
      </c>
      <c r="G878" t="str">
        <f>_xlfn.XLOOKUP(Logs_Reseau6[[#This Row],[Province]],Clients_Churn[Province_Client],Clients_Churn[ID_Client],"Aucun")</f>
        <v>Aucun</v>
      </c>
      <c r="H878" t="str">
        <f>_xlfn.XLOOKUP(Logs_Reseau6[[#This Row],[Cell_ID]],Registre[ID_Antenne],Registre[Technologie],"Rien à signaler")</f>
        <v>Rien à signaler</v>
      </c>
      <c r="I878" t="str">
        <f>_xlfn.XLOOKUP(Logs_Reseau6[[#This Row],[Cell_ID]],Registre[ID_Antenne],Registre[Equipementier],"Non Trouvée")</f>
        <v>Non Trouvée</v>
      </c>
      <c r="J878" t="str">
        <f>_xlfn.XLOOKUP(Logs_Reseau6[[#This Row],[Id_Client]],Clients_Churn[ID_Client],Clients_Churn[Type_Forfait],"Pas d'information")</f>
        <v>Pas d'information</v>
      </c>
      <c r="K878" s="5" t="str">
        <f>IF(Logs_Reseau6[[#This Row],[Type_Forfait]]="Pro Monde","B2B","B2C")</f>
        <v>B2C</v>
      </c>
      <c r="L878" s="5" t="str">
        <f>_xlfn.XLOOKUP(Logs_Reseau6[[#This Row],[Id_Client]],Clients_Churn[ID_Client],Clients_Churn[Duree_Cumulee_Panne_Min],"Non Trouvée")</f>
        <v>Non Trouvée</v>
      </c>
      <c r="M878" s="5" t="str">
        <f>_xlfn.XLOOKUP(Logs_Reseau6[[#This Row],[Id_Client]],Clients_Churn[ID_Client],Clients_Churn[Anciennete_Mois],"Rien à signaler")</f>
        <v>Rien à signaler</v>
      </c>
      <c r="N878" s="5" t="e">
        <f>Logs_Reseau6[[#This Row],[Anciennette]]/24</f>
        <v>#VALUE!</v>
      </c>
      <c r="O878" s="5" t="e">
        <f>Logs_Reseau6[[#This Row],[Duree_Cumulée_Panne]]/1440</f>
        <v>#VALUE!</v>
      </c>
      <c r="P87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79" spans="1:16" hidden="1" x14ac:dyDescent="0.25">
      <c r="A879" s="2">
        <v>45203</v>
      </c>
      <c r="B879" s="1">
        <v>3.472222222222222E-3</v>
      </c>
      <c r="C879" t="s">
        <v>1524</v>
      </c>
      <c r="D879">
        <v>46</v>
      </c>
      <c r="E879" t="s">
        <v>1303</v>
      </c>
      <c r="F879" t="str">
        <f>_xlfn.XLOOKUP(Logs_Reseau6[[#This Row],[Cell_ID]],Registre[ID_Antenne],Registre[Province_RDC],"Non Trouvée")</f>
        <v>Non Trouvée</v>
      </c>
      <c r="G879" t="str">
        <f>_xlfn.XLOOKUP(Logs_Reseau6[[#This Row],[Province]],Clients_Churn[Province_Client],Clients_Churn[ID_Client],"Aucun")</f>
        <v>Aucun</v>
      </c>
      <c r="H879" t="str">
        <f>_xlfn.XLOOKUP(Logs_Reseau6[[#This Row],[Cell_ID]],Registre[ID_Antenne],Registre[Technologie],"Rien à signaler")</f>
        <v>Rien à signaler</v>
      </c>
      <c r="I879" t="str">
        <f>_xlfn.XLOOKUP(Logs_Reseau6[[#This Row],[Cell_ID]],Registre[ID_Antenne],Registre[Equipementier],"Non Trouvée")</f>
        <v>Non Trouvée</v>
      </c>
      <c r="J879" t="str">
        <f>_xlfn.XLOOKUP(Logs_Reseau6[[#This Row],[Id_Client]],Clients_Churn[ID_Client],Clients_Churn[Type_Forfait],"Pas d'information")</f>
        <v>Pas d'information</v>
      </c>
      <c r="K879" s="5" t="str">
        <f>IF(Logs_Reseau6[[#This Row],[Type_Forfait]]="Pro Monde","B2B","B2C")</f>
        <v>B2C</v>
      </c>
      <c r="L879" s="5" t="str">
        <f>_xlfn.XLOOKUP(Logs_Reseau6[[#This Row],[Id_Client]],Clients_Churn[ID_Client],Clients_Churn[Duree_Cumulee_Panne_Min],"Non Trouvée")</f>
        <v>Non Trouvée</v>
      </c>
      <c r="M879" s="5" t="str">
        <f>_xlfn.XLOOKUP(Logs_Reseau6[[#This Row],[Id_Client]],Clients_Churn[ID_Client],Clients_Churn[Anciennete_Mois],"Rien à signaler")</f>
        <v>Rien à signaler</v>
      </c>
      <c r="N879" s="5" t="e">
        <f>Logs_Reseau6[[#This Row],[Anciennette]]/24</f>
        <v>#VALUE!</v>
      </c>
      <c r="O879" s="5" t="e">
        <f>Logs_Reseau6[[#This Row],[Duree_Cumulée_Panne]]/1440</f>
        <v>#VALUE!</v>
      </c>
      <c r="P87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80" spans="1:16" hidden="1" x14ac:dyDescent="0.25">
      <c r="A880" s="2">
        <v>45210</v>
      </c>
      <c r="B880" s="1">
        <v>0.80277777777777781</v>
      </c>
      <c r="C880" t="s">
        <v>1393</v>
      </c>
      <c r="D880">
        <v>9</v>
      </c>
      <c r="E880" t="s">
        <v>1303</v>
      </c>
      <c r="F880" t="str">
        <f>_xlfn.XLOOKUP(Logs_Reseau6[[#This Row],[Cell_ID]],Registre[ID_Antenne],Registre[Province_RDC],"Non Trouvée")</f>
        <v>Non Trouvée</v>
      </c>
      <c r="G880" t="str">
        <f>_xlfn.XLOOKUP(Logs_Reseau6[[#This Row],[Province]],Clients_Churn[Province_Client],Clients_Churn[ID_Client],"Aucun")</f>
        <v>Aucun</v>
      </c>
      <c r="H880" t="str">
        <f>_xlfn.XLOOKUP(Logs_Reseau6[[#This Row],[Cell_ID]],Registre[ID_Antenne],Registre[Technologie],"Rien à signaler")</f>
        <v>Rien à signaler</v>
      </c>
      <c r="I880" t="str">
        <f>_xlfn.XLOOKUP(Logs_Reseau6[[#This Row],[Cell_ID]],Registre[ID_Antenne],Registre[Equipementier],"Non Trouvée")</f>
        <v>Non Trouvée</v>
      </c>
      <c r="J880" t="str">
        <f>_xlfn.XLOOKUP(Logs_Reseau6[[#This Row],[Id_Client]],Clients_Churn[ID_Client],Clients_Churn[Type_Forfait],"Pas d'information")</f>
        <v>Pas d'information</v>
      </c>
      <c r="K880" s="5" t="str">
        <f>IF(Logs_Reseau6[[#This Row],[Type_Forfait]]="Pro Monde","B2B","B2C")</f>
        <v>B2C</v>
      </c>
      <c r="L880" s="5" t="str">
        <f>_xlfn.XLOOKUP(Logs_Reseau6[[#This Row],[Id_Client]],Clients_Churn[ID_Client],Clients_Churn[Duree_Cumulee_Panne_Min],"Non Trouvée")</f>
        <v>Non Trouvée</v>
      </c>
      <c r="M880" s="5" t="str">
        <f>_xlfn.XLOOKUP(Logs_Reseau6[[#This Row],[Id_Client]],Clients_Churn[ID_Client],Clients_Churn[Anciennete_Mois],"Rien à signaler")</f>
        <v>Rien à signaler</v>
      </c>
      <c r="N880" s="5" t="e">
        <f>Logs_Reseau6[[#This Row],[Anciennette]]/24</f>
        <v>#VALUE!</v>
      </c>
      <c r="O880" s="5" t="e">
        <f>Logs_Reseau6[[#This Row],[Duree_Cumulée_Panne]]/1440</f>
        <v>#VALUE!</v>
      </c>
      <c r="P88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81" spans="1:16" hidden="1" x14ac:dyDescent="0.25">
      <c r="A881" s="2">
        <v>45221</v>
      </c>
      <c r="B881" s="1">
        <v>0.57847222222222228</v>
      </c>
      <c r="C881" t="s">
        <v>1393</v>
      </c>
      <c r="D881">
        <v>76</v>
      </c>
      <c r="E881" t="s">
        <v>1305</v>
      </c>
      <c r="F881" t="str">
        <f>_xlfn.XLOOKUP(Logs_Reseau6[[#This Row],[Cell_ID]],Registre[ID_Antenne],Registre[Province_RDC],"Non Trouvée")</f>
        <v>Non Trouvée</v>
      </c>
      <c r="G881" t="str">
        <f>_xlfn.XLOOKUP(Logs_Reseau6[[#This Row],[Province]],Clients_Churn[Province_Client],Clients_Churn[ID_Client],"Aucun")</f>
        <v>Aucun</v>
      </c>
      <c r="H881" t="str">
        <f>_xlfn.XLOOKUP(Logs_Reseau6[[#This Row],[Cell_ID]],Registre[ID_Antenne],Registre[Technologie],"Rien à signaler")</f>
        <v>Rien à signaler</v>
      </c>
      <c r="I881" t="str">
        <f>_xlfn.XLOOKUP(Logs_Reseau6[[#This Row],[Cell_ID]],Registre[ID_Antenne],Registre[Equipementier],"Non Trouvée")</f>
        <v>Non Trouvée</v>
      </c>
      <c r="J881" t="str">
        <f>_xlfn.XLOOKUP(Logs_Reseau6[[#This Row],[Id_Client]],Clients_Churn[ID_Client],Clients_Churn[Type_Forfait],"Pas d'information")</f>
        <v>Pas d'information</v>
      </c>
      <c r="K881" s="5" t="str">
        <f>IF(Logs_Reseau6[[#This Row],[Type_Forfait]]="Pro Monde","B2B","B2C")</f>
        <v>B2C</v>
      </c>
      <c r="L881" s="5" t="str">
        <f>_xlfn.XLOOKUP(Logs_Reseau6[[#This Row],[Id_Client]],Clients_Churn[ID_Client],Clients_Churn[Duree_Cumulee_Panne_Min],"Non Trouvée")</f>
        <v>Non Trouvée</v>
      </c>
      <c r="M881" s="5" t="str">
        <f>_xlfn.XLOOKUP(Logs_Reseau6[[#This Row],[Id_Client]],Clients_Churn[ID_Client],Clients_Churn[Anciennete_Mois],"Rien à signaler")</f>
        <v>Rien à signaler</v>
      </c>
      <c r="N881" s="5" t="e">
        <f>Logs_Reseau6[[#This Row],[Anciennette]]/24</f>
        <v>#VALUE!</v>
      </c>
      <c r="O881" s="5" t="e">
        <f>Logs_Reseau6[[#This Row],[Duree_Cumulée_Panne]]/1440</f>
        <v>#VALUE!</v>
      </c>
      <c r="P88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82" spans="1:16" hidden="1" x14ac:dyDescent="0.25">
      <c r="A882" s="2">
        <v>45212</v>
      </c>
      <c r="B882" s="1">
        <v>0.77430555555555558</v>
      </c>
      <c r="C882" t="s">
        <v>1589</v>
      </c>
      <c r="D882">
        <v>33</v>
      </c>
      <c r="E882" t="s">
        <v>1300</v>
      </c>
      <c r="F882" t="str">
        <f>_xlfn.XLOOKUP(Logs_Reseau6[[#This Row],[Cell_ID]],Registre[ID_Antenne],Registre[Province_RDC],"Non Trouvée")</f>
        <v>Non Trouvée</v>
      </c>
      <c r="G882" t="str">
        <f>_xlfn.XLOOKUP(Logs_Reseau6[[#This Row],[Province]],Clients_Churn[Province_Client],Clients_Churn[ID_Client],"Aucun")</f>
        <v>Aucun</v>
      </c>
      <c r="H882" t="str">
        <f>_xlfn.XLOOKUP(Logs_Reseau6[[#This Row],[Cell_ID]],Registre[ID_Antenne],Registre[Technologie],"Rien à signaler")</f>
        <v>Rien à signaler</v>
      </c>
      <c r="I882" t="str">
        <f>_xlfn.XLOOKUP(Logs_Reseau6[[#This Row],[Cell_ID]],Registre[ID_Antenne],Registre[Equipementier],"Non Trouvée")</f>
        <v>Non Trouvée</v>
      </c>
      <c r="J882" t="str">
        <f>_xlfn.XLOOKUP(Logs_Reseau6[[#This Row],[Id_Client]],Clients_Churn[ID_Client],Clients_Churn[Type_Forfait],"Pas d'information")</f>
        <v>Pas d'information</v>
      </c>
      <c r="K882" s="5" t="str">
        <f>IF(Logs_Reseau6[[#This Row],[Type_Forfait]]="Pro Monde","B2B","B2C")</f>
        <v>B2C</v>
      </c>
      <c r="L882" s="5" t="str">
        <f>_xlfn.XLOOKUP(Logs_Reseau6[[#This Row],[Id_Client]],Clients_Churn[ID_Client],Clients_Churn[Duree_Cumulee_Panne_Min],"Non Trouvée")</f>
        <v>Non Trouvée</v>
      </c>
      <c r="M882" s="5" t="str">
        <f>_xlfn.XLOOKUP(Logs_Reseau6[[#This Row],[Id_Client]],Clients_Churn[ID_Client],Clients_Churn[Anciennete_Mois],"Rien à signaler")</f>
        <v>Rien à signaler</v>
      </c>
      <c r="N882" s="5" t="e">
        <f>Logs_Reseau6[[#This Row],[Anciennette]]/24</f>
        <v>#VALUE!</v>
      </c>
      <c r="O882" s="5" t="e">
        <f>Logs_Reseau6[[#This Row],[Duree_Cumulée_Panne]]/1440</f>
        <v>#VALUE!</v>
      </c>
      <c r="P88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83" spans="1:16" x14ac:dyDescent="0.25">
      <c r="A883" s="2">
        <v>45207</v>
      </c>
      <c r="B883" s="1">
        <v>0.57916666666666672</v>
      </c>
      <c r="C883" t="s">
        <v>1071</v>
      </c>
      <c r="D883">
        <v>68</v>
      </c>
      <c r="E883" t="s">
        <v>1300</v>
      </c>
      <c r="F883" t="str">
        <f>_xlfn.XLOOKUP(Logs_Reseau6[[#This Row],[Cell_ID]],Registre[ID_Antenne],Registre[Province_RDC],"Non Trouvée")</f>
        <v>Ituri</v>
      </c>
      <c r="G883" t="str">
        <f>_xlfn.XLOOKUP(Logs_Reseau6[[#This Row],[Province]],Clients_Churn[Province_Client],Clients_Churn[ID_Client],"Aucun")</f>
        <v>CLI-00041</v>
      </c>
      <c r="H883" t="str">
        <f>_xlfn.XLOOKUP(Logs_Reseau6[[#This Row],[Cell_ID]],Registre[ID_Antenne],Registre[Technologie],"Rien à signaler")</f>
        <v>5G</v>
      </c>
      <c r="I883" t="str">
        <f>_xlfn.XLOOKUP(Logs_Reseau6[[#This Row],[Cell_ID]],Registre[ID_Antenne],Registre[Equipementier],"Non Trouvée")</f>
        <v>ZTE</v>
      </c>
      <c r="J883" t="str">
        <f>_xlfn.XLOOKUP(Logs_Reseau6[[#This Row],[Id_Client]],Clients_Churn[ID_Client],Clients_Churn[Type_Forfait],"Pas d'information")</f>
        <v>Pro Monde</v>
      </c>
      <c r="K883" s="5" t="str">
        <f>IF(Logs_Reseau6[[#This Row],[Type_Forfait]]="Pro Monde","B2B","B2C")</f>
        <v>B2B</v>
      </c>
      <c r="L883" s="5">
        <f>_xlfn.XLOOKUP(Logs_Reseau6[[#This Row],[Id_Client]],Clients_Churn[ID_Client],Clients_Churn[Duree_Cumulee_Panne_Min],"Non Trouvée")</f>
        <v>105</v>
      </c>
      <c r="M883" s="5">
        <f>_xlfn.XLOOKUP(Logs_Reseau6[[#This Row],[Id_Client]],Clients_Churn[ID_Client],Clients_Churn[Anciennete_Mois],"Rien à signaler")</f>
        <v>103</v>
      </c>
      <c r="N883" s="11">
        <f>Logs_Reseau6[[#This Row],[Anciennette]]/24</f>
        <v>4.291666666666667</v>
      </c>
      <c r="O883" s="1">
        <f>Logs_Reseau6[[#This Row],[Duree_Cumulée_Panne]]/1440</f>
        <v>7.2916666666666671E-2</v>
      </c>
      <c r="P88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84" spans="1:16" x14ac:dyDescent="0.25">
      <c r="A884" s="2">
        <v>45218</v>
      </c>
      <c r="B884" s="1">
        <v>0.9916666666666667</v>
      </c>
      <c r="C884" t="s">
        <v>1071</v>
      </c>
      <c r="D884">
        <v>82</v>
      </c>
      <c r="E884" t="s">
        <v>1300</v>
      </c>
      <c r="F884" t="str">
        <f>_xlfn.XLOOKUP(Logs_Reseau6[[#This Row],[Cell_ID]],Registre[ID_Antenne],Registre[Province_RDC],"Non Trouvée")</f>
        <v>Ituri</v>
      </c>
      <c r="G884" t="str">
        <f>_xlfn.XLOOKUP(Logs_Reseau6[[#This Row],[Province]],Clients_Churn[Province_Client],Clients_Churn[ID_Client],"Aucun")</f>
        <v>CLI-00041</v>
      </c>
      <c r="H884" t="str">
        <f>_xlfn.XLOOKUP(Logs_Reseau6[[#This Row],[Cell_ID]],Registre[ID_Antenne],Registre[Technologie],"Rien à signaler")</f>
        <v>5G</v>
      </c>
      <c r="I884" t="str">
        <f>_xlfn.XLOOKUP(Logs_Reseau6[[#This Row],[Cell_ID]],Registre[ID_Antenne],Registre[Equipementier],"Non Trouvée")</f>
        <v>ZTE</v>
      </c>
      <c r="J884" t="str">
        <f>_xlfn.XLOOKUP(Logs_Reseau6[[#This Row],[Id_Client]],Clients_Churn[ID_Client],Clients_Churn[Type_Forfait],"Pas d'information")</f>
        <v>Pro Monde</v>
      </c>
      <c r="K884" s="5" t="str">
        <f>IF(Logs_Reseau6[[#This Row],[Type_Forfait]]="Pro Monde","B2B","B2C")</f>
        <v>B2B</v>
      </c>
      <c r="L884" s="5">
        <f>_xlfn.XLOOKUP(Logs_Reseau6[[#This Row],[Id_Client]],Clients_Churn[ID_Client],Clients_Churn[Duree_Cumulee_Panne_Min],"Non Trouvée")</f>
        <v>105</v>
      </c>
      <c r="M884" s="5">
        <f>_xlfn.XLOOKUP(Logs_Reseau6[[#This Row],[Id_Client]],Clients_Churn[ID_Client],Clients_Churn[Anciennete_Mois],"Rien à signaler")</f>
        <v>103</v>
      </c>
      <c r="N884" s="11">
        <f>Logs_Reseau6[[#This Row],[Anciennette]]/24</f>
        <v>4.291666666666667</v>
      </c>
      <c r="O884" s="1">
        <f>Logs_Reseau6[[#This Row],[Duree_Cumulée_Panne]]/1440</f>
        <v>7.2916666666666671E-2</v>
      </c>
      <c r="P88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85" spans="1:16" x14ac:dyDescent="0.25">
      <c r="A885" s="2">
        <v>45227</v>
      </c>
      <c r="B885" s="1">
        <v>0.91527777777777775</v>
      </c>
      <c r="C885" t="s">
        <v>1071</v>
      </c>
      <c r="D885">
        <v>26</v>
      </c>
      <c r="E885" t="s">
        <v>1303</v>
      </c>
      <c r="F885" t="str">
        <f>_xlfn.XLOOKUP(Logs_Reseau6[[#This Row],[Cell_ID]],Registre[ID_Antenne],Registre[Province_RDC],"Non Trouvée")</f>
        <v>Ituri</v>
      </c>
      <c r="G885" t="str">
        <f>_xlfn.XLOOKUP(Logs_Reseau6[[#This Row],[Province]],Clients_Churn[Province_Client],Clients_Churn[ID_Client],"Aucun")</f>
        <v>CLI-00041</v>
      </c>
      <c r="H885" t="str">
        <f>_xlfn.XLOOKUP(Logs_Reseau6[[#This Row],[Cell_ID]],Registre[ID_Antenne],Registre[Technologie],"Rien à signaler")</f>
        <v>5G</v>
      </c>
      <c r="I885" t="str">
        <f>_xlfn.XLOOKUP(Logs_Reseau6[[#This Row],[Cell_ID]],Registre[ID_Antenne],Registre[Equipementier],"Non Trouvée")</f>
        <v>ZTE</v>
      </c>
      <c r="J885" t="str">
        <f>_xlfn.XLOOKUP(Logs_Reseau6[[#This Row],[Id_Client]],Clients_Churn[ID_Client],Clients_Churn[Type_Forfait],"Pas d'information")</f>
        <v>Pro Monde</v>
      </c>
      <c r="K885" s="5" t="str">
        <f>IF(Logs_Reseau6[[#This Row],[Type_Forfait]]="Pro Monde","B2B","B2C")</f>
        <v>B2B</v>
      </c>
      <c r="L885" s="5">
        <f>_xlfn.XLOOKUP(Logs_Reseau6[[#This Row],[Id_Client]],Clients_Churn[ID_Client],Clients_Churn[Duree_Cumulee_Panne_Min],"Non Trouvée")</f>
        <v>105</v>
      </c>
      <c r="M885" s="5">
        <f>_xlfn.XLOOKUP(Logs_Reseau6[[#This Row],[Id_Client]],Clients_Churn[ID_Client],Clients_Churn[Anciennete_Mois],"Rien à signaler")</f>
        <v>103</v>
      </c>
      <c r="N885" s="11">
        <f>Logs_Reseau6[[#This Row],[Anciennette]]/24</f>
        <v>4.291666666666667</v>
      </c>
      <c r="O885" s="1">
        <f>Logs_Reseau6[[#This Row],[Duree_Cumulée_Panne]]/1440</f>
        <v>7.2916666666666671E-2</v>
      </c>
      <c r="P88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86" spans="1:16" hidden="1" x14ac:dyDescent="0.25">
      <c r="A886" s="2">
        <v>45218</v>
      </c>
      <c r="B886" s="1">
        <v>0.28749999999999998</v>
      </c>
      <c r="C886" t="s">
        <v>1599</v>
      </c>
      <c r="D886">
        <v>71</v>
      </c>
      <c r="E886" t="s">
        <v>1305</v>
      </c>
      <c r="F886" t="str">
        <f>_xlfn.XLOOKUP(Logs_Reseau6[[#This Row],[Cell_ID]],Registre[ID_Antenne],Registre[Province_RDC],"Non Trouvée")</f>
        <v>Non Trouvée</v>
      </c>
      <c r="G886" t="str">
        <f>_xlfn.XLOOKUP(Logs_Reseau6[[#This Row],[Province]],Clients_Churn[Province_Client],Clients_Churn[ID_Client],"Aucun")</f>
        <v>Aucun</v>
      </c>
      <c r="H886" t="str">
        <f>_xlfn.XLOOKUP(Logs_Reseau6[[#This Row],[Cell_ID]],Registre[ID_Antenne],Registre[Technologie],"Rien à signaler")</f>
        <v>Rien à signaler</v>
      </c>
      <c r="I886" t="str">
        <f>_xlfn.XLOOKUP(Logs_Reseau6[[#This Row],[Cell_ID]],Registre[ID_Antenne],Registre[Equipementier],"Non Trouvée")</f>
        <v>Non Trouvée</v>
      </c>
      <c r="J886" t="str">
        <f>_xlfn.XLOOKUP(Logs_Reseau6[[#This Row],[Id_Client]],Clients_Churn[ID_Client],Clients_Churn[Type_Forfait],"Pas d'information")</f>
        <v>Pas d'information</v>
      </c>
      <c r="K886" s="5" t="str">
        <f>IF(Logs_Reseau6[[#This Row],[Type_Forfait]]="Pro Monde","B2B","B2C")</f>
        <v>B2C</v>
      </c>
      <c r="L886" s="5" t="str">
        <f>_xlfn.XLOOKUP(Logs_Reseau6[[#This Row],[Id_Client]],Clients_Churn[ID_Client],Clients_Churn[Duree_Cumulee_Panne_Min],"Non Trouvée")</f>
        <v>Non Trouvée</v>
      </c>
      <c r="M886" s="5" t="str">
        <f>_xlfn.XLOOKUP(Logs_Reseau6[[#This Row],[Id_Client]],Clients_Churn[ID_Client],Clients_Churn[Anciennete_Mois],"Rien à signaler")</f>
        <v>Rien à signaler</v>
      </c>
      <c r="N886" s="5" t="e">
        <f>Logs_Reseau6[[#This Row],[Anciennette]]/24</f>
        <v>#VALUE!</v>
      </c>
      <c r="O886" s="5" t="e">
        <f>Logs_Reseau6[[#This Row],[Duree_Cumulée_Panne]]/1440</f>
        <v>#VALUE!</v>
      </c>
      <c r="P88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87" spans="1:16" x14ac:dyDescent="0.25">
      <c r="A887" s="2">
        <v>45214</v>
      </c>
      <c r="B887" s="1">
        <v>0.74097222222222225</v>
      </c>
      <c r="C887" t="s">
        <v>860</v>
      </c>
      <c r="D887">
        <v>8</v>
      </c>
      <c r="E887" t="s">
        <v>1300</v>
      </c>
      <c r="F887" t="str">
        <f>_xlfn.XLOOKUP(Logs_Reseau6[[#This Row],[Cell_ID]],Registre[ID_Antenne],Registre[Province_RDC],"Non Trouvée")</f>
        <v>Nord-Kivu</v>
      </c>
      <c r="G887" t="str">
        <f>_xlfn.XLOOKUP(Logs_Reseau6[[#This Row],[Province]],Clients_Churn[Province_Client],Clients_Churn[ID_Client],"Aucun")</f>
        <v>CLI-00043</v>
      </c>
      <c r="H887" t="str">
        <f>_xlfn.XLOOKUP(Logs_Reseau6[[#This Row],[Cell_ID]],Registre[ID_Antenne],Registre[Technologie],"Rien à signaler")</f>
        <v>4G</v>
      </c>
      <c r="I887" t="str">
        <f>_xlfn.XLOOKUP(Logs_Reseau6[[#This Row],[Cell_ID]],Registre[ID_Antenne],Registre[Equipementier],"Non Trouvée")</f>
        <v>Ericsson</v>
      </c>
      <c r="J887" t="str">
        <f>_xlfn.XLOOKUP(Logs_Reseau6[[#This Row],[Id_Client]],Clients_Churn[ID_Client],Clients_Churn[Type_Forfait],"Pas d'information")</f>
        <v>Pro Monde</v>
      </c>
      <c r="K887" s="5" t="str">
        <f>IF(Logs_Reseau6[[#This Row],[Type_Forfait]]="Pro Monde","B2B","B2C")</f>
        <v>B2B</v>
      </c>
      <c r="L887" s="5">
        <f>_xlfn.XLOOKUP(Logs_Reseau6[[#This Row],[Id_Client]],Clients_Churn[ID_Client],Clients_Churn[Duree_Cumulee_Panne_Min],"Non Trouvée")</f>
        <v>132</v>
      </c>
      <c r="M887" s="5">
        <f>_xlfn.XLOOKUP(Logs_Reseau6[[#This Row],[Id_Client]],Clients_Churn[ID_Client],Clients_Churn[Anciennete_Mois],"Rien à signaler")</f>
        <v>118</v>
      </c>
      <c r="N887" s="11">
        <f>Logs_Reseau6[[#This Row],[Anciennette]]/24</f>
        <v>4.916666666666667</v>
      </c>
      <c r="O887" s="1">
        <f>Logs_Reseau6[[#This Row],[Duree_Cumulée_Panne]]/1440</f>
        <v>9.166666666666666E-2</v>
      </c>
      <c r="P88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88" spans="1:16" x14ac:dyDescent="0.25">
      <c r="A888" s="2">
        <v>45222</v>
      </c>
      <c r="B888" s="1">
        <v>0.35347222222222224</v>
      </c>
      <c r="C888" t="s">
        <v>860</v>
      </c>
      <c r="D888">
        <v>101</v>
      </c>
      <c r="E888" t="s">
        <v>1303</v>
      </c>
      <c r="F888" t="str">
        <f>_xlfn.XLOOKUP(Logs_Reseau6[[#This Row],[Cell_ID]],Registre[ID_Antenne],Registre[Province_RDC],"Non Trouvée")</f>
        <v>Nord-Kivu</v>
      </c>
      <c r="G888" t="str">
        <f>_xlfn.XLOOKUP(Logs_Reseau6[[#This Row],[Province]],Clients_Churn[Province_Client],Clients_Churn[ID_Client],"Aucun")</f>
        <v>CLI-00043</v>
      </c>
      <c r="H888" t="str">
        <f>_xlfn.XLOOKUP(Logs_Reseau6[[#This Row],[Cell_ID]],Registre[ID_Antenne],Registre[Technologie],"Rien à signaler")</f>
        <v>4G</v>
      </c>
      <c r="I888" t="str">
        <f>_xlfn.XLOOKUP(Logs_Reseau6[[#This Row],[Cell_ID]],Registre[ID_Antenne],Registre[Equipementier],"Non Trouvée")</f>
        <v>Ericsson</v>
      </c>
      <c r="J888" t="str">
        <f>_xlfn.XLOOKUP(Logs_Reseau6[[#This Row],[Id_Client]],Clients_Churn[ID_Client],Clients_Churn[Type_Forfait],"Pas d'information")</f>
        <v>Pro Monde</v>
      </c>
      <c r="K888" s="5" t="str">
        <f>IF(Logs_Reseau6[[#This Row],[Type_Forfait]]="Pro Monde","B2B","B2C")</f>
        <v>B2B</v>
      </c>
      <c r="L888" s="5">
        <f>_xlfn.XLOOKUP(Logs_Reseau6[[#This Row],[Id_Client]],Clients_Churn[ID_Client],Clients_Churn[Duree_Cumulee_Panne_Min],"Non Trouvée")</f>
        <v>132</v>
      </c>
      <c r="M888" s="5">
        <f>_xlfn.XLOOKUP(Logs_Reseau6[[#This Row],[Id_Client]],Clients_Churn[ID_Client],Clients_Churn[Anciennete_Mois],"Rien à signaler")</f>
        <v>118</v>
      </c>
      <c r="N888" s="11">
        <f>Logs_Reseau6[[#This Row],[Anciennette]]/24</f>
        <v>4.916666666666667</v>
      </c>
      <c r="O888" s="1">
        <f>Logs_Reseau6[[#This Row],[Duree_Cumulée_Panne]]/1440</f>
        <v>9.166666666666666E-2</v>
      </c>
      <c r="P88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89" spans="1:16" x14ac:dyDescent="0.25">
      <c r="A889" s="2">
        <v>45223</v>
      </c>
      <c r="B889" s="1">
        <v>0.25208333333333333</v>
      </c>
      <c r="C889" t="s">
        <v>860</v>
      </c>
      <c r="D889">
        <v>12</v>
      </c>
      <c r="E889" t="s">
        <v>1303</v>
      </c>
      <c r="F889" t="str">
        <f>_xlfn.XLOOKUP(Logs_Reseau6[[#This Row],[Cell_ID]],Registre[ID_Antenne],Registre[Province_RDC],"Non Trouvée")</f>
        <v>Nord-Kivu</v>
      </c>
      <c r="G889" t="str">
        <f>_xlfn.XLOOKUP(Logs_Reseau6[[#This Row],[Province]],Clients_Churn[Province_Client],Clients_Churn[ID_Client],"Aucun")</f>
        <v>CLI-00043</v>
      </c>
      <c r="H889" t="str">
        <f>_xlfn.XLOOKUP(Logs_Reseau6[[#This Row],[Cell_ID]],Registre[ID_Antenne],Registre[Technologie],"Rien à signaler")</f>
        <v>4G</v>
      </c>
      <c r="I889" t="str">
        <f>_xlfn.XLOOKUP(Logs_Reseau6[[#This Row],[Cell_ID]],Registre[ID_Antenne],Registre[Equipementier],"Non Trouvée")</f>
        <v>Ericsson</v>
      </c>
      <c r="J889" t="str">
        <f>_xlfn.XLOOKUP(Logs_Reseau6[[#This Row],[Id_Client]],Clients_Churn[ID_Client],Clients_Churn[Type_Forfait],"Pas d'information")</f>
        <v>Pro Monde</v>
      </c>
      <c r="K889" s="5" t="str">
        <f>IF(Logs_Reseau6[[#This Row],[Type_Forfait]]="Pro Monde","B2B","B2C")</f>
        <v>B2B</v>
      </c>
      <c r="L889" s="5">
        <f>_xlfn.XLOOKUP(Logs_Reseau6[[#This Row],[Id_Client]],Clients_Churn[ID_Client],Clients_Churn[Duree_Cumulee_Panne_Min],"Non Trouvée")</f>
        <v>132</v>
      </c>
      <c r="M889" s="5">
        <f>_xlfn.XLOOKUP(Logs_Reseau6[[#This Row],[Id_Client]],Clients_Churn[ID_Client],Clients_Churn[Anciennete_Mois],"Rien à signaler")</f>
        <v>118</v>
      </c>
      <c r="N889" s="11">
        <f>Logs_Reseau6[[#This Row],[Anciennette]]/24</f>
        <v>4.916666666666667</v>
      </c>
      <c r="O889" s="1">
        <f>Logs_Reseau6[[#This Row],[Duree_Cumulée_Panne]]/1440</f>
        <v>9.166666666666666E-2</v>
      </c>
      <c r="P88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90" spans="1:16" hidden="1" x14ac:dyDescent="0.25">
      <c r="A890" s="2">
        <v>45207</v>
      </c>
      <c r="B890" s="1">
        <v>0.47222222222222221</v>
      </c>
      <c r="C890" t="s">
        <v>1581</v>
      </c>
      <c r="D890">
        <v>30</v>
      </c>
      <c r="E890" t="s">
        <v>1305</v>
      </c>
      <c r="F890" t="str">
        <f>_xlfn.XLOOKUP(Logs_Reseau6[[#This Row],[Cell_ID]],Registre[ID_Antenne],Registre[Province_RDC],"Non Trouvée")</f>
        <v>Non Trouvée</v>
      </c>
      <c r="G890" t="str">
        <f>_xlfn.XLOOKUP(Logs_Reseau6[[#This Row],[Province]],Clients_Churn[Province_Client],Clients_Churn[ID_Client],"Aucun")</f>
        <v>Aucun</v>
      </c>
      <c r="H890" t="str">
        <f>_xlfn.XLOOKUP(Logs_Reseau6[[#This Row],[Cell_ID]],Registre[ID_Antenne],Registre[Technologie],"Rien à signaler")</f>
        <v>Rien à signaler</v>
      </c>
      <c r="I890" t="str">
        <f>_xlfn.XLOOKUP(Logs_Reseau6[[#This Row],[Cell_ID]],Registre[ID_Antenne],Registre[Equipementier],"Non Trouvée")</f>
        <v>Non Trouvée</v>
      </c>
      <c r="J890" t="str">
        <f>_xlfn.XLOOKUP(Logs_Reseau6[[#This Row],[Id_Client]],Clients_Churn[ID_Client],Clients_Churn[Type_Forfait],"Pas d'information")</f>
        <v>Pas d'information</v>
      </c>
      <c r="K890" s="5" t="str">
        <f>IF(Logs_Reseau6[[#This Row],[Type_Forfait]]="Pro Monde","B2B","B2C")</f>
        <v>B2C</v>
      </c>
      <c r="L890" s="5" t="str">
        <f>_xlfn.XLOOKUP(Logs_Reseau6[[#This Row],[Id_Client]],Clients_Churn[ID_Client],Clients_Churn[Duree_Cumulee_Panne_Min],"Non Trouvée")</f>
        <v>Non Trouvée</v>
      </c>
      <c r="M890" s="5" t="str">
        <f>_xlfn.XLOOKUP(Logs_Reseau6[[#This Row],[Id_Client]],Clients_Churn[ID_Client],Clients_Churn[Anciennete_Mois],"Rien à signaler")</f>
        <v>Rien à signaler</v>
      </c>
      <c r="N890" s="5" t="e">
        <f>Logs_Reseau6[[#This Row],[Anciennette]]/24</f>
        <v>#VALUE!</v>
      </c>
      <c r="O890" s="5" t="e">
        <f>Logs_Reseau6[[#This Row],[Duree_Cumulée_Panne]]/1440</f>
        <v>#VALUE!</v>
      </c>
      <c r="P89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91" spans="1:16" x14ac:dyDescent="0.25">
      <c r="A891" s="2">
        <v>45226</v>
      </c>
      <c r="B891" s="1">
        <v>0.37777777777777777</v>
      </c>
      <c r="C891" t="s">
        <v>1005</v>
      </c>
      <c r="D891">
        <v>74</v>
      </c>
      <c r="E891" t="s">
        <v>1305</v>
      </c>
      <c r="F891" t="str">
        <f>_xlfn.XLOOKUP(Logs_Reseau6[[#This Row],[Cell_ID]],Registre[ID_Antenne],Registre[Province_RDC],"Non Trouvée")</f>
        <v>Mongala</v>
      </c>
      <c r="G891" t="str">
        <f>_xlfn.XLOOKUP(Logs_Reseau6[[#This Row],[Province]],Clients_Churn[Province_Client],Clients_Churn[ID_Client],"Aucun")</f>
        <v>CLI-00011</v>
      </c>
      <c r="H891" t="str">
        <f>_xlfn.XLOOKUP(Logs_Reseau6[[#This Row],[Cell_ID]],Registre[ID_Antenne],Registre[Technologie],"Rien à signaler")</f>
        <v>5G</v>
      </c>
      <c r="I891" t="str">
        <f>_xlfn.XLOOKUP(Logs_Reseau6[[#This Row],[Cell_ID]],Registre[ID_Antenne],Registre[Equipementier],"Non Trouvée")</f>
        <v>Nokia</v>
      </c>
      <c r="J891" t="str">
        <f>_xlfn.XLOOKUP(Logs_Reseau6[[#This Row],[Id_Client]],Clients_Churn[ID_Client],Clients_Churn[Type_Forfait],"Pas d'information")</f>
        <v>Illimité 50Go</v>
      </c>
      <c r="K891" s="5" t="str">
        <f>IF(Logs_Reseau6[[#This Row],[Type_Forfait]]="Pro Monde","B2B","B2C")</f>
        <v>B2C</v>
      </c>
      <c r="L891" s="5">
        <f>_xlfn.XLOOKUP(Logs_Reseau6[[#This Row],[Id_Client]],Clients_Churn[ID_Client],Clients_Churn[Duree_Cumulee_Panne_Min],"Non Trouvée")</f>
        <v>86</v>
      </c>
      <c r="M891" s="5">
        <f>_xlfn.XLOOKUP(Logs_Reseau6[[#This Row],[Id_Client]],Clients_Churn[ID_Client],Clients_Churn[Anciennete_Mois],"Rien à signaler")</f>
        <v>49</v>
      </c>
      <c r="N891" s="11">
        <f>Logs_Reseau6[[#This Row],[Anciennette]]/24</f>
        <v>2.0416666666666665</v>
      </c>
      <c r="O891" s="1">
        <f>Logs_Reseau6[[#This Row],[Duree_Cumulée_Panne]]/1440</f>
        <v>5.9722222222222225E-2</v>
      </c>
      <c r="P89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92" spans="1:16" hidden="1" x14ac:dyDescent="0.25">
      <c r="A892" s="2">
        <v>45221</v>
      </c>
      <c r="B892" s="1">
        <v>0.5493055555555556</v>
      </c>
      <c r="C892" t="s">
        <v>1574</v>
      </c>
      <c r="D892">
        <v>39</v>
      </c>
      <c r="E892" t="s">
        <v>1303</v>
      </c>
      <c r="F892" t="str">
        <f>_xlfn.XLOOKUP(Logs_Reseau6[[#This Row],[Cell_ID]],Registre[ID_Antenne],Registre[Province_RDC],"Non Trouvée")</f>
        <v>Non Trouvée</v>
      </c>
      <c r="G892" t="str">
        <f>_xlfn.XLOOKUP(Logs_Reseau6[[#This Row],[Province]],Clients_Churn[Province_Client],Clients_Churn[ID_Client],"Aucun")</f>
        <v>Aucun</v>
      </c>
      <c r="H892" t="str">
        <f>_xlfn.XLOOKUP(Logs_Reseau6[[#This Row],[Cell_ID]],Registre[ID_Antenne],Registre[Technologie],"Rien à signaler")</f>
        <v>Rien à signaler</v>
      </c>
      <c r="I892" t="str">
        <f>_xlfn.XLOOKUP(Logs_Reseau6[[#This Row],[Cell_ID]],Registre[ID_Antenne],Registre[Equipementier],"Non Trouvée")</f>
        <v>Non Trouvée</v>
      </c>
      <c r="J892" t="str">
        <f>_xlfn.XLOOKUP(Logs_Reseau6[[#This Row],[Id_Client]],Clients_Churn[ID_Client],Clients_Churn[Type_Forfait],"Pas d'information")</f>
        <v>Pas d'information</v>
      </c>
      <c r="K892" s="5" t="str">
        <f>IF(Logs_Reseau6[[#This Row],[Type_Forfait]]="Pro Monde","B2B","B2C")</f>
        <v>B2C</v>
      </c>
      <c r="L892" s="5" t="str">
        <f>_xlfn.XLOOKUP(Logs_Reseau6[[#This Row],[Id_Client]],Clients_Churn[ID_Client],Clients_Churn[Duree_Cumulee_Panne_Min],"Non Trouvée")</f>
        <v>Non Trouvée</v>
      </c>
      <c r="M892" s="5" t="str">
        <f>_xlfn.XLOOKUP(Logs_Reseau6[[#This Row],[Id_Client]],Clients_Churn[ID_Client],Clients_Churn[Anciennete_Mois],"Rien à signaler")</f>
        <v>Rien à signaler</v>
      </c>
      <c r="N892" s="5" t="e">
        <f>Logs_Reseau6[[#This Row],[Anciennette]]/24</f>
        <v>#VALUE!</v>
      </c>
      <c r="O892" s="5" t="e">
        <f>Logs_Reseau6[[#This Row],[Duree_Cumulée_Panne]]/1440</f>
        <v>#VALUE!</v>
      </c>
      <c r="P89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93" spans="1:16" x14ac:dyDescent="0.25">
      <c r="A893" s="2">
        <v>45207</v>
      </c>
      <c r="B893" s="1">
        <v>0.34236111111111112</v>
      </c>
      <c r="C893" t="s">
        <v>821</v>
      </c>
      <c r="D893">
        <v>28</v>
      </c>
      <c r="E893" t="s">
        <v>1300</v>
      </c>
      <c r="F893" t="str">
        <f>_xlfn.XLOOKUP(Logs_Reseau6[[#This Row],[Cell_ID]],Registre[ID_Antenne],Registre[Province_RDC],"Non Trouvée")</f>
        <v>Bas-Uele</v>
      </c>
      <c r="G893" t="str">
        <f>_xlfn.XLOOKUP(Logs_Reseau6[[#This Row],[Province]],Clients_Churn[Province_Client],Clients_Churn[ID_Client],"Aucun")</f>
        <v>CLI-00029</v>
      </c>
      <c r="H893" t="str">
        <f>_xlfn.XLOOKUP(Logs_Reseau6[[#This Row],[Cell_ID]],Registre[ID_Antenne],Registre[Technologie],"Rien à signaler")</f>
        <v>3G</v>
      </c>
      <c r="I893" t="str">
        <f>_xlfn.XLOOKUP(Logs_Reseau6[[#This Row],[Cell_ID]],Registre[ID_Antenne],Registre[Equipementier],"Non Trouvée")</f>
        <v>Nokia</v>
      </c>
      <c r="J893" t="str">
        <f>_xlfn.XLOOKUP(Logs_Reseau6[[#This Row],[Id_Client]],Clients_Churn[ID_Client],Clients_Churn[Type_Forfait],"Pas d'information")</f>
        <v>Pro Monde</v>
      </c>
      <c r="K893" s="5" t="str">
        <f>IF(Logs_Reseau6[[#This Row],[Type_Forfait]]="Pro Monde","B2B","B2C")</f>
        <v>B2B</v>
      </c>
      <c r="L893" s="5">
        <f>_xlfn.XLOOKUP(Logs_Reseau6[[#This Row],[Id_Client]],Clients_Churn[ID_Client],Clients_Churn[Duree_Cumulee_Panne_Min],"Non Trouvée")</f>
        <v>344</v>
      </c>
      <c r="M893" s="5">
        <f>_xlfn.XLOOKUP(Logs_Reseau6[[#This Row],[Id_Client]],Clients_Churn[ID_Client],Clients_Churn[Anciennete_Mois],"Rien à signaler")</f>
        <v>119</v>
      </c>
      <c r="N893" s="11">
        <f>Logs_Reseau6[[#This Row],[Anciennette]]/24</f>
        <v>4.958333333333333</v>
      </c>
      <c r="O893" s="1">
        <f>Logs_Reseau6[[#This Row],[Duree_Cumulée_Panne]]/1440</f>
        <v>0.2388888888888889</v>
      </c>
      <c r="P89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894" spans="1:16" hidden="1" x14ac:dyDescent="0.25">
      <c r="A894" s="2">
        <v>45210</v>
      </c>
      <c r="B894" s="1">
        <v>0.83611111111111114</v>
      </c>
      <c r="C894" t="s">
        <v>1470</v>
      </c>
      <c r="D894">
        <v>25</v>
      </c>
      <c r="E894" t="s">
        <v>1305</v>
      </c>
      <c r="F894" t="str">
        <f>_xlfn.XLOOKUP(Logs_Reseau6[[#This Row],[Cell_ID]],Registre[ID_Antenne],Registre[Province_RDC],"Non Trouvée")</f>
        <v>Non Trouvée</v>
      </c>
      <c r="G894" t="str">
        <f>_xlfn.XLOOKUP(Logs_Reseau6[[#This Row],[Province]],Clients_Churn[Province_Client],Clients_Churn[ID_Client],"Aucun")</f>
        <v>Aucun</v>
      </c>
      <c r="H894" t="str">
        <f>_xlfn.XLOOKUP(Logs_Reseau6[[#This Row],[Cell_ID]],Registre[ID_Antenne],Registre[Technologie],"Rien à signaler")</f>
        <v>Rien à signaler</v>
      </c>
      <c r="I894" t="str">
        <f>_xlfn.XLOOKUP(Logs_Reseau6[[#This Row],[Cell_ID]],Registre[ID_Antenne],Registre[Equipementier],"Non Trouvée")</f>
        <v>Non Trouvée</v>
      </c>
      <c r="J894" t="str">
        <f>_xlfn.XLOOKUP(Logs_Reseau6[[#This Row],[Id_Client]],Clients_Churn[ID_Client],Clients_Churn[Type_Forfait],"Pas d'information")</f>
        <v>Pas d'information</v>
      </c>
      <c r="K894" s="5" t="str">
        <f>IF(Logs_Reseau6[[#This Row],[Type_Forfait]]="Pro Monde","B2B","B2C")</f>
        <v>B2C</v>
      </c>
      <c r="L894" s="5" t="str">
        <f>_xlfn.XLOOKUP(Logs_Reseau6[[#This Row],[Id_Client]],Clients_Churn[ID_Client],Clients_Churn[Duree_Cumulee_Panne_Min],"Non Trouvée")</f>
        <v>Non Trouvée</v>
      </c>
      <c r="M894" s="5" t="str">
        <f>_xlfn.XLOOKUP(Logs_Reseau6[[#This Row],[Id_Client]],Clients_Churn[ID_Client],Clients_Churn[Anciennete_Mois],"Rien à signaler")</f>
        <v>Rien à signaler</v>
      </c>
      <c r="N894" s="5" t="e">
        <f>Logs_Reseau6[[#This Row],[Anciennette]]/24</f>
        <v>#VALUE!</v>
      </c>
      <c r="O894" s="5" t="e">
        <f>Logs_Reseau6[[#This Row],[Duree_Cumulée_Panne]]/1440</f>
        <v>#VALUE!</v>
      </c>
      <c r="P89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895" spans="1:16" x14ac:dyDescent="0.25">
      <c r="A895" s="2">
        <v>45208</v>
      </c>
      <c r="B895" s="1">
        <v>7.2916666666666671E-2</v>
      </c>
      <c r="C895" t="s">
        <v>964</v>
      </c>
      <c r="D895">
        <v>68</v>
      </c>
      <c r="E895" t="s">
        <v>1300</v>
      </c>
      <c r="F895" t="str">
        <f>_xlfn.XLOOKUP(Logs_Reseau6[[#This Row],[Cell_ID]],Registre[ID_Antenne],Registre[Province_RDC],"Non Trouvée")</f>
        <v>Nord-Kivu</v>
      </c>
      <c r="G895" t="str">
        <f>_xlfn.XLOOKUP(Logs_Reseau6[[#This Row],[Province]],Clients_Churn[Province_Client],Clients_Churn[ID_Client],"Aucun")</f>
        <v>CLI-00043</v>
      </c>
      <c r="H895" t="str">
        <f>_xlfn.XLOOKUP(Logs_Reseau6[[#This Row],[Cell_ID]],Registre[ID_Antenne],Registre[Technologie],"Rien à signaler")</f>
        <v>3G</v>
      </c>
      <c r="I895" t="str">
        <f>_xlfn.XLOOKUP(Logs_Reseau6[[#This Row],[Cell_ID]],Registre[ID_Antenne],Registre[Equipementier],"Non Trouvée")</f>
        <v>Nokia</v>
      </c>
      <c r="J895" t="str">
        <f>_xlfn.XLOOKUP(Logs_Reseau6[[#This Row],[Id_Client]],Clients_Churn[ID_Client],Clients_Churn[Type_Forfait],"Pas d'information")</f>
        <v>Pro Monde</v>
      </c>
      <c r="K895" s="5" t="str">
        <f>IF(Logs_Reseau6[[#This Row],[Type_Forfait]]="Pro Monde","B2B","B2C")</f>
        <v>B2B</v>
      </c>
      <c r="L895" s="5">
        <f>_xlfn.XLOOKUP(Logs_Reseau6[[#This Row],[Id_Client]],Clients_Churn[ID_Client],Clients_Churn[Duree_Cumulee_Panne_Min],"Non Trouvée")</f>
        <v>132</v>
      </c>
      <c r="M895" s="5">
        <f>_xlfn.XLOOKUP(Logs_Reseau6[[#This Row],[Id_Client]],Clients_Churn[ID_Client],Clients_Churn[Anciennete_Mois],"Rien à signaler")</f>
        <v>118</v>
      </c>
      <c r="N895" s="11">
        <f>Logs_Reseau6[[#This Row],[Anciennette]]/24</f>
        <v>4.916666666666667</v>
      </c>
      <c r="O895" s="1">
        <f>Logs_Reseau6[[#This Row],[Duree_Cumulée_Panne]]/1440</f>
        <v>9.166666666666666E-2</v>
      </c>
      <c r="P89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96" spans="1:16" x14ac:dyDescent="0.25">
      <c r="A896" s="2">
        <v>45210</v>
      </c>
      <c r="B896" s="1">
        <v>0.39166666666666666</v>
      </c>
      <c r="C896" t="s">
        <v>964</v>
      </c>
      <c r="D896">
        <v>85</v>
      </c>
      <c r="E896" t="s">
        <v>1303</v>
      </c>
      <c r="F896" t="str">
        <f>_xlfn.XLOOKUP(Logs_Reseau6[[#This Row],[Cell_ID]],Registre[ID_Antenne],Registre[Province_RDC],"Non Trouvée")</f>
        <v>Nord-Kivu</v>
      </c>
      <c r="G896" t="str">
        <f>_xlfn.XLOOKUP(Logs_Reseau6[[#This Row],[Province]],Clients_Churn[Province_Client],Clients_Churn[ID_Client],"Aucun")</f>
        <v>CLI-00043</v>
      </c>
      <c r="H896" t="str">
        <f>_xlfn.XLOOKUP(Logs_Reseau6[[#This Row],[Cell_ID]],Registre[ID_Antenne],Registre[Technologie],"Rien à signaler")</f>
        <v>3G</v>
      </c>
      <c r="I896" t="str">
        <f>_xlfn.XLOOKUP(Logs_Reseau6[[#This Row],[Cell_ID]],Registre[ID_Antenne],Registre[Equipementier],"Non Trouvée")</f>
        <v>Nokia</v>
      </c>
      <c r="J896" t="str">
        <f>_xlfn.XLOOKUP(Logs_Reseau6[[#This Row],[Id_Client]],Clients_Churn[ID_Client],Clients_Churn[Type_Forfait],"Pas d'information")</f>
        <v>Pro Monde</v>
      </c>
      <c r="K896" s="5" t="str">
        <f>IF(Logs_Reseau6[[#This Row],[Type_Forfait]]="Pro Monde","B2B","B2C")</f>
        <v>B2B</v>
      </c>
      <c r="L896" s="5">
        <f>_xlfn.XLOOKUP(Logs_Reseau6[[#This Row],[Id_Client]],Clients_Churn[ID_Client],Clients_Churn[Duree_Cumulee_Panne_Min],"Non Trouvée")</f>
        <v>132</v>
      </c>
      <c r="M896" s="5">
        <f>_xlfn.XLOOKUP(Logs_Reseau6[[#This Row],[Id_Client]],Clients_Churn[ID_Client],Clients_Churn[Anciennete_Mois],"Rien à signaler")</f>
        <v>118</v>
      </c>
      <c r="N896" s="11">
        <f>Logs_Reseau6[[#This Row],[Anciennette]]/24</f>
        <v>4.916666666666667</v>
      </c>
      <c r="O896" s="1">
        <f>Logs_Reseau6[[#This Row],[Duree_Cumulée_Panne]]/1440</f>
        <v>9.166666666666666E-2</v>
      </c>
      <c r="P89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897" spans="1:16" x14ac:dyDescent="0.25">
      <c r="A897" s="2">
        <v>45211</v>
      </c>
      <c r="B897" s="1">
        <v>4.583333333333333E-2</v>
      </c>
      <c r="C897" t="s">
        <v>929</v>
      </c>
      <c r="D897">
        <v>18</v>
      </c>
      <c r="E897" t="s">
        <v>1305</v>
      </c>
      <c r="F897" t="str">
        <f>_xlfn.XLOOKUP(Logs_Reseau6[[#This Row],[Cell_ID]],Registre[ID_Antenne],Registre[Province_RDC],"Non Trouvée")</f>
        <v>Mongala</v>
      </c>
      <c r="G897" t="str">
        <f>_xlfn.XLOOKUP(Logs_Reseau6[[#This Row],[Province]],Clients_Churn[Province_Client],Clients_Churn[ID_Client],"Aucun")</f>
        <v>CLI-00011</v>
      </c>
      <c r="H897" t="str">
        <f>_xlfn.XLOOKUP(Logs_Reseau6[[#This Row],[Cell_ID]],Registre[ID_Antenne],Registre[Technologie],"Rien à signaler")</f>
        <v>5G</v>
      </c>
      <c r="I897" t="str">
        <f>_xlfn.XLOOKUP(Logs_Reseau6[[#This Row],[Cell_ID]],Registre[ID_Antenne],Registre[Equipementier],"Non Trouvée")</f>
        <v>Huawei</v>
      </c>
      <c r="J897" t="str">
        <f>_xlfn.XLOOKUP(Logs_Reseau6[[#This Row],[Id_Client]],Clients_Churn[ID_Client],Clients_Churn[Type_Forfait],"Pas d'information")</f>
        <v>Illimité 50Go</v>
      </c>
      <c r="K897" s="5" t="str">
        <f>IF(Logs_Reseau6[[#This Row],[Type_Forfait]]="Pro Monde","B2B","B2C")</f>
        <v>B2C</v>
      </c>
      <c r="L897" s="5">
        <f>_xlfn.XLOOKUP(Logs_Reseau6[[#This Row],[Id_Client]],Clients_Churn[ID_Client],Clients_Churn[Duree_Cumulee_Panne_Min],"Non Trouvée")</f>
        <v>86</v>
      </c>
      <c r="M897" s="5">
        <f>_xlfn.XLOOKUP(Logs_Reseau6[[#This Row],[Id_Client]],Clients_Churn[ID_Client],Clients_Churn[Anciennete_Mois],"Rien à signaler")</f>
        <v>49</v>
      </c>
      <c r="N897" s="11">
        <f>Logs_Reseau6[[#This Row],[Anciennette]]/24</f>
        <v>2.0416666666666665</v>
      </c>
      <c r="O897" s="1">
        <f>Logs_Reseau6[[#This Row],[Duree_Cumulée_Panne]]/1440</f>
        <v>5.9722222222222225E-2</v>
      </c>
      <c r="P89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98" spans="1:16" x14ac:dyDescent="0.25">
      <c r="A898" s="2">
        <v>45217</v>
      </c>
      <c r="B898" s="1">
        <v>0.89166666666666672</v>
      </c>
      <c r="C898" t="s">
        <v>929</v>
      </c>
      <c r="D898">
        <v>108</v>
      </c>
      <c r="E898" t="s">
        <v>1305</v>
      </c>
      <c r="F898" t="str">
        <f>_xlfn.XLOOKUP(Logs_Reseau6[[#This Row],[Cell_ID]],Registre[ID_Antenne],Registre[Province_RDC],"Non Trouvée")</f>
        <v>Mongala</v>
      </c>
      <c r="G898" t="str">
        <f>_xlfn.XLOOKUP(Logs_Reseau6[[#This Row],[Province]],Clients_Churn[Province_Client],Clients_Churn[ID_Client],"Aucun")</f>
        <v>CLI-00011</v>
      </c>
      <c r="H898" t="str">
        <f>_xlfn.XLOOKUP(Logs_Reseau6[[#This Row],[Cell_ID]],Registre[ID_Antenne],Registre[Technologie],"Rien à signaler")</f>
        <v>5G</v>
      </c>
      <c r="I898" t="str">
        <f>_xlfn.XLOOKUP(Logs_Reseau6[[#This Row],[Cell_ID]],Registre[ID_Antenne],Registre[Equipementier],"Non Trouvée")</f>
        <v>Huawei</v>
      </c>
      <c r="J898" t="str">
        <f>_xlfn.XLOOKUP(Logs_Reseau6[[#This Row],[Id_Client]],Clients_Churn[ID_Client],Clients_Churn[Type_Forfait],"Pas d'information")</f>
        <v>Illimité 50Go</v>
      </c>
      <c r="K898" s="5" t="str">
        <f>IF(Logs_Reseau6[[#This Row],[Type_Forfait]]="Pro Monde","B2B","B2C")</f>
        <v>B2C</v>
      </c>
      <c r="L898" s="5">
        <f>_xlfn.XLOOKUP(Logs_Reseau6[[#This Row],[Id_Client]],Clients_Churn[ID_Client],Clients_Churn[Duree_Cumulee_Panne_Min],"Non Trouvée")</f>
        <v>86</v>
      </c>
      <c r="M898" s="5">
        <f>_xlfn.XLOOKUP(Logs_Reseau6[[#This Row],[Id_Client]],Clients_Churn[ID_Client],Clients_Churn[Anciennete_Mois],"Rien à signaler")</f>
        <v>49</v>
      </c>
      <c r="N898" s="11">
        <f>Logs_Reseau6[[#This Row],[Anciennette]]/24</f>
        <v>2.0416666666666665</v>
      </c>
      <c r="O898" s="1">
        <f>Logs_Reseau6[[#This Row],[Duree_Cumulée_Panne]]/1440</f>
        <v>5.9722222222222225E-2</v>
      </c>
      <c r="P89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899" spans="1:16" x14ac:dyDescent="0.25">
      <c r="A899" s="2">
        <v>45222</v>
      </c>
      <c r="B899" s="1">
        <v>0.18888888888888888</v>
      </c>
      <c r="C899" t="s">
        <v>929</v>
      </c>
      <c r="D899">
        <v>33</v>
      </c>
      <c r="E899" t="s">
        <v>1300</v>
      </c>
      <c r="F899" t="str">
        <f>_xlfn.XLOOKUP(Logs_Reseau6[[#This Row],[Cell_ID]],Registre[ID_Antenne],Registre[Province_RDC],"Non Trouvée")</f>
        <v>Mongala</v>
      </c>
      <c r="G899" t="str">
        <f>_xlfn.XLOOKUP(Logs_Reseau6[[#This Row],[Province]],Clients_Churn[Province_Client],Clients_Churn[ID_Client],"Aucun")</f>
        <v>CLI-00011</v>
      </c>
      <c r="H899" t="str">
        <f>_xlfn.XLOOKUP(Logs_Reseau6[[#This Row],[Cell_ID]],Registre[ID_Antenne],Registre[Technologie],"Rien à signaler")</f>
        <v>5G</v>
      </c>
      <c r="I899" t="str">
        <f>_xlfn.XLOOKUP(Logs_Reseau6[[#This Row],[Cell_ID]],Registre[ID_Antenne],Registre[Equipementier],"Non Trouvée")</f>
        <v>Huawei</v>
      </c>
      <c r="J899" t="str">
        <f>_xlfn.XLOOKUP(Logs_Reseau6[[#This Row],[Id_Client]],Clients_Churn[ID_Client],Clients_Churn[Type_Forfait],"Pas d'information")</f>
        <v>Illimité 50Go</v>
      </c>
      <c r="K899" s="5" t="str">
        <f>IF(Logs_Reseau6[[#This Row],[Type_Forfait]]="Pro Monde","B2B","B2C")</f>
        <v>B2C</v>
      </c>
      <c r="L899" s="5">
        <f>_xlfn.XLOOKUP(Logs_Reseau6[[#This Row],[Id_Client]],Clients_Churn[ID_Client],Clients_Churn[Duree_Cumulee_Panne_Min],"Non Trouvée")</f>
        <v>86</v>
      </c>
      <c r="M899" s="5">
        <f>_xlfn.XLOOKUP(Logs_Reseau6[[#This Row],[Id_Client]],Clients_Churn[ID_Client],Clients_Churn[Anciennete_Mois],"Rien à signaler")</f>
        <v>49</v>
      </c>
      <c r="N899" s="11">
        <f>Logs_Reseau6[[#This Row],[Anciennette]]/24</f>
        <v>2.0416666666666665</v>
      </c>
      <c r="O899" s="1">
        <f>Logs_Reseau6[[#This Row],[Duree_Cumulée_Panne]]/1440</f>
        <v>5.9722222222222225E-2</v>
      </c>
      <c r="P89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00" spans="1:16" x14ac:dyDescent="0.25">
      <c r="A900" s="2">
        <v>45223</v>
      </c>
      <c r="B900" s="1">
        <v>0.75972222222222219</v>
      </c>
      <c r="C900" t="s">
        <v>929</v>
      </c>
      <c r="D900">
        <v>78</v>
      </c>
      <c r="E900" t="s">
        <v>1303</v>
      </c>
      <c r="F900" t="str">
        <f>_xlfn.XLOOKUP(Logs_Reseau6[[#This Row],[Cell_ID]],Registre[ID_Antenne],Registre[Province_RDC],"Non Trouvée")</f>
        <v>Mongala</v>
      </c>
      <c r="G900" t="str">
        <f>_xlfn.XLOOKUP(Logs_Reseau6[[#This Row],[Province]],Clients_Churn[Province_Client],Clients_Churn[ID_Client],"Aucun")</f>
        <v>CLI-00011</v>
      </c>
      <c r="H900" t="str">
        <f>_xlfn.XLOOKUP(Logs_Reseau6[[#This Row],[Cell_ID]],Registre[ID_Antenne],Registre[Technologie],"Rien à signaler")</f>
        <v>5G</v>
      </c>
      <c r="I900" t="str">
        <f>_xlfn.XLOOKUP(Logs_Reseau6[[#This Row],[Cell_ID]],Registre[ID_Antenne],Registre[Equipementier],"Non Trouvée")</f>
        <v>Huawei</v>
      </c>
      <c r="J900" t="str">
        <f>_xlfn.XLOOKUP(Logs_Reseau6[[#This Row],[Id_Client]],Clients_Churn[ID_Client],Clients_Churn[Type_Forfait],"Pas d'information")</f>
        <v>Illimité 50Go</v>
      </c>
      <c r="K900" s="5" t="str">
        <f>IF(Logs_Reseau6[[#This Row],[Type_Forfait]]="Pro Monde","B2B","B2C")</f>
        <v>B2C</v>
      </c>
      <c r="L900" s="5">
        <f>_xlfn.XLOOKUP(Logs_Reseau6[[#This Row],[Id_Client]],Clients_Churn[ID_Client],Clients_Churn[Duree_Cumulee_Panne_Min],"Non Trouvée")</f>
        <v>86</v>
      </c>
      <c r="M900" s="5">
        <f>_xlfn.XLOOKUP(Logs_Reseau6[[#This Row],[Id_Client]],Clients_Churn[ID_Client],Clients_Churn[Anciennete_Mois],"Rien à signaler")</f>
        <v>49</v>
      </c>
      <c r="N900" s="11">
        <f>Logs_Reseau6[[#This Row],[Anciennette]]/24</f>
        <v>2.0416666666666665</v>
      </c>
      <c r="O900" s="1">
        <f>Logs_Reseau6[[#This Row],[Duree_Cumulée_Panne]]/1440</f>
        <v>5.9722222222222225E-2</v>
      </c>
      <c r="P90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01" spans="1:16" x14ac:dyDescent="0.25">
      <c r="A901" s="2">
        <v>45224</v>
      </c>
      <c r="B901" s="1">
        <v>0.11527777777777778</v>
      </c>
      <c r="C901" t="s">
        <v>1279</v>
      </c>
      <c r="D901">
        <v>45</v>
      </c>
      <c r="E901" t="s">
        <v>1303</v>
      </c>
      <c r="F901" t="str">
        <f>_xlfn.XLOOKUP(Logs_Reseau6[[#This Row],[Cell_ID]],Registre[ID_Antenne],Registre[Province_RDC],"Non Trouvée")</f>
        <v>Tshopo</v>
      </c>
      <c r="G901" t="str">
        <f>_xlfn.XLOOKUP(Logs_Reseau6[[#This Row],[Province]],Clients_Churn[Province_Client],Clients_Churn[ID_Client],"Aucun")</f>
        <v>CLI-00100</v>
      </c>
      <c r="H901" t="str">
        <f>_xlfn.XLOOKUP(Logs_Reseau6[[#This Row],[Cell_ID]],Registre[ID_Antenne],Registre[Technologie],"Rien à signaler")</f>
        <v>4G</v>
      </c>
      <c r="I901" t="str">
        <f>_xlfn.XLOOKUP(Logs_Reseau6[[#This Row],[Cell_ID]],Registre[ID_Antenne],Registre[Equipementier],"Non Trouvée")</f>
        <v>Ericsson</v>
      </c>
      <c r="J901" t="str">
        <f>_xlfn.XLOOKUP(Logs_Reseau6[[#This Row],[Id_Client]],Clients_Churn[ID_Client],Clients_Churn[Type_Forfait],"Pas d'information")</f>
        <v>Bloqué 5Go</v>
      </c>
      <c r="K901" s="5" t="str">
        <f>IF(Logs_Reseau6[[#This Row],[Type_Forfait]]="Pro Monde","B2B","B2C")</f>
        <v>B2C</v>
      </c>
      <c r="L901" s="5">
        <f>_xlfn.XLOOKUP(Logs_Reseau6[[#This Row],[Id_Client]],Clients_Churn[ID_Client],Clients_Churn[Duree_Cumulee_Panne_Min],"Non Trouvée")</f>
        <v>388</v>
      </c>
      <c r="M901" s="5">
        <f>_xlfn.XLOOKUP(Logs_Reseau6[[#This Row],[Id_Client]],Clients_Churn[ID_Client],Clients_Churn[Anciennete_Mois],"Rien à signaler")</f>
        <v>74</v>
      </c>
      <c r="N901" s="11">
        <f>Logs_Reseau6[[#This Row],[Anciennette]]/24</f>
        <v>3.0833333333333335</v>
      </c>
      <c r="O901" s="1">
        <f>Logs_Reseau6[[#This Row],[Duree_Cumulée_Panne]]/1440</f>
        <v>0.26944444444444443</v>
      </c>
      <c r="P90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02" spans="1:16" x14ac:dyDescent="0.25">
      <c r="A902" s="2">
        <v>45228</v>
      </c>
      <c r="B902" s="1">
        <v>0.56319444444444444</v>
      </c>
      <c r="C902" t="s">
        <v>1279</v>
      </c>
      <c r="D902">
        <v>44</v>
      </c>
      <c r="E902" t="s">
        <v>1300</v>
      </c>
      <c r="F902" t="str">
        <f>_xlfn.XLOOKUP(Logs_Reseau6[[#This Row],[Cell_ID]],Registre[ID_Antenne],Registre[Province_RDC],"Non Trouvée")</f>
        <v>Tshopo</v>
      </c>
      <c r="G902" t="str">
        <f>_xlfn.XLOOKUP(Logs_Reseau6[[#This Row],[Province]],Clients_Churn[Province_Client],Clients_Churn[ID_Client],"Aucun")</f>
        <v>CLI-00100</v>
      </c>
      <c r="H902" t="str">
        <f>_xlfn.XLOOKUP(Logs_Reseau6[[#This Row],[Cell_ID]],Registre[ID_Antenne],Registre[Technologie],"Rien à signaler")</f>
        <v>4G</v>
      </c>
      <c r="I902" t="str">
        <f>_xlfn.XLOOKUP(Logs_Reseau6[[#This Row],[Cell_ID]],Registre[ID_Antenne],Registre[Equipementier],"Non Trouvée")</f>
        <v>Ericsson</v>
      </c>
      <c r="J902" t="str">
        <f>_xlfn.XLOOKUP(Logs_Reseau6[[#This Row],[Id_Client]],Clients_Churn[ID_Client],Clients_Churn[Type_Forfait],"Pas d'information")</f>
        <v>Bloqué 5Go</v>
      </c>
      <c r="K902" s="5" t="str">
        <f>IF(Logs_Reseau6[[#This Row],[Type_Forfait]]="Pro Monde","B2B","B2C")</f>
        <v>B2C</v>
      </c>
      <c r="L902" s="5">
        <f>_xlfn.XLOOKUP(Logs_Reseau6[[#This Row],[Id_Client]],Clients_Churn[ID_Client],Clients_Churn[Duree_Cumulee_Panne_Min],"Non Trouvée")</f>
        <v>388</v>
      </c>
      <c r="M902" s="5">
        <f>_xlfn.XLOOKUP(Logs_Reseau6[[#This Row],[Id_Client]],Clients_Churn[ID_Client],Clients_Churn[Anciennete_Mois],"Rien à signaler")</f>
        <v>74</v>
      </c>
      <c r="N902" s="11">
        <f>Logs_Reseau6[[#This Row],[Anciennette]]/24</f>
        <v>3.0833333333333335</v>
      </c>
      <c r="O902" s="1">
        <f>Logs_Reseau6[[#This Row],[Duree_Cumulée_Panne]]/1440</f>
        <v>0.26944444444444443</v>
      </c>
      <c r="P90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03" spans="1:16" hidden="1" x14ac:dyDescent="0.25">
      <c r="A903" s="2">
        <v>45225</v>
      </c>
      <c r="B903" s="1">
        <v>0.94930555555555551</v>
      </c>
      <c r="C903" t="s">
        <v>1564</v>
      </c>
      <c r="D903">
        <v>117</v>
      </c>
      <c r="E903" t="s">
        <v>1300</v>
      </c>
      <c r="F903" t="str">
        <f>_xlfn.XLOOKUP(Logs_Reseau6[[#This Row],[Cell_ID]],Registre[ID_Antenne],Registre[Province_RDC],"Non Trouvée")</f>
        <v>Non Trouvée</v>
      </c>
      <c r="G903" t="str">
        <f>_xlfn.XLOOKUP(Logs_Reseau6[[#This Row],[Province]],Clients_Churn[Province_Client],Clients_Churn[ID_Client],"Aucun")</f>
        <v>Aucun</v>
      </c>
      <c r="H903" t="str">
        <f>_xlfn.XLOOKUP(Logs_Reseau6[[#This Row],[Cell_ID]],Registre[ID_Antenne],Registre[Technologie],"Rien à signaler")</f>
        <v>Rien à signaler</v>
      </c>
      <c r="I903" t="str">
        <f>_xlfn.XLOOKUP(Logs_Reseau6[[#This Row],[Cell_ID]],Registre[ID_Antenne],Registre[Equipementier],"Non Trouvée")</f>
        <v>Non Trouvée</v>
      </c>
      <c r="J903" t="str">
        <f>_xlfn.XLOOKUP(Logs_Reseau6[[#This Row],[Id_Client]],Clients_Churn[ID_Client],Clients_Churn[Type_Forfait],"Pas d'information")</f>
        <v>Pas d'information</v>
      </c>
      <c r="K903" s="5" t="str">
        <f>IF(Logs_Reseau6[[#This Row],[Type_Forfait]]="Pro Monde","B2B","B2C")</f>
        <v>B2C</v>
      </c>
      <c r="L903" s="5" t="str">
        <f>_xlfn.XLOOKUP(Logs_Reseau6[[#This Row],[Id_Client]],Clients_Churn[ID_Client],Clients_Churn[Duree_Cumulee_Panne_Min],"Non Trouvée")</f>
        <v>Non Trouvée</v>
      </c>
      <c r="M903" s="5" t="str">
        <f>_xlfn.XLOOKUP(Logs_Reseau6[[#This Row],[Id_Client]],Clients_Churn[ID_Client],Clients_Churn[Anciennete_Mois],"Rien à signaler")</f>
        <v>Rien à signaler</v>
      </c>
      <c r="N903" s="5" t="e">
        <f>Logs_Reseau6[[#This Row],[Anciennette]]/24</f>
        <v>#VALUE!</v>
      </c>
      <c r="O903" s="5" t="e">
        <f>Logs_Reseau6[[#This Row],[Duree_Cumulée_Panne]]/1440</f>
        <v>#VALUE!</v>
      </c>
      <c r="P90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04" spans="1:16" x14ac:dyDescent="0.25">
      <c r="A904" s="2">
        <v>45221</v>
      </c>
      <c r="B904" s="1">
        <v>0.55902777777777779</v>
      </c>
      <c r="C904" t="s">
        <v>1023</v>
      </c>
      <c r="D904">
        <v>22</v>
      </c>
      <c r="E904" t="s">
        <v>1300</v>
      </c>
      <c r="F904" t="str">
        <f>_xlfn.XLOOKUP(Logs_Reseau6[[#This Row],[Cell_ID]],Registre[ID_Antenne],Registre[Province_RDC],"Non Trouvée")</f>
        <v>Kwango</v>
      </c>
      <c r="G904" t="str">
        <f>_xlfn.XLOOKUP(Logs_Reseau6[[#This Row],[Province]],Clients_Churn[Province_Client],Clients_Churn[ID_Client],"Aucun")</f>
        <v>CLI-00094</v>
      </c>
      <c r="H904" t="str">
        <f>_xlfn.XLOOKUP(Logs_Reseau6[[#This Row],[Cell_ID]],Registre[ID_Antenne],Registre[Technologie],"Rien à signaler")</f>
        <v>5G</v>
      </c>
      <c r="I904" t="str">
        <f>_xlfn.XLOOKUP(Logs_Reseau6[[#This Row],[Cell_ID]],Registre[ID_Antenne],Registre[Equipementier],"Non Trouvée")</f>
        <v>Ericsson</v>
      </c>
      <c r="J904" t="str">
        <f>_xlfn.XLOOKUP(Logs_Reseau6[[#This Row],[Id_Client]],Clients_Churn[ID_Client],Clients_Churn[Type_Forfait],"Pas d'information")</f>
        <v>Pro Monde</v>
      </c>
      <c r="K904" s="5" t="str">
        <f>IF(Logs_Reseau6[[#This Row],[Type_Forfait]]="Pro Monde","B2B","B2C")</f>
        <v>B2B</v>
      </c>
      <c r="L904" s="5">
        <f>_xlfn.XLOOKUP(Logs_Reseau6[[#This Row],[Id_Client]],Clients_Churn[ID_Client],Clients_Churn[Duree_Cumulee_Panne_Min],"Non Trouvée")</f>
        <v>493</v>
      </c>
      <c r="M904" s="5">
        <f>_xlfn.XLOOKUP(Logs_Reseau6[[#This Row],[Id_Client]],Clients_Churn[ID_Client],Clients_Churn[Anciennete_Mois],"Rien à signaler")</f>
        <v>29</v>
      </c>
      <c r="N904" s="11">
        <f>Logs_Reseau6[[#This Row],[Anciennette]]/24</f>
        <v>1.2083333333333333</v>
      </c>
      <c r="O904" s="1">
        <f>Logs_Reseau6[[#This Row],[Duree_Cumulée_Panne]]/1440</f>
        <v>0.34236111111111112</v>
      </c>
      <c r="P90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05" spans="1:16" hidden="1" x14ac:dyDescent="0.25">
      <c r="A905" s="2">
        <v>45213</v>
      </c>
      <c r="B905" s="1">
        <v>0.59305555555555556</v>
      </c>
      <c r="C905" t="s">
        <v>1498</v>
      </c>
      <c r="D905">
        <v>50</v>
      </c>
      <c r="E905" t="s">
        <v>1305</v>
      </c>
      <c r="F905" t="str">
        <f>_xlfn.XLOOKUP(Logs_Reseau6[[#This Row],[Cell_ID]],Registre[ID_Antenne],Registre[Province_RDC],"Non Trouvée")</f>
        <v>Non Trouvée</v>
      </c>
      <c r="G905" t="str">
        <f>_xlfn.XLOOKUP(Logs_Reseau6[[#This Row],[Province]],Clients_Churn[Province_Client],Clients_Churn[ID_Client],"Aucun")</f>
        <v>Aucun</v>
      </c>
      <c r="H905" t="str">
        <f>_xlfn.XLOOKUP(Logs_Reseau6[[#This Row],[Cell_ID]],Registre[ID_Antenne],Registre[Technologie],"Rien à signaler")</f>
        <v>Rien à signaler</v>
      </c>
      <c r="I905" t="str">
        <f>_xlfn.XLOOKUP(Logs_Reseau6[[#This Row],[Cell_ID]],Registre[ID_Antenne],Registre[Equipementier],"Non Trouvée")</f>
        <v>Non Trouvée</v>
      </c>
      <c r="J905" t="str">
        <f>_xlfn.XLOOKUP(Logs_Reseau6[[#This Row],[Id_Client]],Clients_Churn[ID_Client],Clients_Churn[Type_Forfait],"Pas d'information")</f>
        <v>Pas d'information</v>
      </c>
      <c r="K905" s="5" t="str">
        <f>IF(Logs_Reseau6[[#This Row],[Type_Forfait]]="Pro Monde","B2B","B2C")</f>
        <v>B2C</v>
      </c>
      <c r="L905" s="5" t="str">
        <f>_xlfn.XLOOKUP(Logs_Reseau6[[#This Row],[Id_Client]],Clients_Churn[ID_Client],Clients_Churn[Duree_Cumulee_Panne_Min],"Non Trouvée")</f>
        <v>Non Trouvée</v>
      </c>
      <c r="M905" s="5" t="str">
        <f>_xlfn.XLOOKUP(Logs_Reseau6[[#This Row],[Id_Client]],Clients_Churn[ID_Client],Clients_Churn[Anciennete_Mois],"Rien à signaler")</f>
        <v>Rien à signaler</v>
      </c>
      <c r="N905" s="5" t="e">
        <f>Logs_Reseau6[[#This Row],[Anciennette]]/24</f>
        <v>#VALUE!</v>
      </c>
      <c r="O905" s="5" t="e">
        <f>Logs_Reseau6[[#This Row],[Duree_Cumulée_Panne]]/1440</f>
        <v>#VALUE!</v>
      </c>
      <c r="P90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06" spans="1:16" hidden="1" x14ac:dyDescent="0.25">
      <c r="A906" s="2">
        <v>45219</v>
      </c>
      <c r="B906" s="1">
        <v>0.10625</v>
      </c>
      <c r="C906" t="s">
        <v>1498</v>
      </c>
      <c r="D906">
        <v>87</v>
      </c>
      <c r="E906" t="s">
        <v>1303</v>
      </c>
      <c r="F906" t="str">
        <f>_xlfn.XLOOKUP(Logs_Reseau6[[#This Row],[Cell_ID]],Registre[ID_Antenne],Registre[Province_RDC],"Non Trouvée")</f>
        <v>Non Trouvée</v>
      </c>
      <c r="G906" t="str">
        <f>_xlfn.XLOOKUP(Logs_Reseau6[[#This Row],[Province]],Clients_Churn[Province_Client],Clients_Churn[ID_Client],"Aucun")</f>
        <v>Aucun</v>
      </c>
      <c r="H906" t="str">
        <f>_xlfn.XLOOKUP(Logs_Reseau6[[#This Row],[Cell_ID]],Registre[ID_Antenne],Registre[Technologie],"Rien à signaler")</f>
        <v>Rien à signaler</v>
      </c>
      <c r="I906" t="str">
        <f>_xlfn.XLOOKUP(Logs_Reseau6[[#This Row],[Cell_ID]],Registre[ID_Antenne],Registre[Equipementier],"Non Trouvée")</f>
        <v>Non Trouvée</v>
      </c>
      <c r="J906" t="str">
        <f>_xlfn.XLOOKUP(Logs_Reseau6[[#This Row],[Id_Client]],Clients_Churn[ID_Client],Clients_Churn[Type_Forfait],"Pas d'information")</f>
        <v>Pas d'information</v>
      </c>
      <c r="K906" s="5" t="str">
        <f>IF(Logs_Reseau6[[#This Row],[Type_Forfait]]="Pro Monde","B2B","B2C")</f>
        <v>B2C</v>
      </c>
      <c r="L906" s="5" t="str">
        <f>_xlfn.XLOOKUP(Logs_Reseau6[[#This Row],[Id_Client]],Clients_Churn[ID_Client],Clients_Churn[Duree_Cumulee_Panne_Min],"Non Trouvée")</f>
        <v>Non Trouvée</v>
      </c>
      <c r="M906" s="5" t="str">
        <f>_xlfn.XLOOKUP(Logs_Reseau6[[#This Row],[Id_Client]],Clients_Churn[ID_Client],Clients_Churn[Anciennete_Mois],"Rien à signaler")</f>
        <v>Rien à signaler</v>
      </c>
      <c r="N906" s="5" t="e">
        <f>Logs_Reseau6[[#This Row],[Anciennette]]/24</f>
        <v>#VALUE!</v>
      </c>
      <c r="O906" s="5" t="e">
        <f>Logs_Reseau6[[#This Row],[Duree_Cumulée_Panne]]/1440</f>
        <v>#VALUE!</v>
      </c>
      <c r="P90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07" spans="1:16" x14ac:dyDescent="0.25">
      <c r="A907" s="2">
        <v>45207</v>
      </c>
      <c r="B907" s="1">
        <v>0.14930555555555555</v>
      </c>
      <c r="C907" t="s">
        <v>1126</v>
      </c>
      <c r="D907">
        <v>101</v>
      </c>
      <c r="E907" t="s">
        <v>1305</v>
      </c>
      <c r="F907" t="str">
        <f>_xlfn.XLOOKUP(Logs_Reseau6[[#This Row],[Cell_ID]],Registre[ID_Antenne],Registre[Province_RDC],"Non Trouvée")</f>
        <v>Lualaba</v>
      </c>
      <c r="G907" t="str">
        <f>_xlfn.XLOOKUP(Logs_Reseau6[[#This Row],[Province]],Clients_Churn[Province_Client],Clients_Churn[ID_Client],"Aucun")</f>
        <v>CLI-00334</v>
      </c>
      <c r="H907" t="str">
        <f>_xlfn.XLOOKUP(Logs_Reseau6[[#This Row],[Cell_ID]],Registre[ID_Antenne],Registre[Technologie],"Rien à signaler")</f>
        <v>3G</v>
      </c>
      <c r="I907" t="str">
        <f>_xlfn.XLOOKUP(Logs_Reseau6[[#This Row],[Cell_ID]],Registre[ID_Antenne],Registre[Equipementier],"Non Trouvée")</f>
        <v>ZTE</v>
      </c>
      <c r="J907" t="str">
        <f>_xlfn.XLOOKUP(Logs_Reseau6[[#This Row],[Id_Client]],Clients_Churn[ID_Client],Clients_Churn[Type_Forfait],"Pas d'information")</f>
        <v>Pro Monde</v>
      </c>
      <c r="K907" s="5" t="str">
        <f>IF(Logs_Reseau6[[#This Row],[Type_Forfait]]="Pro Monde","B2B","B2C")</f>
        <v>B2B</v>
      </c>
      <c r="L907" s="5">
        <f>_xlfn.XLOOKUP(Logs_Reseau6[[#This Row],[Id_Client]],Clients_Churn[ID_Client],Clients_Churn[Duree_Cumulee_Panne_Min],"Non Trouvée")</f>
        <v>214</v>
      </c>
      <c r="M907" s="5">
        <f>_xlfn.XLOOKUP(Logs_Reseau6[[#This Row],[Id_Client]],Clients_Churn[ID_Client],Clients_Churn[Anciennete_Mois],"Rien à signaler")</f>
        <v>16</v>
      </c>
      <c r="N907" s="11">
        <f>Logs_Reseau6[[#This Row],[Anciennette]]/24</f>
        <v>0.66666666666666663</v>
      </c>
      <c r="O907" s="1">
        <f>Logs_Reseau6[[#This Row],[Duree_Cumulée_Panne]]/1440</f>
        <v>0.14861111111111111</v>
      </c>
      <c r="P90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08" spans="1:16" x14ac:dyDescent="0.25">
      <c r="A908" s="2">
        <v>45208</v>
      </c>
      <c r="B908" s="1">
        <v>0.52847222222222223</v>
      </c>
      <c r="C908" t="s">
        <v>1126</v>
      </c>
      <c r="D908">
        <v>33</v>
      </c>
      <c r="E908" t="s">
        <v>1303</v>
      </c>
      <c r="F908" t="str">
        <f>_xlfn.XLOOKUP(Logs_Reseau6[[#This Row],[Cell_ID]],Registre[ID_Antenne],Registre[Province_RDC],"Non Trouvée")</f>
        <v>Lualaba</v>
      </c>
      <c r="G908" t="str">
        <f>_xlfn.XLOOKUP(Logs_Reseau6[[#This Row],[Province]],Clients_Churn[Province_Client],Clients_Churn[ID_Client],"Aucun")</f>
        <v>CLI-00334</v>
      </c>
      <c r="H908" t="str">
        <f>_xlfn.XLOOKUP(Logs_Reseau6[[#This Row],[Cell_ID]],Registre[ID_Antenne],Registre[Technologie],"Rien à signaler")</f>
        <v>3G</v>
      </c>
      <c r="I908" t="str">
        <f>_xlfn.XLOOKUP(Logs_Reseau6[[#This Row],[Cell_ID]],Registre[ID_Antenne],Registre[Equipementier],"Non Trouvée")</f>
        <v>ZTE</v>
      </c>
      <c r="J908" t="str">
        <f>_xlfn.XLOOKUP(Logs_Reseau6[[#This Row],[Id_Client]],Clients_Churn[ID_Client],Clients_Churn[Type_Forfait],"Pas d'information")</f>
        <v>Pro Monde</v>
      </c>
      <c r="K908" s="5" t="str">
        <f>IF(Logs_Reseau6[[#This Row],[Type_Forfait]]="Pro Monde","B2B","B2C")</f>
        <v>B2B</v>
      </c>
      <c r="L908" s="5">
        <f>_xlfn.XLOOKUP(Logs_Reseau6[[#This Row],[Id_Client]],Clients_Churn[ID_Client],Clients_Churn[Duree_Cumulee_Panne_Min],"Non Trouvée")</f>
        <v>214</v>
      </c>
      <c r="M908" s="5">
        <f>_xlfn.XLOOKUP(Logs_Reseau6[[#This Row],[Id_Client]],Clients_Churn[ID_Client],Clients_Churn[Anciennete_Mois],"Rien à signaler")</f>
        <v>16</v>
      </c>
      <c r="N908" s="11">
        <f>Logs_Reseau6[[#This Row],[Anciennette]]/24</f>
        <v>0.66666666666666663</v>
      </c>
      <c r="O908" s="1">
        <f>Logs_Reseau6[[#This Row],[Duree_Cumulée_Panne]]/1440</f>
        <v>0.14861111111111111</v>
      </c>
      <c r="P90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09" spans="1:16" x14ac:dyDescent="0.25">
      <c r="A909" s="2">
        <v>45209</v>
      </c>
      <c r="B909" s="1">
        <v>0.89861111111111114</v>
      </c>
      <c r="C909" t="s">
        <v>1126</v>
      </c>
      <c r="D909">
        <v>29</v>
      </c>
      <c r="E909" t="s">
        <v>1303</v>
      </c>
      <c r="F909" t="str">
        <f>_xlfn.XLOOKUP(Logs_Reseau6[[#This Row],[Cell_ID]],Registre[ID_Antenne],Registre[Province_RDC],"Non Trouvée")</f>
        <v>Lualaba</v>
      </c>
      <c r="G909" t="str">
        <f>_xlfn.XLOOKUP(Logs_Reseau6[[#This Row],[Province]],Clients_Churn[Province_Client],Clients_Churn[ID_Client],"Aucun")</f>
        <v>CLI-00334</v>
      </c>
      <c r="H909" t="str">
        <f>_xlfn.XLOOKUP(Logs_Reseau6[[#This Row],[Cell_ID]],Registre[ID_Antenne],Registre[Technologie],"Rien à signaler")</f>
        <v>3G</v>
      </c>
      <c r="I909" t="str">
        <f>_xlfn.XLOOKUP(Logs_Reseau6[[#This Row],[Cell_ID]],Registre[ID_Antenne],Registre[Equipementier],"Non Trouvée")</f>
        <v>ZTE</v>
      </c>
      <c r="J909" t="str">
        <f>_xlfn.XLOOKUP(Logs_Reseau6[[#This Row],[Id_Client]],Clients_Churn[ID_Client],Clients_Churn[Type_Forfait],"Pas d'information")</f>
        <v>Pro Monde</v>
      </c>
      <c r="K909" s="5" t="str">
        <f>IF(Logs_Reseau6[[#This Row],[Type_Forfait]]="Pro Monde","B2B","B2C")</f>
        <v>B2B</v>
      </c>
      <c r="L909" s="5">
        <f>_xlfn.XLOOKUP(Logs_Reseau6[[#This Row],[Id_Client]],Clients_Churn[ID_Client],Clients_Churn[Duree_Cumulee_Panne_Min],"Non Trouvée")</f>
        <v>214</v>
      </c>
      <c r="M909" s="5">
        <f>_xlfn.XLOOKUP(Logs_Reseau6[[#This Row],[Id_Client]],Clients_Churn[ID_Client],Clients_Churn[Anciennete_Mois],"Rien à signaler")</f>
        <v>16</v>
      </c>
      <c r="N909" s="11">
        <f>Logs_Reseau6[[#This Row],[Anciennette]]/24</f>
        <v>0.66666666666666663</v>
      </c>
      <c r="O909" s="1">
        <f>Logs_Reseau6[[#This Row],[Duree_Cumulée_Panne]]/1440</f>
        <v>0.14861111111111111</v>
      </c>
      <c r="P90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10" spans="1:16" x14ac:dyDescent="0.25">
      <c r="A910" s="2">
        <v>45227</v>
      </c>
      <c r="B910" s="1">
        <v>0.8979166666666667</v>
      </c>
      <c r="C910" t="s">
        <v>1002</v>
      </c>
      <c r="D910">
        <v>61</v>
      </c>
      <c r="E910" t="s">
        <v>1300</v>
      </c>
      <c r="F910" t="str">
        <f>_xlfn.XLOOKUP(Logs_Reseau6[[#This Row],[Cell_ID]],Registre[ID_Antenne],Registre[Province_RDC],"Non Trouvée")</f>
        <v>Kinshasa</v>
      </c>
      <c r="G910" t="str">
        <f>_xlfn.XLOOKUP(Logs_Reseau6[[#This Row],[Province]],Clients_Churn[Province_Client],Clients_Churn[ID_Client],"Aucun")</f>
        <v>CLI-00184</v>
      </c>
      <c r="H910" t="str">
        <f>_xlfn.XLOOKUP(Logs_Reseau6[[#This Row],[Cell_ID]],Registre[ID_Antenne],Registre[Technologie],"Rien à signaler")</f>
        <v>5G</v>
      </c>
      <c r="I910" t="str">
        <f>_xlfn.XLOOKUP(Logs_Reseau6[[#This Row],[Cell_ID]],Registre[ID_Antenne],Registre[Equipementier],"Non Trouvée")</f>
        <v>Nokia</v>
      </c>
      <c r="J910" t="str">
        <f>_xlfn.XLOOKUP(Logs_Reseau6[[#This Row],[Id_Client]],Clients_Churn[ID_Client],Clients_Churn[Type_Forfait],"Pas d'information")</f>
        <v>Premium 5G 150Go</v>
      </c>
      <c r="K910" s="5" t="str">
        <f>IF(Logs_Reseau6[[#This Row],[Type_Forfait]]="Pro Monde","B2B","B2C")</f>
        <v>B2C</v>
      </c>
      <c r="L910" s="5">
        <f>_xlfn.XLOOKUP(Logs_Reseau6[[#This Row],[Id_Client]],Clients_Churn[ID_Client],Clients_Churn[Duree_Cumulee_Panne_Min],"Non Trouvée")</f>
        <v>191</v>
      </c>
      <c r="M910" s="5">
        <f>_xlfn.XLOOKUP(Logs_Reseau6[[#This Row],[Id_Client]],Clients_Churn[ID_Client],Clients_Churn[Anciennete_Mois],"Rien à signaler")</f>
        <v>71</v>
      </c>
      <c r="N910" s="11">
        <f>Logs_Reseau6[[#This Row],[Anciennette]]/24</f>
        <v>2.9583333333333335</v>
      </c>
      <c r="O910" s="1">
        <f>Logs_Reseau6[[#This Row],[Duree_Cumulée_Panne]]/1440</f>
        <v>0.13263888888888889</v>
      </c>
      <c r="P91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11" spans="1:16" x14ac:dyDescent="0.25">
      <c r="A911" s="2">
        <v>45230</v>
      </c>
      <c r="B911" s="1">
        <v>0.59513888888888888</v>
      </c>
      <c r="C911" t="s">
        <v>1002</v>
      </c>
      <c r="D911">
        <v>14</v>
      </c>
      <c r="E911" t="s">
        <v>1300</v>
      </c>
      <c r="F911" t="str">
        <f>_xlfn.XLOOKUP(Logs_Reseau6[[#This Row],[Cell_ID]],Registre[ID_Antenne],Registre[Province_RDC],"Non Trouvée")</f>
        <v>Kinshasa</v>
      </c>
      <c r="G911" t="str">
        <f>_xlfn.XLOOKUP(Logs_Reseau6[[#This Row],[Province]],Clients_Churn[Province_Client],Clients_Churn[ID_Client],"Aucun")</f>
        <v>CLI-00184</v>
      </c>
      <c r="H911" t="str">
        <f>_xlfn.XLOOKUP(Logs_Reseau6[[#This Row],[Cell_ID]],Registre[ID_Antenne],Registre[Technologie],"Rien à signaler")</f>
        <v>5G</v>
      </c>
      <c r="I911" t="str">
        <f>_xlfn.XLOOKUP(Logs_Reseau6[[#This Row],[Cell_ID]],Registre[ID_Antenne],Registre[Equipementier],"Non Trouvée")</f>
        <v>Nokia</v>
      </c>
      <c r="J911" t="str">
        <f>_xlfn.XLOOKUP(Logs_Reseau6[[#This Row],[Id_Client]],Clients_Churn[ID_Client],Clients_Churn[Type_Forfait],"Pas d'information")</f>
        <v>Premium 5G 150Go</v>
      </c>
      <c r="K911" s="5" t="str">
        <f>IF(Logs_Reseau6[[#This Row],[Type_Forfait]]="Pro Monde","B2B","B2C")</f>
        <v>B2C</v>
      </c>
      <c r="L911" s="5">
        <f>_xlfn.XLOOKUP(Logs_Reseau6[[#This Row],[Id_Client]],Clients_Churn[ID_Client],Clients_Churn[Duree_Cumulee_Panne_Min],"Non Trouvée")</f>
        <v>191</v>
      </c>
      <c r="M911" s="5">
        <f>_xlfn.XLOOKUP(Logs_Reseau6[[#This Row],[Id_Client]],Clients_Churn[ID_Client],Clients_Churn[Anciennete_Mois],"Rien à signaler")</f>
        <v>71</v>
      </c>
      <c r="N911" s="11">
        <f>Logs_Reseau6[[#This Row],[Anciennette]]/24</f>
        <v>2.9583333333333335</v>
      </c>
      <c r="O911" s="1">
        <f>Logs_Reseau6[[#This Row],[Duree_Cumulée_Panne]]/1440</f>
        <v>0.13263888888888889</v>
      </c>
      <c r="P91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12" spans="1:16" hidden="1" x14ac:dyDescent="0.25">
      <c r="A912" s="2">
        <v>45217</v>
      </c>
      <c r="B912" s="1">
        <v>0.86319444444444449</v>
      </c>
      <c r="C912" t="s">
        <v>1515</v>
      </c>
      <c r="D912">
        <v>89</v>
      </c>
      <c r="E912" t="s">
        <v>1300</v>
      </c>
      <c r="F912" t="str">
        <f>_xlfn.XLOOKUP(Logs_Reseau6[[#This Row],[Cell_ID]],Registre[ID_Antenne],Registre[Province_RDC],"Non Trouvée")</f>
        <v>Non Trouvée</v>
      </c>
      <c r="G912" t="str">
        <f>_xlfn.XLOOKUP(Logs_Reseau6[[#This Row],[Province]],Clients_Churn[Province_Client],Clients_Churn[ID_Client],"Aucun")</f>
        <v>Aucun</v>
      </c>
      <c r="H912" t="str">
        <f>_xlfn.XLOOKUP(Logs_Reseau6[[#This Row],[Cell_ID]],Registre[ID_Antenne],Registre[Technologie],"Rien à signaler")</f>
        <v>Rien à signaler</v>
      </c>
      <c r="I912" t="str">
        <f>_xlfn.XLOOKUP(Logs_Reseau6[[#This Row],[Cell_ID]],Registre[ID_Antenne],Registre[Equipementier],"Non Trouvée")</f>
        <v>Non Trouvée</v>
      </c>
      <c r="J912" t="str">
        <f>_xlfn.XLOOKUP(Logs_Reseau6[[#This Row],[Id_Client]],Clients_Churn[ID_Client],Clients_Churn[Type_Forfait],"Pas d'information")</f>
        <v>Pas d'information</v>
      </c>
      <c r="K912" s="5" t="str">
        <f>IF(Logs_Reseau6[[#This Row],[Type_Forfait]]="Pro Monde","B2B","B2C")</f>
        <v>B2C</v>
      </c>
      <c r="L912" s="5" t="str">
        <f>_xlfn.XLOOKUP(Logs_Reseau6[[#This Row],[Id_Client]],Clients_Churn[ID_Client],Clients_Churn[Duree_Cumulee_Panne_Min],"Non Trouvée")</f>
        <v>Non Trouvée</v>
      </c>
      <c r="M912" s="5" t="str">
        <f>_xlfn.XLOOKUP(Logs_Reseau6[[#This Row],[Id_Client]],Clients_Churn[ID_Client],Clients_Churn[Anciennete_Mois],"Rien à signaler")</f>
        <v>Rien à signaler</v>
      </c>
      <c r="N912" s="5" t="e">
        <f>Logs_Reseau6[[#This Row],[Anciennette]]/24</f>
        <v>#VALUE!</v>
      </c>
      <c r="O912" s="5" t="e">
        <f>Logs_Reseau6[[#This Row],[Duree_Cumulée_Panne]]/1440</f>
        <v>#VALUE!</v>
      </c>
      <c r="P91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13" spans="1:16" x14ac:dyDescent="0.25">
      <c r="A913" s="2">
        <v>45207</v>
      </c>
      <c r="B913" s="1">
        <v>0.10277777777777777</v>
      </c>
      <c r="C913" t="s">
        <v>905</v>
      </c>
      <c r="D913">
        <v>41</v>
      </c>
      <c r="E913" t="s">
        <v>1300</v>
      </c>
      <c r="F913" t="str">
        <f>_xlfn.XLOOKUP(Logs_Reseau6[[#This Row],[Cell_ID]],Registre[ID_Antenne],Registre[Province_RDC],"Non Trouvée")</f>
        <v>Kwilu</v>
      </c>
      <c r="G913" t="str">
        <f>_xlfn.XLOOKUP(Logs_Reseau6[[#This Row],[Province]],Clients_Churn[Province_Client],Clients_Churn[ID_Client],"Aucun")</f>
        <v>CLI-00009</v>
      </c>
      <c r="H913" t="str">
        <f>_xlfn.XLOOKUP(Logs_Reseau6[[#This Row],[Cell_ID]],Registre[ID_Antenne],Registre[Technologie],"Rien à signaler")</f>
        <v>3G</v>
      </c>
      <c r="I913" t="str">
        <f>_xlfn.XLOOKUP(Logs_Reseau6[[#This Row],[Cell_ID]],Registre[ID_Antenne],Registre[Equipementier],"Non Trouvée")</f>
        <v>Huawei</v>
      </c>
      <c r="J913" t="str">
        <f>_xlfn.XLOOKUP(Logs_Reseau6[[#This Row],[Id_Client]],Clients_Churn[ID_Client],Clients_Churn[Type_Forfait],"Pas d'information")</f>
        <v>Pro Monde</v>
      </c>
      <c r="K913" s="5" t="str">
        <f>IF(Logs_Reseau6[[#This Row],[Type_Forfait]]="Pro Monde","B2B","B2C")</f>
        <v>B2B</v>
      </c>
      <c r="L913" s="5">
        <f>_xlfn.XLOOKUP(Logs_Reseau6[[#This Row],[Id_Client]],Clients_Churn[ID_Client],Clients_Churn[Duree_Cumulee_Panne_Min],"Non Trouvée")</f>
        <v>297</v>
      </c>
      <c r="M913" s="5">
        <f>_xlfn.XLOOKUP(Logs_Reseau6[[#This Row],[Id_Client]],Clients_Churn[ID_Client],Clients_Churn[Anciennete_Mois],"Rien à signaler")</f>
        <v>105</v>
      </c>
      <c r="N913" s="11">
        <f>Logs_Reseau6[[#This Row],[Anciennette]]/24</f>
        <v>4.375</v>
      </c>
      <c r="O913" s="1">
        <f>Logs_Reseau6[[#This Row],[Duree_Cumulée_Panne]]/1440</f>
        <v>0.20624999999999999</v>
      </c>
      <c r="P91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14" spans="1:16" x14ac:dyDescent="0.25">
      <c r="A914" s="2">
        <v>45230</v>
      </c>
      <c r="B914" s="1">
        <v>0.84722222222222221</v>
      </c>
      <c r="C914" t="s">
        <v>905</v>
      </c>
      <c r="D914">
        <v>58</v>
      </c>
      <c r="E914" t="s">
        <v>1305</v>
      </c>
      <c r="F914" t="str">
        <f>_xlfn.XLOOKUP(Logs_Reseau6[[#This Row],[Cell_ID]],Registre[ID_Antenne],Registre[Province_RDC],"Non Trouvée")</f>
        <v>Kwilu</v>
      </c>
      <c r="G914" t="str">
        <f>_xlfn.XLOOKUP(Logs_Reseau6[[#This Row],[Province]],Clients_Churn[Province_Client],Clients_Churn[ID_Client],"Aucun")</f>
        <v>CLI-00009</v>
      </c>
      <c r="H914" t="str">
        <f>_xlfn.XLOOKUP(Logs_Reseau6[[#This Row],[Cell_ID]],Registre[ID_Antenne],Registre[Technologie],"Rien à signaler")</f>
        <v>3G</v>
      </c>
      <c r="I914" t="str">
        <f>_xlfn.XLOOKUP(Logs_Reseau6[[#This Row],[Cell_ID]],Registre[ID_Antenne],Registre[Equipementier],"Non Trouvée")</f>
        <v>Huawei</v>
      </c>
      <c r="J914" t="str">
        <f>_xlfn.XLOOKUP(Logs_Reseau6[[#This Row],[Id_Client]],Clients_Churn[ID_Client],Clients_Churn[Type_Forfait],"Pas d'information")</f>
        <v>Pro Monde</v>
      </c>
      <c r="K914" s="5" t="str">
        <f>IF(Logs_Reseau6[[#This Row],[Type_Forfait]]="Pro Monde","B2B","B2C")</f>
        <v>B2B</v>
      </c>
      <c r="L914" s="5">
        <f>_xlfn.XLOOKUP(Logs_Reseau6[[#This Row],[Id_Client]],Clients_Churn[ID_Client],Clients_Churn[Duree_Cumulee_Panne_Min],"Non Trouvée")</f>
        <v>297</v>
      </c>
      <c r="M914" s="5">
        <f>_xlfn.XLOOKUP(Logs_Reseau6[[#This Row],[Id_Client]],Clients_Churn[ID_Client],Clients_Churn[Anciennete_Mois],"Rien à signaler")</f>
        <v>105</v>
      </c>
      <c r="N914" s="11">
        <f>Logs_Reseau6[[#This Row],[Anciennette]]/24</f>
        <v>4.375</v>
      </c>
      <c r="O914" s="1">
        <f>Logs_Reseau6[[#This Row],[Duree_Cumulée_Panne]]/1440</f>
        <v>0.20624999999999999</v>
      </c>
      <c r="P91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15" spans="1:16" hidden="1" x14ac:dyDescent="0.25">
      <c r="A915" s="2">
        <v>45207</v>
      </c>
      <c r="B915" s="1">
        <v>0.61111111111111116</v>
      </c>
      <c r="C915" t="s">
        <v>1351</v>
      </c>
      <c r="D915">
        <v>107</v>
      </c>
      <c r="E915" t="s">
        <v>1303</v>
      </c>
      <c r="F915" t="str">
        <f>_xlfn.XLOOKUP(Logs_Reseau6[[#This Row],[Cell_ID]],Registre[ID_Antenne],Registre[Province_RDC],"Non Trouvée")</f>
        <v>Non Trouvée</v>
      </c>
      <c r="G915" t="str">
        <f>_xlfn.XLOOKUP(Logs_Reseau6[[#This Row],[Province]],Clients_Churn[Province_Client],Clients_Churn[ID_Client],"Aucun")</f>
        <v>Aucun</v>
      </c>
      <c r="H915" t="str">
        <f>_xlfn.XLOOKUP(Logs_Reseau6[[#This Row],[Cell_ID]],Registre[ID_Antenne],Registre[Technologie],"Rien à signaler")</f>
        <v>Rien à signaler</v>
      </c>
      <c r="I915" t="str">
        <f>_xlfn.XLOOKUP(Logs_Reseau6[[#This Row],[Cell_ID]],Registre[ID_Antenne],Registre[Equipementier],"Non Trouvée")</f>
        <v>Non Trouvée</v>
      </c>
      <c r="J915" t="str">
        <f>_xlfn.XLOOKUP(Logs_Reseau6[[#This Row],[Id_Client]],Clients_Churn[ID_Client],Clients_Churn[Type_Forfait],"Pas d'information")</f>
        <v>Pas d'information</v>
      </c>
      <c r="K915" s="5" t="str">
        <f>IF(Logs_Reseau6[[#This Row],[Type_Forfait]]="Pro Monde","B2B","B2C")</f>
        <v>B2C</v>
      </c>
      <c r="L915" s="5" t="str">
        <f>_xlfn.XLOOKUP(Logs_Reseau6[[#This Row],[Id_Client]],Clients_Churn[ID_Client],Clients_Churn[Duree_Cumulee_Panne_Min],"Non Trouvée")</f>
        <v>Non Trouvée</v>
      </c>
      <c r="M915" s="5" t="str">
        <f>_xlfn.XLOOKUP(Logs_Reseau6[[#This Row],[Id_Client]],Clients_Churn[ID_Client],Clients_Churn[Anciennete_Mois],"Rien à signaler")</f>
        <v>Rien à signaler</v>
      </c>
      <c r="N915" s="5" t="e">
        <f>Logs_Reseau6[[#This Row],[Anciennette]]/24</f>
        <v>#VALUE!</v>
      </c>
      <c r="O915" s="5" t="e">
        <f>Logs_Reseau6[[#This Row],[Duree_Cumulée_Panne]]/1440</f>
        <v>#VALUE!</v>
      </c>
      <c r="P91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16" spans="1:16" hidden="1" x14ac:dyDescent="0.25">
      <c r="A916" s="2">
        <v>45213</v>
      </c>
      <c r="B916" s="1">
        <v>0.1125</v>
      </c>
      <c r="C916" t="s">
        <v>1351</v>
      </c>
      <c r="D916">
        <v>93</v>
      </c>
      <c r="E916" t="s">
        <v>1300</v>
      </c>
      <c r="F916" t="str">
        <f>_xlfn.XLOOKUP(Logs_Reseau6[[#This Row],[Cell_ID]],Registre[ID_Antenne],Registre[Province_RDC],"Non Trouvée")</f>
        <v>Non Trouvée</v>
      </c>
      <c r="G916" t="str">
        <f>_xlfn.XLOOKUP(Logs_Reseau6[[#This Row],[Province]],Clients_Churn[Province_Client],Clients_Churn[ID_Client],"Aucun")</f>
        <v>Aucun</v>
      </c>
      <c r="H916" t="str">
        <f>_xlfn.XLOOKUP(Logs_Reseau6[[#This Row],[Cell_ID]],Registre[ID_Antenne],Registre[Technologie],"Rien à signaler")</f>
        <v>Rien à signaler</v>
      </c>
      <c r="I916" t="str">
        <f>_xlfn.XLOOKUP(Logs_Reseau6[[#This Row],[Cell_ID]],Registre[ID_Antenne],Registre[Equipementier],"Non Trouvée")</f>
        <v>Non Trouvée</v>
      </c>
      <c r="J916" t="str">
        <f>_xlfn.XLOOKUP(Logs_Reseau6[[#This Row],[Id_Client]],Clients_Churn[ID_Client],Clients_Churn[Type_Forfait],"Pas d'information")</f>
        <v>Pas d'information</v>
      </c>
      <c r="K916" s="5" t="str">
        <f>IF(Logs_Reseau6[[#This Row],[Type_Forfait]]="Pro Monde","B2B","B2C")</f>
        <v>B2C</v>
      </c>
      <c r="L916" s="5" t="str">
        <f>_xlfn.XLOOKUP(Logs_Reseau6[[#This Row],[Id_Client]],Clients_Churn[ID_Client],Clients_Churn[Duree_Cumulee_Panne_Min],"Non Trouvée")</f>
        <v>Non Trouvée</v>
      </c>
      <c r="M916" s="5" t="str">
        <f>_xlfn.XLOOKUP(Logs_Reseau6[[#This Row],[Id_Client]],Clients_Churn[ID_Client],Clients_Churn[Anciennete_Mois],"Rien à signaler")</f>
        <v>Rien à signaler</v>
      </c>
      <c r="N916" s="5" t="e">
        <f>Logs_Reseau6[[#This Row],[Anciennette]]/24</f>
        <v>#VALUE!</v>
      </c>
      <c r="O916" s="5" t="e">
        <f>Logs_Reseau6[[#This Row],[Duree_Cumulée_Panne]]/1440</f>
        <v>#VALUE!</v>
      </c>
      <c r="P91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17" spans="1:16" hidden="1" x14ac:dyDescent="0.25">
      <c r="A917" s="2">
        <v>45220</v>
      </c>
      <c r="B917" s="1">
        <v>0.96875</v>
      </c>
      <c r="C917" t="s">
        <v>1351</v>
      </c>
      <c r="D917">
        <v>103</v>
      </c>
      <c r="E917" t="s">
        <v>1300</v>
      </c>
      <c r="F917" t="str">
        <f>_xlfn.XLOOKUP(Logs_Reseau6[[#This Row],[Cell_ID]],Registre[ID_Antenne],Registre[Province_RDC],"Non Trouvée")</f>
        <v>Non Trouvée</v>
      </c>
      <c r="G917" t="str">
        <f>_xlfn.XLOOKUP(Logs_Reseau6[[#This Row],[Province]],Clients_Churn[Province_Client],Clients_Churn[ID_Client],"Aucun")</f>
        <v>Aucun</v>
      </c>
      <c r="H917" t="str">
        <f>_xlfn.XLOOKUP(Logs_Reseau6[[#This Row],[Cell_ID]],Registre[ID_Antenne],Registre[Technologie],"Rien à signaler")</f>
        <v>Rien à signaler</v>
      </c>
      <c r="I917" t="str">
        <f>_xlfn.XLOOKUP(Logs_Reseau6[[#This Row],[Cell_ID]],Registre[ID_Antenne],Registre[Equipementier],"Non Trouvée")</f>
        <v>Non Trouvée</v>
      </c>
      <c r="J917" t="str">
        <f>_xlfn.XLOOKUP(Logs_Reseau6[[#This Row],[Id_Client]],Clients_Churn[ID_Client],Clients_Churn[Type_Forfait],"Pas d'information")</f>
        <v>Pas d'information</v>
      </c>
      <c r="K917" s="5" t="str">
        <f>IF(Logs_Reseau6[[#This Row],[Type_Forfait]]="Pro Monde","B2B","B2C")</f>
        <v>B2C</v>
      </c>
      <c r="L917" s="5" t="str">
        <f>_xlfn.XLOOKUP(Logs_Reseau6[[#This Row],[Id_Client]],Clients_Churn[ID_Client],Clients_Churn[Duree_Cumulee_Panne_Min],"Non Trouvée")</f>
        <v>Non Trouvée</v>
      </c>
      <c r="M917" s="5" t="str">
        <f>_xlfn.XLOOKUP(Logs_Reseau6[[#This Row],[Id_Client]],Clients_Churn[ID_Client],Clients_Churn[Anciennete_Mois],"Rien à signaler")</f>
        <v>Rien à signaler</v>
      </c>
      <c r="N917" s="5" t="e">
        <f>Logs_Reseau6[[#This Row],[Anciennette]]/24</f>
        <v>#VALUE!</v>
      </c>
      <c r="O917" s="5" t="e">
        <f>Logs_Reseau6[[#This Row],[Duree_Cumulée_Panne]]/1440</f>
        <v>#VALUE!</v>
      </c>
      <c r="P91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18" spans="1:16" x14ac:dyDescent="0.25">
      <c r="A918" s="2">
        <v>45219</v>
      </c>
      <c r="B918" s="1">
        <v>0.82638888888888884</v>
      </c>
      <c r="C918" t="s">
        <v>1034</v>
      </c>
      <c r="D918">
        <v>93</v>
      </c>
      <c r="E918" t="s">
        <v>1305</v>
      </c>
      <c r="F918" t="str">
        <f>_xlfn.XLOOKUP(Logs_Reseau6[[#This Row],[Cell_ID]],Registre[ID_Antenne],Registre[Province_RDC],"Non Trouvée")</f>
        <v>Sud-Kivu</v>
      </c>
      <c r="G918" t="str">
        <f>_xlfn.XLOOKUP(Logs_Reseau6[[#This Row],[Province]],Clients_Churn[Province_Client],Clients_Churn[ID_Client],"Aucun")</f>
        <v>CLI-00054</v>
      </c>
      <c r="H918" t="str">
        <f>_xlfn.XLOOKUP(Logs_Reseau6[[#This Row],[Cell_ID]],Registre[ID_Antenne],Registre[Technologie],"Rien à signaler")</f>
        <v>3G</v>
      </c>
      <c r="I918" t="str">
        <f>_xlfn.XLOOKUP(Logs_Reseau6[[#This Row],[Cell_ID]],Registre[ID_Antenne],Registre[Equipementier],"Non Trouvée")</f>
        <v>ZTE</v>
      </c>
      <c r="J918" t="str">
        <f>_xlfn.XLOOKUP(Logs_Reseau6[[#This Row],[Id_Client]],Clients_Churn[ID_Client],Clients_Churn[Type_Forfait],"Pas d'information")</f>
        <v>Bloqué 5Go</v>
      </c>
      <c r="K918" s="5" t="str">
        <f>IF(Logs_Reseau6[[#This Row],[Type_Forfait]]="Pro Monde","B2B","B2C")</f>
        <v>B2C</v>
      </c>
      <c r="L918" s="5">
        <f>_xlfn.XLOOKUP(Logs_Reseau6[[#This Row],[Id_Client]],Clients_Churn[ID_Client],Clients_Churn[Duree_Cumulee_Panne_Min],"Non Trouvée")</f>
        <v>40</v>
      </c>
      <c r="M918" s="5">
        <f>_xlfn.XLOOKUP(Logs_Reseau6[[#This Row],[Id_Client]],Clients_Churn[ID_Client],Clients_Churn[Anciennete_Mois],"Rien à signaler")</f>
        <v>34</v>
      </c>
      <c r="N918" s="11">
        <f>Logs_Reseau6[[#This Row],[Anciennette]]/24</f>
        <v>1.4166666666666667</v>
      </c>
      <c r="O918" s="1">
        <f>Logs_Reseau6[[#This Row],[Duree_Cumulée_Panne]]/1440</f>
        <v>2.7777777777777776E-2</v>
      </c>
      <c r="P91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19" spans="1:16" x14ac:dyDescent="0.25">
      <c r="A919" s="2">
        <v>45221</v>
      </c>
      <c r="B919" s="1">
        <v>0.92847222222222225</v>
      </c>
      <c r="C919" t="s">
        <v>1034</v>
      </c>
      <c r="D919">
        <v>21</v>
      </c>
      <c r="E919" t="s">
        <v>1300</v>
      </c>
      <c r="F919" t="str">
        <f>_xlfn.XLOOKUP(Logs_Reseau6[[#This Row],[Cell_ID]],Registre[ID_Antenne],Registre[Province_RDC],"Non Trouvée")</f>
        <v>Sud-Kivu</v>
      </c>
      <c r="G919" t="str">
        <f>_xlfn.XLOOKUP(Logs_Reseau6[[#This Row],[Province]],Clients_Churn[Province_Client],Clients_Churn[ID_Client],"Aucun")</f>
        <v>CLI-00054</v>
      </c>
      <c r="H919" t="str">
        <f>_xlfn.XLOOKUP(Logs_Reseau6[[#This Row],[Cell_ID]],Registre[ID_Antenne],Registre[Technologie],"Rien à signaler")</f>
        <v>3G</v>
      </c>
      <c r="I919" t="str">
        <f>_xlfn.XLOOKUP(Logs_Reseau6[[#This Row],[Cell_ID]],Registre[ID_Antenne],Registre[Equipementier],"Non Trouvée")</f>
        <v>ZTE</v>
      </c>
      <c r="J919" t="str">
        <f>_xlfn.XLOOKUP(Logs_Reseau6[[#This Row],[Id_Client]],Clients_Churn[ID_Client],Clients_Churn[Type_Forfait],"Pas d'information")</f>
        <v>Bloqué 5Go</v>
      </c>
      <c r="K919" s="5" t="str">
        <f>IF(Logs_Reseau6[[#This Row],[Type_Forfait]]="Pro Monde","B2B","B2C")</f>
        <v>B2C</v>
      </c>
      <c r="L919" s="5">
        <f>_xlfn.XLOOKUP(Logs_Reseau6[[#This Row],[Id_Client]],Clients_Churn[ID_Client],Clients_Churn[Duree_Cumulee_Panne_Min],"Non Trouvée")</f>
        <v>40</v>
      </c>
      <c r="M919" s="5">
        <f>_xlfn.XLOOKUP(Logs_Reseau6[[#This Row],[Id_Client]],Clients_Churn[ID_Client],Clients_Churn[Anciennete_Mois],"Rien à signaler")</f>
        <v>34</v>
      </c>
      <c r="N919" s="11">
        <f>Logs_Reseau6[[#This Row],[Anciennette]]/24</f>
        <v>1.4166666666666667</v>
      </c>
      <c r="O919" s="1">
        <f>Logs_Reseau6[[#This Row],[Duree_Cumulée_Panne]]/1440</f>
        <v>2.7777777777777776E-2</v>
      </c>
      <c r="P91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20" spans="1:16" x14ac:dyDescent="0.25">
      <c r="A920" s="2">
        <v>45226</v>
      </c>
      <c r="B920" s="1">
        <v>7.7083333333333337E-2</v>
      </c>
      <c r="C920" t="s">
        <v>1034</v>
      </c>
      <c r="D920">
        <v>101</v>
      </c>
      <c r="E920" t="s">
        <v>1300</v>
      </c>
      <c r="F920" t="str">
        <f>_xlfn.XLOOKUP(Logs_Reseau6[[#This Row],[Cell_ID]],Registre[ID_Antenne],Registre[Province_RDC],"Non Trouvée")</f>
        <v>Sud-Kivu</v>
      </c>
      <c r="G920" t="str">
        <f>_xlfn.XLOOKUP(Logs_Reseau6[[#This Row],[Province]],Clients_Churn[Province_Client],Clients_Churn[ID_Client],"Aucun")</f>
        <v>CLI-00054</v>
      </c>
      <c r="H920" t="str">
        <f>_xlfn.XLOOKUP(Logs_Reseau6[[#This Row],[Cell_ID]],Registre[ID_Antenne],Registre[Technologie],"Rien à signaler")</f>
        <v>3G</v>
      </c>
      <c r="I920" t="str">
        <f>_xlfn.XLOOKUP(Logs_Reseau6[[#This Row],[Cell_ID]],Registre[ID_Antenne],Registre[Equipementier],"Non Trouvée")</f>
        <v>ZTE</v>
      </c>
      <c r="J920" t="str">
        <f>_xlfn.XLOOKUP(Logs_Reseau6[[#This Row],[Id_Client]],Clients_Churn[ID_Client],Clients_Churn[Type_Forfait],"Pas d'information")</f>
        <v>Bloqué 5Go</v>
      </c>
      <c r="K920" s="5" t="str">
        <f>IF(Logs_Reseau6[[#This Row],[Type_Forfait]]="Pro Monde","B2B","B2C")</f>
        <v>B2C</v>
      </c>
      <c r="L920" s="5">
        <f>_xlfn.XLOOKUP(Logs_Reseau6[[#This Row],[Id_Client]],Clients_Churn[ID_Client],Clients_Churn[Duree_Cumulee_Panne_Min],"Non Trouvée")</f>
        <v>40</v>
      </c>
      <c r="M920" s="5">
        <f>_xlfn.XLOOKUP(Logs_Reseau6[[#This Row],[Id_Client]],Clients_Churn[ID_Client],Clients_Churn[Anciennete_Mois],"Rien à signaler")</f>
        <v>34</v>
      </c>
      <c r="N920" s="11">
        <f>Logs_Reseau6[[#This Row],[Anciennette]]/24</f>
        <v>1.4166666666666667</v>
      </c>
      <c r="O920" s="1">
        <f>Logs_Reseau6[[#This Row],[Duree_Cumulée_Panne]]/1440</f>
        <v>2.7777777777777776E-2</v>
      </c>
      <c r="P92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21" spans="1:16" x14ac:dyDescent="0.25">
      <c r="A921" s="2">
        <v>45205</v>
      </c>
      <c r="B921" s="1">
        <v>0.52986111111111112</v>
      </c>
      <c r="C921" t="s">
        <v>907</v>
      </c>
      <c r="D921">
        <v>74</v>
      </c>
      <c r="E921" t="s">
        <v>1303</v>
      </c>
      <c r="F921" t="str">
        <f>_xlfn.XLOOKUP(Logs_Reseau6[[#This Row],[Cell_ID]],Registre[ID_Antenne],Registre[Province_RDC],"Non Trouvée")</f>
        <v>Mongala</v>
      </c>
      <c r="G921" t="str">
        <f>_xlfn.XLOOKUP(Logs_Reseau6[[#This Row],[Province]],Clients_Churn[Province_Client],Clients_Churn[ID_Client],"Aucun")</f>
        <v>CLI-00011</v>
      </c>
      <c r="H921" t="str">
        <f>_xlfn.XLOOKUP(Logs_Reseau6[[#This Row],[Cell_ID]],Registre[ID_Antenne],Registre[Technologie],"Rien à signaler")</f>
        <v>5G</v>
      </c>
      <c r="I921" t="str">
        <f>_xlfn.XLOOKUP(Logs_Reseau6[[#This Row],[Cell_ID]],Registre[ID_Antenne],Registre[Equipementier],"Non Trouvée")</f>
        <v>Ericsson</v>
      </c>
      <c r="J921" t="str">
        <f>_xlfn.XLOOKUP(Logs_Reseau6[[#This Row],[Id_Client]],Clients_Churn[ID_Client],Clients_Churn[Type_Forfait],"Pas d'information")</f>
        <v>Illimité 50Go</v>
      </c>
      <c r="K921" s="5" t="str">
        <f>IF(Logs_Reseau6[[#This Row],[Type_Forfait]]="Pro Monde","B2B","B2C")</f>
        <v>B2C</v>
      </c>
      <c r="L921" s="5">
        <f>_xlfn.XLOOKUP(Logs_Reseau6[[#This Row],[Id_Client]],Clients_Churn[ID_Client],Clients_Churn[Duree_Cumulee_Panne_Min],"Non Trouvée")</f>
        <v>86</v>
      </c>
      <c r="M921" s="5">
        <f>_xlfn.XLOOKUP(Logs_Reseau6[[#This Row],[Id_Client]],Clients_Churn[ID_Client],Clients_Churn[Anciennete_Mois],"Rien à signaler")</f>
        <v>49</v>
      </c>
      <c r="N921" s="11">
        <f>Logs_Reseau6[[#This Row],[Anciennette]]/24</f>
        <v>2.0416666666666665</v>
      </c>
      <c r="O921" s="1">
        <f>Logs_Reseau6[[#This Row],[Duree_Cumulée_Panne]]/1440</f>
        <v>5.9722222222222225E-2</v>
      </c>
      <c r="P92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22" spans="1:16" x14ac:dyDescent="0.25">
      <c r="A922" s="2">
        <v>45221</v>
      </c>
      <c r="B922" s="1">
        <v>0.77500000000000002</v>
      </c>
      <c r="C922" t="s">
        <v>907</v>
      </c>
      <c r="D922">
        <v>24</v>
      </c>
      <c r="E922" t="s">
        <v>1300</v>
      </c>
      <c r="F922" t="str">
        <f>_xlfn.XLOOKUP(Logs_Reseau6[[#This Row],[Cell_ID]],Registre[ID_Antenne],Registre[Province_RDC],"Non Trouvée")</f>
        <v>Mongala</v>
      </c>
      <c r="G922" t="str">
        <f>_xlfn.XLOOKUP(Logs_Reseau6[[#This Row],[Province]],Clients_Churn[Province_Client],Clients_Churn[ID_Client],"Aucun")</f>
        <v>CLI-00011</v>
      </c>
      <c r="H922" t="str">
        <f>_xlfn.XLOOKUP(Logs_Reseau6[[#This Row],[Cell_ID]],Registre[ID_Antenne],Registre[Technologie],"Rien à signaler")</f>
        <v>5G</v>
      </c>
      <c r="I922" t="str">
        <f>_xlfn.XLOOKUP(Logs_Reseau6[[#This Row],[Cell_ID]],Registre[ID_Antenne],Registre[Equipementier],"Non Trouvée")</f>
        <v>Ericsson</v>
      </c>
      <c r="J922" t="str">
        <f>_xlfn.XLOOKUP(Logs_Reseau6[[#This Row],[Id_Client]],Clients_Churn[ID_Client],Clients_Churn[Type_Forfait],"Pas d'information")</f>
        <v>Illimité 50Go</v>
      </c>
      <c r="K922" s="5" t="str">
        <f>IF(Logs_Reseau6[[#This Row],[Type_Forfait]]="Pro Monde","B2B","B2C")</f>
        <v>B2C</v>
      </c>
      <c r="L922" s="5">
        <f>_xlfn.XLOOKUP(Logs_Reseau6[[#This Row],[Id_Client]],Clients_Churn[ID_Client],Clients_Churn[Duree_Cumulee_Panne_Min],"Non Trouvée")</f>
        <v>86</v>
      </c>
      <c r="M922" s="5">
        <f>_xlfn.XLOOKUP(Logs_Reseau6[[#This Row],[Id_Client]],Clients_Churn[ID_Client],Clients_Churn[Anciennete_Mois],"Rien à signaler")</f>
        <v>49</v>
      </c>
      <c r="N922" s="11">
        <f>Logs_Reseau6[[#This Row],[Anciennette]]/24</f>
        <v>2.0416666666666665</v>
      </c>
      <c r="O922" s="1">
        <f>Logs_Reseau6[[#This Row],[Duree_Cumulée_Panne]]/1440</f>
        <v>5.9722222222222225E-2</v>
      </c>
      <c r="P92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23" spans="1:16" x14ac:dyDescent="0.25">
      <c r="A923" s="2">
        <v>45230</v>
      </c>
      <c r="B923" s="1">
        <v>0.99791666666666667</v>
      </c>
      <c r="C923" t="s">
        <v>920</v>
      </c>
      <c r="D923">
        <v>72</v>
      </c>
      <c r="E923" t="s">
        <v>1305</v>
      </c>
      <c r="F923" t="str">
        <f>_xlfn.XLOOKUP(Logs_Reseau6[[#This Row],[Cell_ID]],Registre[ID_Antenne],Registre[Province_RDC],"Non Trouvée")</f>
        <v>Ituri</v>
      </c>
      <c r="G923" t="str">
        <f>_xlfn.XLOOKUP(Logs_Reseau6[[#This Row],[Province]],Clients_Churn[Province_Client],Clients_Churn[ID_Client],"Aucun")</f>
        <v>CLI-00041</v>
      </c>
      <c r="H923" t="str">
        <f>_xlfn.XLOOKUP(Logs_Reseau6[[#This Row],[Cell_ID]],Registre[ID_Antenne],Registre[Technologie],"Rien à signaler")</f>
        <v>5G</v>
      </c>
      <c r="I923" t="str">
        <f>_xlfn.XLOOKUP(Logs_Reseau6[[#This Row],[Cell_ID]],Registre[ID_Antenne],Registre[Equipementier],"Non Trouvée")</f>
        <v>Huawei</v>
      </c>
      <c r="J923" t="str">
        <f>_xlfn.XLOOKUP(Logs_Reseau6[[#This Row],[Id_Client]],Clients_Churn[ID_Client],Clients_Churn[Type_Forfait],"Pas d'information")</f>
        <v>Pro Monde</v>
      </c>
      <c r="K923" s="5" t="str">
        <f>IF(Logs_Reseau6[[#This Row],[Type_Forfait]]="Pro Monde","B2B","B2C")</f>
        <v>B2B</v>
      </c>
      <c r="L923" s="5">
        <f>_xlfn.XLOOKUP(Logs_Reseau6[[#This Row],[Id_Client]],Clients_Churn[ID_Client],Clients_Churn[Duree_Cumulee_Panne_Min],"Non Trouvée")</f>
        <v>105</v>
      </c>
      <c r="M923" s="5">
        <f>_xlfn.XLOOKUP(Logs_Reseau6[[#This Row],[Id_Client]],Clients_Churn[ID_Client],Clients_Churn[Anciennete_Mois],"Rien à signaler")</f>
        <v>103</v>
      </c>
      <c r="N923" s="11">
        <f>Logs_Reseau6[[#This Row],[Anciennette]]/24</f>
        <v>4.291666666666667</v>
      </c>
      <c r="O923" s="1">
        <f>Logs_Reseau6[[#This Row],[Duree_Cumulée_Panne]]/1440</f>
        <v>7.2916666666666671E-2</v>
      </c>
      <c r="P92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24" spans="1:16" hidden="1" x14ac:dyDescent="0.25">
      <c r="A924" s="2">
        <v>45215</v>
      </c>
      <c r="B924" s="1">
        <v>1.6666666666666666E-2</v>
      </c>
      <c r="C924" t="s">
        <v>1573</v>
      </c>
      <c r="D924">
        <v>35</v>
      </c>
      <c r="E924" t="s">
        <v>1303</v>
      </c>
      <c r="F924" t="str">
        <f>_xlfn.XLOOKUP(Logs_Reseau6[[#This Row],[Cell_ID]],Registre[ID_Antenne],Registre[Province_RDC],"Non Trouvée")</f>
        <v>Non Trouvée</v>
      </c>
      <c r="G924" t="str">
        <f>_xlfn.XLOOKUP(Logs_Reseau6[[#This Row],[Province]],Clients_Churn[Province_Client],Clients_Churn[ID_Client],"Aucun")</f>
        <v>Aucun</v>
      </c>
      <c r="H924" t="str">
        <f>_xlfn.XLOOKUP(Logs_Reseau6[[#This Row],[Cell_ID]],Registre[ID_Antenne],Registre[Technologie],"Rien à signaler")</f>
        <v>Rien à signaler</v>
      </c>
      <c r="I924" t="str">
        <f>_xlfn.XLOOKUP(Logs_Reseau6[[#This Row],[Cell_ID]],Registre[ID_Antenne],Registre[Equipementier],"Non Trouvée")</f>
        <v>Non Trouvée</v>
      </c>
      <c r="J924" t="str">
        <f>_xlfn.XLOOKUP(Logs_Reseau6[[#This Row],[Id_Client]],Clients_Churn[ID_Client],Clients_Churn[Type_Forfait],"Pas d'information")</f>
        <v>Pas d'information</v>
      </c>
      <c r="K924" s="5" t="str">
        <f>IF(Logs_Reseau6[[#This Row],[Type_Forfait]]="Pro Monde","B2B","B2C")</f>
        <v>B2C</v>
      </c>
      <c r="L924" s="5" t="str">
        <f>_xlfn.XLOOKUP(Logs_Reseau6[[#This Row],[Id_Client]],Clients_Churn[ID_Client],Clients_Churn[Duree_Cumulee_Panne_Min],"Non Trouvée")</f>
        <v>Non Trouvée</v>
      </c>
      <c r="M924" s="5" t="str">
        <f>_xlfn.XLOOKUP(Logs_Reseau6[[#This Row],[Id_Client]],Clients_Churn[ID_Client],Clients_Churn[Anciennete_Mois],"Rien à signaler")</f>
        <v>Rien à signaler</v>
      </c>
      <c r="N924" s="5" t="e">
        <f>Logs_Reseau6[[#This Row],[Anciennette]]/24</f>
        <v>#VALUE!</v>
      </c>
      <c r="O924" s="5" t="e">
        <f>Logs_Reseau6[[#This Row],[Duree_Cumulée_Panne]]/1440</f>
        <v>#VALUE!</v>
      </c>
      <c r="P92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25" spans="1:16" hidden="1" x14ac:dyDescent="0.25">
      <c r="A925" s="2">
        <v>45210</v>
      </c>
      <c r="B925" s="1">
        <v>0.97916666666666663</v>
      </c>
      <c r="C925" t="s">
        <v>1397</v>
      </c>
      <c r="D925">
        <v>114</v>
      </c>
      <c r="E925" t="s">
        <v>1305</v>
      </c>
      <c r="F925" t="str">
        <f>_xlfn.XLOOKUP(Logs_Reseau6[[#This Row],[Cell_ID]],Registre[ID_Antenne],Registre[Province_RDC],"Non Trouvée")</f>
        <v>Non Trouvée</v>
      </c>
      <c r="G925" t="str">
        <f>_xlfn.XLOOKUP(Logs_Reseau6[[#This Row],[Province]],Clients_Churn[Province_Client],Clients_Churn[ID_Client],"Aucun")</f>
        <v>Aucun</v>
      </c>
      <c r="H925" t="str">
        <f>_xlfn.XLOOKUP(Logs_Reseau6[[#This Row],[Cell_ID]],Registre[ID_Antenne],Registre[Technologie],"Rien à signaler")</f>
        <v>Rien à signaler</v>
      </c>
      <c r="I925" t="str">
        <f>_xlfn.XLOOKUP(Logs_Reseau6[[#This Row],[Cell_ID]],Registre[ID_Antenne],Registre[Equipementier],"Non Trouvée")</f>
        <v>Non Trouvée</v>
      </c>
      <c r="J925" t="str">
        <f>_xlfn.XLOOKUP(Logs_Reseau6[[#This Row],[Id_Client]],Clients_Churn[ID_Client],Clients_Churn[Type_Forfait],"Pas d'information")</f>
        <v>Pas d'information</v>
      </c>
      <c r="K925" s="5" t="str">
        <f>IF(Logs_Reseau6[[#This Row],[Type_Forfait]]="Pro Monde","B2B","B2C")</f>
        <v>B2C</v>
      </c>
      <c r="L925" s="5" t="str">
        <f>_xlfn.XLOOKUP(Logs_Reseau6[[#This Row],[Id_Client]],Clients_Churn[ID_Client],Clients_Churn[Duree_Cumulee_Panne_Min],"Non Trouvée")</f>
        <v>Non Trouvée</v>
      </c>
      <c r="M925" s="5" t="str">
        <f>_xlfn.XLOOKUP(Logs_Reseau6[[#This Row],[Id_Client]],Clients_Churn[ID_Client],Clients_Churn[Anciennete_Mois],"Rien à signaler")</f>
        <v>Rien à signaler</v>
      </c>
      <c r="N925" s="5" t="e">
        <f>Logs_Reseau6[[#This Row],[Anciennette]]/24</f>
        <v>#VALUE!</v>
      </c>
      <c r="O925" s="5" t="e">
        <f>Logs_Reseau6[[#This Row],[Duree_Cumulée_Panne]]/1440</f>
        <v>#VALUE!</v>
      </c>
      <c r="P92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26" spans="1:16" hidden="1" x14ac:dyDescent="0.25">
      <c r="A926" s="2">
        <v>45226</v>
      </c>
      <c r="B926" s="1">
        <v>0.38819444444444445</v>
      </c>
      <c r="C926" t="s">
        <v>1593</v>
      </c>
      <c r="D926">
        <v>115</v>
      </c>
      <c r="E926" t="s">
        <v>1305</v>
      </c>
      <c r="F926" t="str">
        <f>_xlfn.XLOOKUP(Logs_Reseau6[[#This Row],[Cell_ID]],Registre[ID_Antenne],Registre[Province_RDC],"Non Trouvée")</f>
        <v>Non Trouvée</v>
      </c>
      <c r="G926" t="str">
        <f>_xlfn.XLOOKUP(Logs_Reseau6[[#This Row],[Province]],Clients_Churn[Province_Client],Clients_Churn[ID_Client],"Aucun")</f>
        <v>Aucun</v>
      </c>
      <c r="H926" t="str">
        <f>_xlfn.XLOOKUP(Logs_Reseau6[[#This Row],[Cell_ID]],Registre[ID_Antenne],Registre[Technologie],"Rien à signaler")</f>
        <v>Rien à signaler</v>
      </c>
      <c r="I926" t="str">
        <f>_xlfn.XLOOKUP(Logs_Reseau6[[#This Row],[Cell_ID]],Registre[ID_Antenne],Registre[Equipementier],"Non Trouvée")</f>
        <v>Non Trouvée</v>
      </c>
      <c r="J926" t="str">
        <f>_xlfn.XLOOKUP(Logs_Reseau6[[#This Row],[Id_Client]],Clients_Churn[ID_Client],Clients_Churn[Type_Forfait],"Pas d'information")</f>
        <v>Pas d'information</v>
      </c>
      <c r="K926" s="5" t="str">
        <f>IF(Logs_Reseau6[[#This Row],[Type_Forfait]]="Pro Monde","B2B","B2C")</f>
        <v>B2C</v>
      </c>
      <c r="L926" s="5" t="str">
        <f>_xlfn.XLOOKUP(Logs_Reseau6[[#This Row],[Id_Client]],Clients_Churn[ID_Client],Clients_Churn[Duree_Cumulee_Panne_Min],"Non Trouvée")</f>
        <v>Non Trouvée</v>
      </c>
      <c r="M926" s="5" t="str">
        <f>_xlfn.XLOOKUP(Logs_Reseau6[[#This Row],[Id_Client]],Clients_Churn[ID_Client],Clients_Churn[Anciennete_Mois],"Rien à signaler")</f>
        <v>Rien à signaler</v>
      </c>
      <c r="N926" s="5" t="e">
        <f>Logs_Reseau6[[#This Row],[Anciennette]]/24</f>
        <v>#VALUE!</v>
      </c>
      <c r="O926" s="5" t="e">
        <f>Logs_Reseau6[[#This Row],[Duree_Cumulée_Panne]]/1440</f>
        <v>#VALUE!</v>
      </c>
      <c r="P92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27" spans="1:16" hidden="1" x14ac:dyDescent="0.25">
      <c r="A927" s="2">
        <v>45201</v>
      </c>
      <c r="B927" s="1">
        <v>0.51944444444444449</v>
      </c>
      <c r="C927" t="s">
        <v>1360</v>
      </c>
      <c r="D927">
        <v>113</v>
      </c>
      <c r="E927" t="s">
        <v>1305</v>
      </c>
      <c r="F927" t="str">
        <f>_xlfn.XLOOKUP(Logs_Reseau6[[#This Row],[Cell_ID]],Registre[ID_Antenne],Registre[Province_RDC],"Non Trouvée")</f>
        <v>Non Trouvée</v>
      </c>
      <c r="G927" t="str">
        <f>_xlfn.XLOOKUP(Logs_Reseau6[[#This Row],[Province]],Clients_Churn[Province_Client],Clients_Churn[ID_Client],"Aucun")</f>
        <v>Aucun</v>
      </c>
      <c r="H927" t="str">
        <f>_xlfn.XLOOKUP(Logs_Reseau6[[#This Row],[Cell_ID]],Registre[ID_Antenne],Registre[Technologie],"Rien à signaler")</f>
        <v>Rien à signaler</v>
      </c>
      <c r="I927" t="str">
        <f>_xlfn.XLOOKUP(Logs_Reseau6[[#This Row],[Cell_ID]],Registre[ID_Antenne],Registre[Equipementier],"Non Trouvée")</f>
        <v>Non Trouvée</v>
      </c>
      <c r="J927" t="str">
        <f>_xlfn.XLOOKUP(Logs_Reseau6[[#This Row],[Id_Client]],Clients_Churn[ID_Client],Clients_Churn[Type_Forfait],"Pas d'information")</f>
        <v>Pas d'information</v>
      </c>
      <c r="K927" s="5" t="str">
        <f>IF(Logs_Reseau6[[#This Row],[Type_Forfait]]="Pro Monde","B2B","B2C")</f>
        <v>B2C</v>
      </c>
      <c r="L927" s="5" t="str">
        <f>_xlfn.XLOOKUP(Logs_Reseau6[[#This Row],[Id_Client]],Clients_Churn[ID_Client],Clients_Churn[Duree_Cumulee_Panne_Min],"Non Trouvée")</f>
        <v>Non Trouvée</v>
      </c>
      <c r="M927" s="5" t="str">
        <f>_xlfn.XLOOKUP(Logs_Reseau6[[#This Row],[Id_Client]],Clients_Churn[ID_Client],Clients_Churn[Anciennete_Mois],"Rien à signaler")</f>
        <v>Rien à signaler</v>
      </c>
      <c r="N927" s="5" t="e">
        <f>Logs_Reseau6[[#This Row],[Anciennette]]/24</f>
        <v>#VALUE!</v>
      </c>
      <c r="O927" s="5" t="e">
        <f>Logs_Reseau6[[#This Row],[Duree_Cumulée_Panne]]/1440</f>
        <v>#VALUE!</v>
      </c>
      <c r="P92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28" spans="1:16" hidden="1" x14ac:dyDescent="0.25">
      <c r="A928" s="2">
        <v>45209</v>
      </c>
      <c r="B928" s="1">
        <v>0.26874999999999999</v>
      </c>
      <c r="C928" t="s">
        <v>1360</v>
      </c>
      <c r="D928">
        <v>94</v>
      </c>
      <c r="E928" t="s">
        <v>1303</v>
      </c>
      <c r="F928" t="str">
        <f>_xlfn.XLOOKUP(Logs_Reseau6[[#This Row],[Cell_ID]],Registre[ID_Antenne],Registre[Province_RDC],"Non Trouvée")</f>
        <v>Non Trouvée</v>
      </c>
      <c r="G928" t="str">
        <f>_xlfn.XLOOKUP(Logs_Reseau6[[#This Row],[Province]],Clients_Churn[Province_Client],Clients_Churn[ID_Client],"Aucun")</f>
        <v>Aucun</v>
      </c>
      <c r="H928" t="str">
        <f>_xlfn.XLOOKUP(Logs_Reseau6[[#This Row],[Cell_ID]],Registre[ID_Antenne],Registre[Technologie],"Rien à signaler")</f>
        <v>Rien à signaler</v>
      </c>
      <c r="I928" t="str">
        <f>_xlfn.XLOOKUP(Logs_Reseau6[[#This Row],[Cell_ID]],Registre[ID_Antenne],Registre[Equipementier],"Non Trouvée")</f>
        <v>Non Trouvée</v>
      </c>
      <c r="J928" t="str">
        <f>_xlfn.XLOOKUP(Logs_Reseau6[[#This Row],[Id_Client]],Clients_Churn[ID_Client],Clients_Churn[Type_Forfait],"Pas d'information")</f>
        <v>Pas d'information</v>
      </c>
      <c r="K928" s="5" t="str">
        <f>IF(Logs_Reseau6[[#This Row],[Type_Forfait]]="Pro Monde","B2B","B2C")</f>
        <v>B2C</v>
      </c>
      <c r="L928" s="5" t="str">
        <f>_xlfn.XLOOKUP(Logs_Reseau6[[#This Row],[Id_Client]],Clients_Churn[ID_Client],Clients_Churn[Duree_Cumulee_Panne_Min],"Non Trouvée")</f>
        <v>Non Trouvée</v>
      </c>
      <c r="M928" s="5" t="str">
        <f>_xlfn.XLOOKUP(Logs_Reseau6[[#This Row],[Id_Client]],Clients_Churn[ID_Client],Clients_Churn[Anciennete_Mois],"Rien à signaler")</f>
        <v>Rien à signaler</v>
      </c>
      <c r="N928" s="5" t="e">
        <f>Logs_Reseau6[[#This Row],[Anciennette]]/24</f>
        <v>#VALUE!</v>
      </c>
      <c r="O928" s="5" t="e">
        <f>Logs_Reseau6[[#This Row],[Duree_Cumulée_Panne]]/1440</f>
        <v>#VALUE!</v>
      </c>
      <c r="P92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29" spans="1:16" x14ac:dyDescent="0.25">
      <c r="A929" s="2">
        <v>45212</v>
      </c>
      <c r="B929" s="1">
        <v>0.14027777777777778</v>
      </c>
      <c r="C929" t="s">
        <v>797</v>
      </c>
      <c r="D929">
        <v>19</v>
      </c>
      <c r="E929" t="s">
        <v>1303</v>
      </c>
      <c r="F929" t="str">
        <f>_xlfn.XLOOKUP(Logs_Reseau6[[#This Row],[Cell_ID]],Registre[ID_Antenne],Registre[Province_RDC],"Non Trouvée")</f>
        <v>Tanganyika</v>
      </c>
      <c r="G929" t="str">
        <f>_xlfn.XLOOKUP(Logs_Reseau6[[#This Row],[Province]],Clients_Churn[Province_Client],Clients_Churn[ID_Client],"Aucun")</f>
        <v>CLI-00007</v>
      </c>
      <c r="H929" t="str">
        <f>_xlfn.XLOOKUP(Logs_Reseau6[[#This Row],[Cell_ID]],Registre[ID_Antenne],Registre[Technologie],"Rien à signaler")</f>
        <v>3G</v>
      </c>
      <c r="I929" t="str">
        <f>_xlfn.XLOOKUP(Logs_Reseau6[[#This Row],[Cell_ID]],Registre[ID_Antenne],Registre[Equipementier],"Non Trouvée")</f>
        <v>ZTE</v>
      </c>
      <c r="J929" t="str">
        <f>_xlfn.XLOOKUP(Logs_Reseau6[[#This Row],[Id_Client]],Clients_Churn[ID_Client],Clients_Churn[Type_Forfait],"Pas d'information")</f>
        <v>Bloqué 5Go</v>
      </c>
      <c r="K929" s="5" t="str">
        <f>IF(Logs_Reseau6[[#This Row],[Type_Forfait]]="Pro Monde","B2B","B2C")</f>
        <v>B2C</v>
      </c>
      <c r="L929" s="5">
        <f>_xlfn.XLOOKUP(Logs_Reseau6[[#This Row],[Id_Client]],Clients_Churn[ID_Client],Clients_Churn[Duree_Cumulee_Panne_Min],"Non Trouvée")</f>
        <v>112</v>
      </c>
      <c r="M929" s="5">
        <f>_xlfn.XLOOKUP(Logs_Reseau6[[#This Row],[Id_Client]],Clients_Churn[ID_Client],Clients_Churn[Anciennete_Mois],"Rien à signaler")</f>
        <v>110</v>
      </c>
      <c r="N929" s="11">
        <f>Logs_Reseau6[[#This Row],[Anciennette]]/24</f>
        <v>4.583333333333333</v>
      </c>
      <c r="O929" s="1">
        <f>Logs_Reseau6[[#This Row],[Duree_Cumulée_Panne]]/1440</f>
        <v>7.7777777777777779E-2</v>
      </c>
      <c r="P92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30" spans="1:16" hidden="1" x14ac:dyDescent="0.25">
      <c r="A930" s="2">
        <v>45211</v>
      </c>
      <c r="B930" s="1">
        <v>1.4583333333333334E-2</v>
      </c>
      <c r="C930" t="s">
        <v>1592</v>
      </c>
      <c r="D930">
        <v>7</v>
      </c>
      <c r="E930" t="s">
        <v>1305</v>
      </c>
      <c r="F930" t="str">
        <f>_xlfn.XLOOKUP(Logs_Reseau6[[#This Row],[Cell_ID]],Registre[ID_Antenne],Registre[Province_RDC],"Non Trouvée")</f>
        <v>Non Trouvée</v>
      </c>
      <c r="G930" t="str">
        <f>_xlfn.XLOOKUP(Logs_Reseau6[[#This Row],[Province]],Clients_Churn[Province_Client],Clients_Churn[ID_Client],"Aucun")</f>
        <v>Aucun</v>
      </c>
      <c r="H930" t="str">
        <f>_xlfn.XLOOKUP(Logs_Reseau6[[#This Row],[Cell_ID]],Registre[ID_Antenne],Registre[Technologie],"Rien à signaler")</f>
        <v>Rien à signaler</v>
      </c>
      <c r="I930" t="str">
        <f>_xlfn.XLOOKUP(Logs_Reseau6[[#This Row],[Cell_ID]],Registre[ID_Antenne],Registre[Equipementier],"Non Trouvée")</f>
        <v>Non Trouvée</v>
      </c>
      <c r="J930" t="str">
        <f>_xlfn.XLOOKUP(Logs_Reseau6[[#This Row],[Id_Client]],Clients_Churn[ID_Client],Clients_Churn[Type_Forfait],"Pas d'information")</f>
        <v>Pas d'information</v>
      </c>
      <c r="K930" s="5" t="str">
        <f>IF(Logs_Reseau6[[#This Row],[Type_Forfait]]="Pro Monde","B2B","B2C")</f>
        <v>B2C</v>
      </c>
      <c r="L930" s="5" t="str">
        <f>_xlfn.XLOOKUP(Logs_Reseau6[[#This Row],[Id_Client]],Clients_Churn[ID_Client],Clients_Churn[Duree_Cumulee_Panne_Min],"Non Trouvée")</f>
        <v>Non Trouvée</v>
      </c>
      <c r="M930" s="5" t="str">
        <f>_xlfn.XLOOKUP(Logs_Reseau6[[#This Row],[Id_Client]],Clients_Churn[ID_Client],Clients_Churn[Anciennete_Mois],"Rien à signaler")</f>
        <v>Rien à signaler</v>
      </c>
      <c r="N930" s="5" t="e">
        <f>Logs_Reseau6[[#This Row],[Anciennette]]/24</f>
        <v>#VALUE!</v>
      </c>
      <c r="O930" s="5" t="e">
        <f>Logs_Reseau6[[#This Row],[Duree_Cumulée_Panne]]/1440</f>
        <v>#VALUE!</v>
      </c>
      <c r="P93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31" spans="1:16" hidden="1" x14ac:dyDescent="0.25">
      <c r="A931" s="2">
        <v>45230</v>
      </c>
      <c r="B931" s="1">
        <v>0.90625</v>
      </c>
      <c r="C931" t="s">
        <v>1592</v>
      </c>
      <c r="D931">
        <v>87</v>
      </c>
      <c r="E931" t="s">
        <v>1300</v>
      </c>
      <c r="F931" t="str">
        <f>_xlfn.XLOOKUP(Logs_Reseau6[[#This Row],[Cell_ID]],Registre[ID_Antenne],Registre[Province_RDC],"Non Trouvée")</f>
        <v>Non Trouvée</v>
      </c>
      <c r="G931" t="str">
        <f>_xlfn.XLOOKUP(Logs_Reseau6[[#This Row],[Province]],Clients_Churn[Province_Client],Clients_Churn[ID_Client],"Aucun")</f>
        <v>Aucun</v>
      </c>
      <c r="H931" t="str">
        <f>_xlfn.XLOOKUP(Logs_Reseau6[[#This Row],[Cell_ID]],Registre[ID_Antenne],Registre[Technologie],"Rien à signaler")</f>
        <v>Rien à signaler</v>
      </c>
      <c r="I931" t="str">
        <f>_xlfn.XLOOKUP(Logs_Reseau6[[#This Row],[Cell_ID]],Registre[ID_Antenne],Registre[Equipementier],"Non Trouvée")</f>
        <v>Non Trouvée</v>
      </c>
      <c r="J931" t="str">
        <f>_xlfn.XLOOKUP(Logs_Reseau6[[#This Row],[Id_Client]],Clients_Churn[ID_Client],Clients_Churn[Type_Forfait],"Pas d'information")</f>
        <v>Pas d'information</v>
      </c>
      <c r="K931" s="5" t="str">
        <f>IF(Logs_Reseau6[[#This Row],[Type_Forfait]]="Pro Monde","B2B","B2C")</f>
        <v>B2C</v>
      </c>
      <c r="L931" s="5" t="str">
        <f>_xlfn.XLOOKUP(Logs_Reseau6[[#This Row],[Id_Client]],Clients_Churn[ID_Client],Clients_Churn[Duree_Cumulee_Panne_Min],"Non Trouvée")</f>
        <v>Non Trouvée</v>
      </c>
      <c r="M931" s="5" t="str">
        <f>_xlfn.XLOOKUP(Logs_Reseau6[[#This Row],[Id_Client]],Clients_Churn[ID_Client],Clients_Churn[Anciennete_Mois],"Rien à signaler")</f>
        <v>Rien à signaler</v>
      </c>
      <c r="N931" s="5" t="e">
        <f>Logs_Reseau6[[#This Row],[Anciennette]]/24</f>
        <v>#VALUE!</v>
      </c>
      <c r="O931" s="5" t="e">
        <f>Logs_Reseau6[[#This Row],[Duree_Cumulée_Panne]]/1440</f>
        <v>#VALUE!</v>
      </c>
      <c r="P93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32" spans="1:16" x14ac:dyDescent="0.25">
      <c r="A932" s="2">
        <v>45204</v>
      </c>
      <c r="B932" s="1">
        <v>0.98611111111111116</v>
      </c>
      <c r="C932" t="s">
        <v>961</v>
      </c>
      <c r="D932">
        <v>76</v>
      </c>
      <c r="E932" t="s">
        <v>1303</v>
      </c>
      <c r="F932" t="str">
        <f>_xlfn.XLOOKUP(Logs_Reseau6[[#This Row],[Cell_ID]],Registre[ID_Antenne],Registre[Province_RDC],"Non Trouvée")</f>
        <v>Haut-Uele</v>
      </c>
      <c r="G932" t="str">
        <f>_xlfn.XLOOKUP(Logs_Reseau6[[#This Row],[Province]],Clients_Churn[Province_Client],Clients_Churn[ID_Client],"Aucun")</f>
        <v>CLI-00055</v>
      </c>
      <c r="H932" t="str">
        <f>_xlfn.XLOOKUP(Logs_Reseau6[[#This Row],[Cell_ID]],Registre[ID_Antenne],Registre[Technologie],"Rien à signaler")</f>
        <v>5G</v>
      </c>
      <c r="I932" t="str">
        <f>_xlfn.XLOOKUP(Logs_Reseau6[[#This Row],[Cell_ID]],Registre[ID_Antenne],Registre[Equipementier],"Non Trouvée")</f>
        <v>Ericsson</v>
      </c>
      <c r="J932" t="str">
        <f>_xlfn.XLOOKUP(Logs_Reseau6[[#This Row],[Id_Client]],Clients_Churn[ID_Client],Clients_Churn[Type_Forfait],"Pas d'information")</f>
        <v>Pro Monde</v>
      </c>
      <c r="K932" s="5" t="str">
        <f>IF(Logs_Reseau6[[#This Row],[Type_Forfait]]="Pro Monde","B2B","B2C")</f>
        <v>B2B</v>
      </c>
      <c r="L932" s="5">
        <f>_xlfn.XLOOKUP(Logs_Reseau6[[#This Row],[Id_Client]],Clients_Churn[ID_Client],Clients_Churn[Duree_Cumulee_Panne_Min],"Non Trouvée")</f>
        <v>206</v>
      </c>
      <c r="M932" s="5">
        <f>_xlfn.XLOOKUP(Logs_Reseau6[[#This Row],[Id_Client]],Clients_Churn[ID_Client],Clients_Churn[Anciennete_Mois],"Rien à signaler")</f>
        <v>6</v>
      </c>
      <c r="N932" s="11">
        <f>Logs_Reseau6[[#This Row],[Anciennette]]/24</f>
        <v>0.25</v>
      </c>
      <c r="O932" s="1">
        <f>Logs_Reseau6[[#This Row],[Duree_Cumulée_Panne]]/1440</f>
        <v>0.14305555555555555</v>
      </c>
      <c r="P93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33" spans="1:16" x14ac:dyDescent="0.25">
      <c r="A933" s="2">
        <v>45210</v>
      </c>
      <c r="B933" s="1">
        <v>0.68958333333333333</v>
      </c>
      <c r="C933" t="s">
        <v>961</v>
      </c>
      <c r="D933">
        <v>16</v>
      </c>
      <c r="E933" t="s">
        <v>1300</v>
      </c>
      <c r="F933" t="str">
        <f>_xlfn.XLOOKUP(Logs_Reseau6[[#This Row],[Cell_ID]],Registre[ID_Antenne],Registre[Province_RDC],"Non Trouvée")</f>
        <v>Haut-Uele</v>
      </c>
      <c r="G933" t="str">
        <f>_xlfn.XLOOKUP(Logs_Reseau6[[#This Row],[Province]],Clients_Churn[Province_Client],Clients_Churn[ID_Client],"Aucun")</f>
        <v>CLI-00055</v>
      </c>
      <c r="H933" t="str">
        <f>_xlfn.XLOOKUP(Logs_Reseau6[[#This Row],[Cell_ID]],Registre[ID_Antenne],Registre[Technologie],"Rien à signaler")</f>
        <v>5G</v>
      </c>
      <c r="I933" t="str">
        <f>_xlfn.XLOOKUP(Logs_Reseau6[[#This Row],[Cell_ID]],Registre[ID_Antenne],Registre[Equipementier],"Non Trouvée")</f>
        <v>Ericsson</v>
      </c>
      <c r="J933" t="str">
        <f>_xlfn.XLOOKUP(Logs_Reseau6[[#This Row],[Id_Client]],Clients_Churn[ID_Client],Clients_Churn[Type_Forfait],"Pas d'information")</f>
        <v>Pro Monde</v>
      </c>
      <c r="K933" s="5" t="str">
        <f>IF(Logs_Reseau6[[#This Row],[Type_Forfait]]="Pro Monde","B2B","B2C")</f>
        <v>B2B</v>
      </c>
      <c r="L933" s="5">
        <f>_xlfn.XLOOKUP(Logs_Reseau6[[#This Row],[Id_Client]],Clients_Churn[ID_Client],Clients_Churn[Duree_Cumulee_Panne_Min],"Non Trouvée")</f>
        <v>206</v>
      </c>
      <c r="M933" s="5">
        <f>_xlfn.XLOOKUP(Logs_Reseau6[[#This Row],[Id_Client]],Clients_Churn[ID_Client],Clients_Churn[Anciennete_Mois],"Rien à signaler")</f>
        <v>6</v>
      </c>
      <c r="N933" s="11">
        <f>Logs_Reseau6[[#This Row],[Anciennette]]/24</f>
        <v>0.25</v>
      </c>
      <c r="O933" s="1">
        <f>Logs_Reseau6[[#This Row],[Duree_Cumulée_Panne]]/1440</f>
        <v>0.14305555555555555</v>
      </c>
      <c r="P93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34" spans="1:16" hidden="1" x14ac:dyDescent="0.25">
      <c r="A934" s="2">
        <v>45225</v>
      </c>
      <c r="B934" s="1">
        <v>0.55347222222222225</v>
      </c>
      <c r="C934" t="s">
        <v>1557</v>
      </c>
      <c r="D934">
        <v>120</v>
      </c>
      <c r="E934" t="s">
        <v>1300</v>
      </c>
      <c r="F934" t="str">
        <f>_xlfn.XLOOKUP(Logs_Reseau6[[#This Row],[Cell_ID]],Registre[ID_Antenne],Registre[Province_RDC],"Non Trouvée")</f>
        <v>Non Trouvée</v>
      </c>
      <c r="G934" t="str">
        <f>_xlfn.XLOOKUP(Logs_Reseau6[[#This Row],[Province]],Clients_Churn[Province_Client],Clients_Churn[ID_Client],"Aucun")</f>
        <v>Aucun</v>
      </c>
      <c r="H934" t="str">
        <f>_xlfn.XLOOKUP(Logs_Reseau6[[#This Row],[Cell_ID]],Registre[ID_Antenne],Registre[Technologie],"Rien à signaler")</f>
        <v>Rien à signaler</v>
      </c>
      <c r="I934" t="str">
        <f>_xlfn.XLOOKUP(Logs_Reseau6[[#This Row],[Cell_ID]],Registre[ID_Antenne],Registre[Equipementier],"Non Trouvée")</f>
        <v>Non Trouvée</v>
      </c>
      <c r="J934" t="str">
        <f>_xlfn.XLOOKUP(Logs_Reseau6[[#This Row],[Id_Client]],Clients_Churn[ID_Client],Clients_Churn[Type_Forfait],"Pas d'information")</f>
        <v>Pas d'information</v>
      </c>
      <c r="K934" s="5" t="str">
        <f>IF(Logs_Reseau6[[#This Row],[Type_Forfait]]="Pro Monde","B2B","B2C")</f>
        <v>B2C</v>
      </c>
      <c r="L934" s="5" t="str">
        <f>_xlfn.XLOOKUP(Logs_Reseau6[[#This Row],[Id_Client]],Clients_Churn[ID_Client],Clients_Churn[Duree_Cumulee_Panne_Min],"Non Trouvée")</f>
        <v>Non Trouvée</v>
      </c>
      <c r="M934" s="5" t="str">
        <f>_xlfn.XLOOKUP(Logs_Reseau6[[#This Row],[Id_Client]],Clients_Churn[ID_Client],Clients_Churn[Anciennete_Mois],"Rien à signaler")</f>
        <v>Rien à signaler</v>
      </c>
      <c r="N934" s="5" t="e">
        <f>Logs_Reseau6[[#This Row],[Anciennette]]/24</f>
        <v>#VALUE!</v>
      </c>
      <c r="O934" s="5" t="e">
        <f>Logs_Reseau6[[#This Row],[Duree_Cumulée_Panne]]/1440</f>
        <v>#VALUE!</v>
      </c>
      <c r="P93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35" spans="1:16" hidden="1" x14ac:dyDescent="0.25">
      <c r="A935" s="2">
        <v>45211</v>
      </c>
      <c r="B935" s="1">
        <v>0.38263888888888886</v>
      </c>
      <c r="C935" t="s">
        <v>1330</v>
      </c>
      <c r="D935">
        <v>105</v>
      </c>
      <c r="E935" t="s">
        <v>1300</v>
      </c>
      <c r="F935" t="str">
        <f>_xlfn.XLOOKUP(Logs_Reseau6[[#This Row],[Cell_ID]],Registre[ID_Antenne],Registre[Province_RDC],"Non Trouvée")</f>
        <v>Non Trouvée</v>
      </c>
      <c r="G935" t="str">
        <f>_xlfn.XLOOKUP(Logs_Reseau6[[#This Row],[Province]],Clients_Churn[Province_Client],Clients_Churn[ID_Client],"Aucun")</f>
        <v>Aucun</v>
      </c>
      <c r="H935" t="str">
        <f>_xlfn.XLOOKUP(Logs_Reseau6[[#This Row],[Cell_ID]],Registre[ID_Antenne],Registre[Technologie],"Rien à signaler")</f>
        <v>Rien à signaler</v>
      </c>
      <c r="I935" t="str">
        <f>_xlfn.XLOOKUP(Logs_Reseau6[[#This Row],[Cell_ID]],Registre[ID_Antenne],Registre[Equipementier],"Non Trouvée")</f>
        <v>Non Trouvée</v>
      </c>
      <c r="J935" t="str">
        <f>_xlfn.XLOOKUP(Logs_Reseau6[[#This Row],[Id_Client]],Clients_Churn[ID_Client],Clients_Churn[Type_Forfait],"Pas d'information")</f>
        <v>Pas d'information</v>
      </c>
      <c r="K935" s="5" t="str">
        <f>IF(Logs_Reseau6[[#This Row],[Type_Forfait]]="Pro Monde","B2B","B2C")</f>
        <v>B2C</v>
      </c>
      <c r="L935" s="5" t="str">
        <f>_xlfn.XLOOKUP(Logs_Reseau6[[#This Row],[Id_Client]],Clients_Churn[ID_Client],Clients_Churn[Duree_Cumulee_Panne_Min],"Non Trouvée")</f>
        <v>Non Trouvée</v>
      </c>
      <c r="M935" s="5" t="str">
        <f>_xlfn.XLOOKUP(Logs_Reseau6[[#This Row],[Id_Client]],Clients_Churn[ID_Client],Clients_Churn[Anciennete_Mois],"Rien à signaler")</f>
        <v>Rien à signaler</v>
      </c>
      <c r="N935" s="5" t="e">
        <f>Logs_Reseau6[[#This Row],[Anciennette]]/24</f>
        <v>#VALUE!</v>
      </c>
      <c r="O935" s="5" t="e">
        <f>Logs_Reseau6[[#This Row],[Duree_Cumulée_Panne]]/1440</f>
        <v>#VALUE!</v>
      </c>
      <c r="P93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36" spans="1:16" hidden="1" x14ac:dyDescent="0.25">
      <c r="A936" s="2">
        <v>45219</v>
      </c>
      <c r="B936" s="1">
        <v>0.95</v>
      </c>
      <c r="C936" t="s">
        <v>1330</v>
      </c>
      <c r="D936">
        <v>45</v>
      </c>
      <c r="E936" t="s">
        <v>1305</v>
      </c>
      <c r="F936" t="str">
        <f>_xlfn.XLOOKUP(Logs_Reseau6[[#This Row],[Cell_ID]],Registre[ID_Antenne],Registre[Province_RDC],"Non Trouvée")</f>
        <v>Non Trouvée</v>
      </c>
      <c r="G936" t="str">
        <f>_xlfn.XLOOKUP(Logs_Reseau6[[#This Row],[Province]],Clients_Churn[Province_Client],Clients_Churn[ID_Client],"Aucun")</f>
        <v>Aucun</v>
      </c>
      <c r="H936" t="str">
        <f>_xlfn.XLOOKUP(Logs_Reseau6[[#This Row],[Cell_ID]],Registre[ID_Antenne],Registre[Technologie],"Rien à signaler")</f>
        <v>Rien à signaler</v>
      </c>
      <c r="I936" t="str">
        <f>_xlfn.XLOOKUP(Logs_Reseau6[[#This Row],[Cell_ID]],Registre[ID_Antenne],Registre[Equipementier],"Non Trouvée")</f>
        <v>Non Trouvée</v>
      </c>
      <c r="J936" t="str">
        <f>_xlfn.XLOOKUP(Logs_Reseau6[[#This Row],[Id_Client]],Clients_Churn[ID_Client],Clients_Churn[Type_Forfait],"Pas d'information")</f>
        <v>Pas d'information</v>
      </c>
      <c r="K936" s="5" t="str">
        <f>IF(Logs_Reseau6[[#This Row],[Type_Forfait]]="Pro Monde","B2B","B2C")</f>
        <v>B2C</v>
      </c>
      <c r="L936" s="5" t="str">
        <f>_xlfn.XLOOKUP(Logs_Reseau6[[#This Row],[Id_Client]],Clients_Churn[ID_Client],Clients_Churn[Duree_Cumulee_Panne_Min],"Non Trouvée")</f>
        <v>Non Trouvée</v>
      </c>
      <c r="M936" s="5" t="str">
        <f>_xlfn.XLOOKUP(Logs_Reseau6[[#This Row],[Id_Client]],Clients_Churn[ID_Client],Clients_Churn[Anciennete_Mois],"Rien à signaler")</f>
        <v>Rien à signaler</v>
      </c>
      <c r="N936" s="5" t="e">
        <f>Logs_Reseau6[[#This Row],[Anciennette]]/24</f>
        <v>#VALUE!</v>
      </c>
      <c r="O936" s="5" t="e">
        <f>Logs_Reseau6[[#This Row],[Duree_Cumulée_Panne]]/1440</f>
        <v>#VALUE!</v>
      </c>
      <c r="P93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37" spans="1:16" hidden="1" x14ac:dyDescent="0.25">
      <c r="A937" s="2">
        <v>45223</v>
      </c>
      <c r="B937" s="1">
        <v>0.45208333333333334</v>
      </c>
      <c r="C937" t="s">
        <v>1330</v>
      </c>
      <c r="D937">
        <v>117</v>
      </c>
      <c r="E937" t="s">
        <v>1305</v>
      </c>
      <c r="F937" t="str">
        <f>_xlfn.XLOOKUP(Logs_Reseau6[[#This Row],[Cell_ID]],Registre[ID_Antenne],Registre[Province_RDC],"Non Trouvée")</f>
        <v>Non Trouvée</v>
      </c>
      <c r="G937" t="str">
        <f>_xlfn.XLOOKUP(Logs_Reseau6[[#This Row],[Province]],Clients_Churn[Province_Client],Clients_Churn[ID_Client],"Aucun")</f>
        <v>Aucun</v>
      </c>
      <c r="H937" t="str">
        <f>_xlfn.XLOOKUP(Logs_Reseau6[[#This Row],[Cell_ID]],Registre[ID_Antenne],Registre[Technologie],"Rien à signaler")</f>
        <v>Rien à signaler</v>
      </c>
      <c r="I937" t="str">
        <f>_xlfn.XLOOKUP(Logs_Reseau6[[#This Row],[Cell_ID]],Registre[ID_Antenne],Registre[Equipementier],"Non Trouvée")</f>
        <v>Non Trouvée</v>
      </c>
      <c r="J937" t="str">
        <f>_xlfn.XLOOKUP(Logs_Reseau6[[#This Row],[Id_Client]],Clients_Churn[ID_Client],Clients_Churn[Type_Forfait],"Pas d'information")</f>
        <v>Pas d'information</v>
      </c>
      <c r="K937" s="5" t="str">
        <f>IF(Logs_Reseau6[[#This Row],[Type_Forfait]]="Pro Monde","B2B","B2C")</f>
        <v>B2C</v>
      </c>
      <c r="L937" s="5" t="str">
        <f>_xlfn.XLOOKUP(Logs_Reseau6[[#This Row],[Id_Client]],Clients_Churn[ID_Client],Clients_Churn[Duree_Cumulee_Panne_Min],"Non Trouvée")</f>
        <v>Non Trouvée</v>
      </c>
      <c r="M937" s="5" t="str">
        <f>_xlfn.XLOOKUP(Logs_Reseau6[[#This Row],[Id_Client]],Clients_Churn[ID_Client],Clients_Churn[Anciennete_Mois],"Rien à signaler")</f>
        <v>Rien à signaler</v>
      </c>
      <c r="N937" s="5" t="e">
        <f>Logs_Reseau6[[#This Row],[Anciennette]]/24</f>
        <v>#VALUE!</v>
      </c>
      <c r="O937" s="5" t="e">
        <f>Logs_Reseau6[[#This Row],[Duree_Cumulée_Panne]]/1440</f>
        <v>#VALUE!</v>
      </c>
      <c r="P93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38" spans="1:16" hidden="1" x14ac:dyDescent="0.25">
      <c r="A938" s="2">
        <v>45221</v>
      </c>
      <c r="B938" s="1">
        <v>0.93194444444444446</v>
      </c>
      <c r="C938" t="s">
        <v>1540</v>
      </c>
      <c r="D938">
        <v>26</v>
      </c>
      <c r="E938" t="s">
        <v>1300</v>
      </c>
      <c r="F938" t="str">
        <f>_xlfn.XLOOKUP(Logs_Reseau6[[#This Row],[Cell_ID]],Registre[ID_Antenne],Registre[Province_RDC],"Non Trouvée")</f>
        <v>Non Trouvée</v>
      </c>
      <c r="G938" t="str">
        <f>_xlfn.XLOOKUP(Logs_Reseau6[[#This Row],[Province]],Clients_Churn[Province_Client],Clients_Churn[ID_Client],"Aucun")</f>
        <v>Aucun</v>
      </c>
      <c r="H938" t="str">
        <f>_xlfn.XLOOKUP(Logs_Reseau6[[#This Row],[Cell_ID]],Registre[ID_Antenne],Registre[Technologie],"Rien à signaler")</f>
        <v>Rien à signaler</v>
      </c>
      <c r="I938" t="str">
        <f>_xlfn.XLOOKUP(Logs_Reseau6[[#This Row],[Cell_ID]],Registre[ID_Antenne],Registre[Equipementier],"Non Trouvée")</f>
        <v>Non Trouvée</v>
      </c>
      <c r="J938" t="str">
        <f>_xlfn.XLOOKUP(Logs_Reseau6[[#This Row],[Id_Client]],Clients_Churn[ID_Client],Clients_Churn[Type_Forfait],"Pas d'information")</f>
        <v>Pas d'information</v>
      </c>
      <c r="K938" s="5" t="str">
        <f>IF(Logs_Reseau6[[#This Row],[Type_Forfait]]="Pro Monde","B2B","B2C")</f>
        <v>B2C</v>
      </c>
      <c r="L938" s="5" t="str">
        <f>_xlfn.XLOOKUP(Logs_Reseau6[[#This Row],[Id_Client]],Clients_Churn[ID_Client],Clients_Churn[Duree_Cumulee_Panne_Min],"Non Trouvée")</f>
        <v>Non Trouvée</v>
      </c>
      <c r="M938" s="5" t="str">
        <f>_xlfn.XLOOKUP(Logs_Reseau6[[#This Row],[Id_Client]],Clients_Churn[ID_Client],Clients_Churn[Anciennete_Mois],"Rien à signaler")</f>
        <v>Rien à signaler</v>
      </c>
      <c r="N938" s="5" t="e">
        <f>Logs_Reseau6[[#This Row],[Anciennette]]/24</f>
        <v>#VALUE!</v>
      </c>
      <c r="O938" s="5" t="e">
        <f>Logs_Reseau6[[#This Row],[Duree_Cumulée_Panne]]/1440</f>
        <v>#VALUE!</v>
      </c>
      <c r="P93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39" spans="1:16" x14ac:dyDescent="0.25">
      <c r="A939" s="2">
        <v>45210</v>
      </c>
      <c r="B939" s="1">
        <v>0.36666666666666664</v>
      </c>
      <c r="C939" t="s">
        <v>859</v>
      </c>
      <c r="D939">
        <v>67</v>
      </c>
      <c r="E939" t="s">
        <v>1303</v>
      </c>
      <c r="F939" t="str">
        <f>_xlfn.XLOOKUP(Logs_Reseau6[[#This Row],[Cell_ID]],Registre[ID_Antenne],Registre[Province_RDC],"Non Trouvée")</f>
        <v>Lualaba</v>
      </c>
      <c r="G939" t="str">
        <f>_xlfn.XLOOKUP(Logs_Reseau6[[#This Row],[Province]],Clients_Churn[Province_Client],Clients_Churn[ID_Client],"Aucun")</f>
        <v>CLI-00334</v>
      </c>
      <c r="H939" t="str">
        <f>_xlfn.XLOOKUP(Logs_Reseau6[[#This Row],[Cell_ID]],Registre[ID_Antenne],Registre[Technologie],"Rien à signaler")</f>
        <v>5G</v>
      </c>
      <c r="I939" t="str">
        <f>_xlfn.XLOOKUP(Logs_Reseau6[[#This Row],[Cell_ID]],Registre[ID_Antenne],Registre[Equipementier],"Non Trouvée")</f>
        <v>ZTE</v>
      </c>
      <c r="J939" t="str">
        <f>_xlfn.XLOOKUP(Logs_Reseau6[[#This Row],[Id_Client]],Clients_Churn[ID_Client],Clients_Churn[Type_Forfait],"Pas d'information")</f>
        <v>Pro Monde</v>
      </c>
      <c r="K939" s="5" t="str">
        <f>IF(Logs_Reseau6[[#This Row],[Type_Forfait]]="Pro Monde","B2B","B2C")</f>
        <v>B2B</v>
      </c>
      <c r="L939" s="5">
        <f>_xlfn.XLOOKUP(Logs_Reseau6[[#This Row],[Id_Client]],Clients_Churn[ID_Client],Clients_Churn[Duree_Cumulee_Panne_Min],"Non Trouvée")</f>
        <v>214</v>
      </c>
      <c r="M939" s="5">
        <f>_xlfn.XLOOKUP(Logs_Reseau6[[#This Row],[Id_Client]],Clients_Churn[ID_Client],Clients_Churn[Anciennete_Mois],"Rien à signaler")</f>
        <v>16</v>
      </c>
      <c r="N939" s="11">
        <f>Logs_Reseau6[[#This Row],[Anciennette]]/24</f>
        <v>0.66666666666666663</v>
      </c>
      <c r="O939" s="1">
        <f>Logs_Reseau6[[#This Row],[Duree_Cumulée_Panne]]/1440</f>
        <v>0.14861111111111111</v>
      </c>
      <c r="P93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40" spans="1:16" x14ac:dyDescent="0.25">
      <c r="A940" s="2">
        <v>45223</v>
      </c>
      <c r="B940" s="1">
        <v>0.61111111111111116</v>
      </c>
      <c r="C940" t="s">
        <v>859</v>
      </c>
      <c r="D940">
        <v>88</v>
      </c>
      <c r="E940" t="s">
        <v>1300</v>
      </c>
      <c r="F940" t="str">
        <f>_xlfn.XLOOKUP(Logs_Reseau6[[#This Row],[Cell_ID]],Registre[ID_Antenne],Registre[Province_RDC],"Non Trouvée")</f>
        <v>Lualaba</v>
      </c>
      <c r="G940" t="str">
        <f>_xlfn.XLOOKUP(Logs_Reseau6[[#This Row],[Province]],Clients_Churn[Province_Client],Clients_Churn[ID_Client],"Aucun")</f>
        <v>CLI-00334</v>
      </c>
      <c r="H940" t="str">
        <f>_xlfn.XLOOKUP(Logs_Reseau6[[#This Row],[Cell_ID]],Registre[ID_Antenne],Registre[Technologie],"Rien à signaler")</f>
        <v>5G</v>
      </c>
      <c r="I940" t="str">
        <f>_xlfn.XLOOKUP(Logs_Reseau6[[#This Row],[Cell_ID]],Registre[ID_Antenne],Registre[Equipementier],"Non Trouvée")</f>
        <v>ZTE</v>
      </c>
      <c r="J940" t="str">
        <f>_xlfn.XLOOKUP(Logs_Reseau6[[#This Row],[Id_Client]],Clients_Churn[ID_Client],Clients_Churn[Type_Forfait],"Pas d'information")</f>
        <v>Pro Monde</v>
      </c>
      <c r="K940" s="5" t="str">
        <f>IF(Logs_Reseau6[[#This Row],[Type_Forfait]]="Pro Monde","B2B","B2C")</f>
        <v>B2B</v>
      </c>
      <c r="L940" s="5">
        <f>_xlfn.XLOOKUP(Logs_Reseau6[[#This Row],[Id_Client]],Clients_Churn[ID_Client],Clients_Churn[Duree_Cumulee_Panne_Min],"Non Trouvée")</f>
        <v>214</v>
      </c>
      <c r="M940" s="5">
        <f>_xlfn.XLOOKUP(Logs_Reseau6[[#This Row],[Id_Client]],Clients_Churn[ID_Client],Clients_Churn[Anciennete_Mois],"Rien à signaler")</f>
        <v>16</v>
      </c>
      <c r="N940" s="11">
        <f>Logs_Reseau6[[#This Row],[Anciennette]]/24</f>
        <v>0.66666666666666663</v>
      </c>
      <c r="O940" s="1">
        <f>Logs_Reseau6[[#This Row],[Duree_Cumulée_Panne]]/1440</f>
        <v>0.14861111111111111</v>
      </c>
      <c r="P94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41" spans="1:16" x14ac:dyDescent="0.25">
      <c r="A941" s="2">
        <v>45228</v>
      </c>
      <c r="B941" s="1">
        <v>0.74791666666666667</v>
      </c>
      <c r="C941" t="s">
        <v>859</v>
      </c>
      <c r="D941">
        <v>27</v>
      </c>
      <c r="E941" t="s">
        <v>1300</v>
      </c>
      <c r="F941" t="str">
        <f>_xlfn.XLOOKUP(Logs_Reseau6[[#This Row],[Cell_ID]],Registre[ID_Antenne],Registre[Province_RDC],"Non Trouvée")</f>
        <v>Lualaba</v>
      </c>
      <c r="G941" t="str">
        <f>_xlfn.XLOOKUP(Logs_Reseau6[[#This Row],[Province]],Clients_Churn[Province_Client],Clients_Churn[ID_Client],"Aucun")</f>
        <v>CLI-00334</v>
      </c>
      <c r="H941" t="str">
        <f>_xlfn.XLOOKUP(Logs_Reseau6[[#This Row],[Cell_ID]],Registre[ID_Antenne],Registre[Technologie],"Rien à signaler")</f>
        <v>5G</v>
      </c>
      <c r="I941" t="str">
        <f>_xlfn.XLOOKUP(Logs_Reseau6[[#This Row],[Cell_ID]],Registre[ID_Antenne],Registre[Equipementier],"Non Trouvée")</f>
        <v>ZTE</v>
      </c>
      <c r="J941" t="str">
        <f>_xlfn.XLOOKUP(Logs_Reseau6[[#This Row],[Id_Client]],Clients_Churn[ID_Client],Clients_Churn[Type_Forfait],"Pas d'information")</f>
        <v>Pro Monde</v>
      </c>
      <c r="K941" s="5" t="str">
        <f>IF(Logs_Reseau6[[#This Row],[Type_Forfait]]="Pro Monde","B2B","B2C")</f>
        <v>B2B</v>
      </c>
      <c r="L941" s="5">
        <f>_xlfn.XLOOKUP(Logs_Reseau6[[#This Row],[Id_Client]],Clients_Churn[ID_Client],Clients_Churn[Duree_Cumulee_Panne_Min],"Non Trouvée")</f>
        <v>214</v>
      </c>
      <c r="M941" s="5">
        <f>_xlfn.XLOOKUP(Logs_Reseau6[[#This Row],[Id_Client]],Clients_Churn[ID_Client],Clients_Churn[Anciennete_Mois],"Rien à signaler")</f>
        <v>16</v>
      </c>
      <c r="N941" s="11">
        <f>Logs_Reseau6[[#This Row],[Anciennette]]/24</f>
        <v>0.66666666666666663</v>
      </c>
      <c r="O941" s="1">
        <f>Logs_Reseau6[[#This Row],[Duree_Cumulée_Panne]]/1440</f>
        <v>0.14861111111111111</v>
      </c>
      <c r="P94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42" spans="1:16" x14ac:dyDescent="0.25">
      <c r="A942" s="2">
        <v>45222</v>
      </c>
      <c r="B942" s="1">
        <v>0.58472222222222225</v>
      </c>
      <c r="C942" t="s">
        <v>817</v>
      </c>
      <c r="D942">
        <v>15</v>
      </c>
      <c r="E942" t="s">
        <v>1305</v>
      </c>
      <c r="F942" t="str">
        <f>_xlfn.XLOOKUP(Logs_Reseau6[[#This Row],[Cell_ID]],Registre[ID_Antenne],Registre[Province_RDC],"Non Trouvée")</f>
        <v>Equateur</v>
      </c>
      <c r="G942" t="str">
        <f>_xlfn.XLOOKUP(Logs_Reseau6[[#This Row],[Province]],Clients_Churn[Province_Client],Clients_Churn[ID_Client],"Aucun")</f>
        <v>CLI-00091</v>
      </c>
      <c r="H942" t="str">
        <f>_xlfn.XLOOKUP(Logs_Reseau6[[#This Row],[Cell_ID]],Registre[ID_Antenne],Registre[Technologie],"Rien à signaler")</f>
        <v>4G</v>
      </c>
      <c r="I942" t="str">
        <f>_xlfn.XLOOKUP(Logs_Reseau6[[#This Row],[Cell_ID]],Registre[ID_Antenne],Registre[Equipementier],"Non Trouvée")</f>
        <v>Nokia</v>
      </c>
      <c r="J942" t="str">
        <f>_xlfn.XLOOKUP(Logs_Reseau6[[#This Row],[Id_Client]],Clients_Churn[ID_Client],Clients_Churn[Type_Forfait],"Pas d'information")</f>
        <v>Bloqué 5Go</v>
      </c>
      <c r="K942" s="5" t="str">
        <f>IF(Logs_Reseau6[[#This Row],[Type_Forfait]]="Pro Monde","B2B","B2C")</f>
        <v>B2C</v>
      </c>
      <c r="L942" s="5">
        <f>_xlfn.XLOOKUP(Logs_Reseau6[[#This Row],[Id_Client]],Clients_Churn[ID_Client],Clients_Churn[Duree_Cumulee_Panne_Min],"Non Trouvée")</f>
        <v>435</v>
      </c>
      <c r="M942" s="5">
        <f>_xlfn.XLOOKUP(Logs_Reseau6[[#This Row],[Id_Client]],Clients_Churn[ID_Client],Clients_Churn[Anciennete_Mois],"Rien à signaler")</f>
        <v>50</v>
      </c>
      <c r="N942" s="11">
        <f>Logs_Reseau6[[#This Row],[Anciennette]]/24</f>
        <v>2.0833333333333335</v>
      </c>
      <c r="O942" s="1">
        <f>Logs_Reseau6[[#This Row],[Duree_Cumulée_Panne]]/1440</f>
        <v>0.30208333333333331</v>
      </c>
      <c r="P94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43" spans="1:16" x14ac:dyDescent="0.25">
      <c r="A943" s="2">
        <v>45226</v>
      </c>
      <c r="B943" s="1">
        <v>0.11597222222222223</v>
      </c>
      <c r="C943" t="s">
        <v>1173</v>
      </c>
      <c r="D943">
        <v>5</v>
      </c>
      <c r="E943" t="s">
        <v>1305</v>
      </c>
      <c r="F943" t="str">
        <f>_xlfn.XLOOKUP(Logs_Reseau6[[#This Row],[Cell_ID]],Registre[ID_Antenne],Registre[Province_RDC],"Non Trouvée")</f>
        <v>Kasai-Oriental</v>
      </c>
      <c r="G943" t="str">
        <f>_xlfn.XLOOKUP(Logs_Reseau6[[#This Row],[Province]],Clients_Churn[Province_Client],Clients_Churn[ID_Client],"Aucun")</f>
        <v>CLI-00107</v>
      </c>
      <c r="H943" t="str">
        <f>_xlfn.XLOOKUP(Logs_Reseau6[[#This Row],[Cell_ID]],Registre[ID_Antenne],Registre[Technologie],"Rien à signaler")</f>
        <v>5G</v>
      </c>
      <c r="I943" t="str">
        <f>_xlfn.XLOOKUP(Logs_Reseau6[[#This Row],[Cell_ID]],Registre[ID_Antenne],Registre[Equipementier],"Non Trouvée")</f>
        <v>ZTE</v>
      </c>
      <c r="J943" t="str">
        <f>_xlfn.XLOOKUP(Logs_Reseau6[[#This Row],[Id_Client]],Clients_Churn[ID_Client],Clients_Churn[Type_Forfait],"Pas d'information")</f>
        <v>Premium 5G 150Go</v>
      </c>
      <c r="K943" s="5" t="str">
        <f>IF(Logs_Reseau6[[#This Row],[Type_Forfait]]="Pro Monde","B2B","B2C")</f>
        <v>B2C</v>
      </c>
      <c r="L943" s="5">
        <f>_xlfn.XLOOKUP(Logs_Reseau6[[#This Row],[Id_Client]],Clients_Churn[ID_Client],Clients_Churn[Duree_Cumulee_Panne_Min],"Non Trouvée")</f>
        <v>88</v>
      </c>
      <c r="M943" s="5">
        <f>_xlfn.XLOOKUP(Logs_Reseau6[[#This Row],[Id_Client]],Clients_Churn[ID_Client],Clients_Churn[Anciennete_Mois],"Rien à signaler")</f>
        <v>82</v>
      </c>
      <c r="N943" s="11">
        <f>Logs_Reseau6[[#This Row],[Anciennette]]/24</f>
        <v>3.4166666666666665</v>
      </c>
      <c r="O943" s="1">
        <f>Logs_Reseau6[[#This Row],[Duree_Cumulée_Panne]]/1440</f>
        <v>6.1111111111111109E-2</v>
      </c>
      <c r="P94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44" spans="1:16" x14ac:dyDescent="0.25">
      <c r="A944" s="2">
        <v>45230</v>
      </c>
      <c r="B944" s="1">
        <v>0.6333333333333333</v>
      </c>
      <c r="C944" t="s">
        <v>1173</v>
      </c>
      <c r="D944">
        <v>34</v>
      </c>
      <c r="E944" t="s">
        <v>1300</v>
      </c>
      <c r="F944" t="str">
        <f>_xlfn.XLOOKUP(Logs_Reseau6[[#This Row],[Cell_ID]],Registre[ID_Antenne],Registre[Province_RDC],"Non Trouvée")</f>
        <v>Kasai-Oriental</v>
      </c>
      <c r="G944" t="str">
        <f>_xlfn.XLOOKUP(Logs_Reseau6[[#This Row],[Province]],Clients_Churn[Province_Client],Clients_Churn[ID_Client],"Aucun")</f>
        <v>CLI-00107</v>
      </c>
      <c r="H944" t="str">
        <f>_xlfn.XLOOKUP(Logs_Reseau6[[#This Row],[Cell_ID]],Registre[ID_Antenne],Registre[Technologie],"Rien à signaler")</f>
        <v>5G</v>
      </c>
      <c r="I944" t="str">
        <f>_xlfn.XLOOKUP(Logs_Reseau6[[#This Row],[Cell_ID]],Registre[ID_Antenne],Registre[Equipementier],"Non Trouvée")</f>
        <v>ZTE</v>
      </c>
      <c r="J944" t="str">
        <f>_xlfn.XLOOKUP(Logs_Reseau6[[#This Row],[Id_Client]],Clients_Churn[ID_Client],Clients_Churn[Type_Forfait],"Pas d'information")</f>
        <v>Premium 5G 150Go</v>
      </c>
      <c r="K944" s="5" t="str">
        <f>IF(Logs_Reseau6[[#This Row],[Type_Forfait]]="Pro Monde","B2B","B2C")</f>
        <v>B2C</v>
      </c>
      <c r="L944" s="5">
        <f>_xlfn.XLOOKUP(Logs_Reseau6[[#This Row],[Id_Client]],Clients_Churn[ID_Client],Clients_Churn[Duree_Cumulee_Panne_Min],"Non Trouvée")</f>
        <v>88</v>
      </c>
      <c r="M944" s="5">
        <f>_xlfn.XLOOKUP(Logs_Reseau6[[#This Row],[Id_Client]],Clients_Churn[ID_Client],Clients_Churn[Anciennete_Mois],"Rien à signaler")</f>
        <v>82</v>
      </c>
      <c r="N944" s="11">
        <f>Logs_Reseau6[[#This Row],[Anciennette]]/24</f>
        <v>3.4166666666666665</v>
      </c>
      <c r="O944" s="1">
        <f>Logs_Reseau6[[#This Row],[Duree_Cumulée_Panne]]/1440</f>
        <v>6.1111111111111109E-2</v>
      </c>
      <c r="P94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45" spans="1:16" hidden="1" x14ac:dyDescent="0.25">
      <c r="A945" s="2">
        <v>45226</v>
      </c>
      <c r="B945" s="1">
        <v>0.9555555555555556</v>
      </c>
      <c r="C945" t="s">
        <v>1634</v>
      </c>
      <c r="D945">
        <v>20</v>
      </c>
      <c r="E945" t="s">
        <v>1303</v>
      </c>
      <c r="F945" t="str">
        <f>_xlfn.XLOOKUP(Logs_Reseau6[[#This Row],[Cell_ID]],Registre[ID_Antenne],Registre[Province_RDC],"Non Trouvée")</f>
        <v>Non Trouvée</v>
      </c>
      <c r="G945" t="str">
        <f>_xlfn.XLOOKUP(Logs_Reseau6[[#This Row],[Province]],Clients_Churn[Province_Client],Clients_Churn[ID_Client],"Aucun")</f>
        <v>Aucun</v>
      </c>
      <c r="H945" t="str">
        <f>_xlfn.XLOOKUP(Logs_Reseau6[[#This Row],[Cell_ID]],Registre[ID_Antenne],Registre[Technologie],"Rien à signaler")</f>
        <v>Rien à signaler</v>
      </c>
      <c r="I945" t="str">
        <f>_xlfn.XLOOKUP(Logs_Reseau6[[#This Row],[Cell_ID]],Registre[ID_Antenne],Registre[Equipementier],"Non Trouvée")</f>
        <v>Non Trouvée</v>
      </c>
      <c r="J945" t="str">
        <f>_xlfn.XLOOKUP(Logs_Reseau6[[#This Row],[Id_Client]],Clients_Churn[ID_Client],Clients_Churn[Type_Forfait],"Pas d'information")</f>
        <v>Pas d'information</v>
      </c>
      <c r="K945" s="5" t="str">
        <f>IF(Logs_Reseau6[[#This Row],[Type_Forfait]]="Pro Monde","B2B","B2C")</f>
        <v>B2C</v>
      </c>
      <c r="L945" s="5" t="str">
        <f>_xlfn.XLOOKUP(Logs_Reseau6[[#This Row],[Id_Client]],Clients_Churn[ID_Client],Clients_Churn[Duree_Cumulee_Panne_Min],"Non Trouvée")</f>
        <v>Non Trouvée</v>
      </c>
      <c r="M945" s="5" t="str">
        <f>_xlfn.XLOOKUP(Logs_Reseau6[[#This Row],[Id_Client]],Clients_Churn[ID_Client],Clients_Churn[Anciennete_Mois],"Rien à signaler")</f>
        <v>Rien à signaler</v>
      </c>
      <c r="N945" s="5" t="e">
        <f>Logs_Reseau6[[#This Row],[Anciennette]]/24</f>
        <v>#VALUE!</v>
      </c>
      <c r="O945" s="5" t="e">
        <f>Logs_Reseau6[[#This Row],[Duree_Cumulée_Panne]]/1440</f>
        <v>#VALUE!</v>
      </c>
      <c r="P94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46" spans="1:16" hidden="1" x14ac:dyDescent="0.25">
      <c r="A946" s="2">
        <v>45208</v>
      </c>
      <c r="B946" s="1">
        <v>4.7222222222222221E-2</v>
      </c>
      <c r="C946" t="s">
        <v>1327</v>
      </c>
      <c r="D946">
        <v>92</v>
      </c>
      <c r="E946" t="s">
        <v>1305</v>
      </c>
      <c r="F946" t="str">
        <f>_xlfn.XLOOKUP(Logs_Reseau6[[#This Row],[Cell_ID]],Registre[ID_Antenne],Registre[Province_RDC],"Non Trouvée")</f>
        <v>Non Trouvée</v>
      </c>
      <c r="G946" t="str">
        <f>_xlfn.XLOOKUP(Logs_Reseau6[[#This Row],[Province]],Clients_Churn[Province_Client],Clients_Churn[ID_Client],"Aucun")</f>
        <v>Aucun</v>
      </c>
      <c r="H946" t="str">
        <f>_xlfn.XLOOKUP(Logs_Reseau6[[#This Row],[Cell_ID]],Registre[ID_Antenne],Registre[Technologie],"Rien à signaler")</f>
        <v>Rien à signaler</v>
      </c>
      <c r="I946" t="str">
        <f>_xlfn.XLOOKUP(Logs_Reseau6[[#This Row],[Cell_ID]],Registre[ID_Antenne],Registre[Equipementier],"Non Trouvée")</f>
        <v>Non Trouvée</v>
      </c>
      <c r="J946" t="str">
        <f>_xlfn.XLOOKUP(Logs_Reseau6[[#This Row],[Id_Client]],Clients_Churn[ID_Client],Clients_Churn[Type_Forfait],"Pas d'information")</f>
        <v>Pas d'information</v>
      </c>
      <c r="K946" s="5" t="str">
        <f>IF(Logs_Reseau6[[#This Row],[Type_Forfait]]="Pro Monde","B2B","B2C")</f>
        <v>B2C</v>
      </c>
      <c r="L946" s="5" t="str">
        <f>_xlfn.XLOOKUP(Logs_Reseau6[[#This Row],[Id_Client]],Clients_Churn[ID_Client],Clients_Churn[Duree_Cumulee_Panne_Min],"Non Trouvée")</f>
        <v>Non Trouvée</v>
      </c>
      <c r="M946" s="5" t="str">
        <f>_xlfn.XLOOKUP(Logs_Reseau6[[#This Row],[Id_Client]],Clients_Churn[ID_Client],Clients_Churn[Anciennete_Mois],"Rien à signaler")</f>
        <v>Rien à signaler</v>
      </c>
      <c r="N946" s="5" t="e">
        <f>Logs_Reseau6[[#This Row],[Anciennette]]/24</f>
        <v>#VALUE!</v>
      </c>
      <c r="O946" s="5" t="e">
        <f>Logs_Reseau6[[#This Row],[Duree_Cumulée_Panne]]/1440</f>
        <v>#VALUE!</v>
      </c>
      <c r="P94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47" spans="1:16" hidden="1" x14ac:dyDescent="0.25">
      <c r="A947" s="2">
        <v>45225</v>
      </c>
      <c r="B947" s="1">
        <v>0.66041666666666665</v>
      </c>
      <c r="C947" t="s">
        <v>1327</v>
      </c>
      <c r="D947">
        <v>14</v>
      </c>
      <c r="E947" t="s">
        <v>1300</v>
      </c>
      <c r="F947" t="str">
        <f>_xlfn.XLOOKUP(Logs_Reseau6[[#This Row],[Cell_ID]],Registre[ID_Antenne],Registre[Province_RDC],"Non Trouvée")</f>
        <v>Non Trouvée</v>
      </c>
      <c r="G947" t="str">
        <f>_xlfn.XLOOKUP(Logs_Reseau6[[#This Row],[Province]],Clients_Churn[Province_Client],Clients_Churn[ID_Client],"Aucun")</f>
        <v>Aucun</v>
      </c>
      <c r="H947" t="str">
        <f>_xlfn.XLOOKUP(Logs_Reseau6[[#This Row],[Cell_ID]],Registre[ID_Antenne],Registre[Technologie],"Rien à signaler")</f>
        <v>Rien à signaler</v>
      </c>
      <c r="I947" t="str">
        <f>_xlfn.XLOOKUP(Logs_Reseau6[[#This Row],[Cell_ID]],Registre[ID_Antenne],Registre[Equipementier],"Non Trouvée")</f>
        <v>Non Trouvée</v>
      </c>
      <c r="J947" t="str">
        <f>_xlfn.XLOOKUP(Logs_Reseau6[[#This Row],[Id_Client]],Clients_Churn[ID_Client],Clients_Churn[Type_Forfait],"Pas d'information")</f>
        <v>Pas d'information</v>
      </c>
      <c r="K947" s="5" t="str">
        <f>IF(Logs_Reseau6[[#This Row],[Type_Forfait]]="Pro Monde","B2B","B2C")</f>
        <v>B2C</v>
      </c>
      <c r="L947" s="5" t="str">
        <f>_xlfn.XLOOKUP(Logs_Reseau6[[#This Row],[Id_Client]],Clients_Churn[ID_Client],Clients_Churn[Duree_Cumulee_Panne_Min],"Non Trouvée")</f>
        <v>Non Trouvée</v>
      </c>
      <c r="M947" s="5" t="str">
        <f>_xlfn.XLOOKUP(Logs_Reseau6[[#This Row],[Id_Client]],Clients_Churn[ID_Client],Clients_Churn[Anciennete_Mois],"Rien à signaler")</f>
        <v>Rien à signaler</v>
      </c>
      <c r="N947" s="5" t="e">
        <f>Logs_Reseau6[[#This Row],[Anciennette]]/24</f>
        <v>#VALUE!</v>
      </c>
      <c r="O947" s="5" t="e">
        <f>Logs_Reseau6[[#This Row],[Duree_Cumulée_Panne]]/1440</f>
        <v>#VALUE!</v>
      </c>
      <c r="P94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48" spans="1:16" x14ac:dyDescent="0.25">
      <c r="A948" s="2">
        <v>45213</v>
      </c>
      <c r="B948" s="1">
        <v>0.21041666666666667</v>
      </c>
      <c r="C948" t="s">
        <v>1290</v>
      </c>
      <c r="D948">
        <v>28</v>
      </c>
      <c r="E948" t="s">
        <v>1305</v>
      </c>
      <c r="F948" t="str">
        <f>_xlfn.XLOOKUP(Logs_Reseau6[[#This Row],[Cell_ID]],Registre[ID_Antenne],Registre[Province_RDC],"Non Trouvée")</f>
        <v>Haut-Lomami</v>
      </c>
      <c r="G948" t="str">
        <f>_xlfn.XLOOKUP(Logs_Reseau6[[#This Row],[Province]],Clients_Churn[Province_Client],Clients_Churn[ID_Client],"Aucun")</f>
        <v>CLI-00022</v>
      </c>
      <c r="H948" t="str">
        <f>_xlfn.XLOOKUP(Logs_Reseau6[[#This Row],[Cell_ID]],Registre[ID_Antenne],Registre[Technologie],"Rien à signaler")</f>
        <v>3G</v>
      </c>
      <c r="I948" t="str">
        <f>_xlfn.XLOOKUP(Logs_Reseau6[[#This Row],[Cell_ID]],Registre[ID_Antenne],Registre[Equipementier],"Non Trouvée")</f>
        <v>Huawei</v>
      </c>
      <c r="J948" t="str">
        <f>_xlfn.XLOOKUP(Logs_Reseau6[[#This Row],[Id_Client]],Clients_Churn[ID_Client],Clients_Churn[Type_Forfait],"Pas d'information")</f>
        <v>Premium 5G 150Go</v>
      </c>
      <c r="K948" s="5" t="str">
        <f>IF(Logs_Reseau6[[#This Row],[Type_Forfait]]="Pro Monde","B2B","B2C")</f>
        <v>B2C</v>
      </c>
      <c r="L948" s="5">
        <f>_xlfn.XLOOKUP(Logs_Reseau6[[#This Row],[Id_Client]],Clients_Churn[ID_Client],Clients_Churn[Duree_Cumulee_Panne_Min],"Non Trouvée")</f>
        <v>488</v>
      </c>
      <c r="M948" s="5">
        <f>_xlfn.XLOOKUP(Logs_Reseau6[[#This Row],[Id_Client]],Clients_Churn[ID_Client],Clients_Churn[Anciennete_Mois],"Rien à signaler")</f>
        <v>77</v>
      </c>
      <c r="N948" s="11">
        <f>Logs_Reseau6[[#This Row],[Anciennette]]/24</f>
        <v>3.2083333333333335</v>
      </c>
      <c r="O948" s="1">
        <f>Logs_Reseau6[[#This Row],[Duree_Cumulée_Panne]]/1440</f>
        <v>0.33888888888888891</v>
      </c>
      <c r="P94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49" spans="1:16" x14ac:dyDescent="0.25">
      <c r="A949" s="2">
        <v>45203</v>
      </c>
      <c r="B949" s="1">
        <v>0.21388888888888888</v>
      </c>
      <c r="C949" t="s">
        <v>1106</v>
      </c>
      <c r="D949">
        <v>5</v>
      </c>
      <c r="E949" t="s">
        <v>1300</v>
      </c>
      <c r="F949" t="str">
        <f>_xlfn.XLOOKUP(Logs_Reseau6[[#This Row],[Cell_ID]],Registre[ID_Antenne],Registre[Province_RDC],"Non Trouvée")</f>
        <v>Nord-Kivu</v>
      </c>
      <c r="G949" t="str">
        <f>_xlfn.XLOOKUP(Logs_Reseau6[[#This Row],[Province]],Clients_Churn[Province_Client],Clients_Churn[ID_Client],"Aucun")</f>
        <v>CLI-00043</v>
      </c>
      <c r="H949" t="str">
        <f>_xlfn.XLOOKUP(Logs_Reseau6[[#This Row],[Cell_ID]],Registre[ID_Antenne],Registre[Technologie],"Rien à signaler")</f>
        <v>4G</v>
      </c>
      <c r="I949" t="str">
        <f>_xlfn.XLOOKUP(Logs_Reseau6[[#This Row],[Cell_ID]],Registre[ID_Antenne],Registre[Equipementier],"Non Trouvée")</f>
        <v>Huawei</v>
      </c>
      <c r="J949" t="str">
        <f>_xlfn.XLOOKUP(Logs_Reseau6[[#This Row],[Id_Client]],Clients_Churn[ID_Client],Clients_Churn[Type_Forfait],"Pas d'information")</f>
        <v>Pro Monde</v>
      </c>
      <c r="K949" s="5" t="str">
        <f>IF(Logs_Reseau6[[#This Row],[Type_Forfait]]="Pro Monde","B2B","B2C")</f>
        <v>B2B</v>
      </c>
      <c r="L949" s="5">
        <f>_xlfn.XLOOKUP(Logs_Reseau6[[#This Row],[Id_Client]],Clients_Churn[ID_Client],Clients_Churn[Duree_Cumulee_Panne_Min],"Non Trouvée")</f>
        <v>132</v>
      </c>
      <c r="M949" s="5">
        <f>_xlfn.XLOOKUP(Logs_Reseau6[[#This Row],[Id_Client]],Clients_Churn[ID_Client],Clients_Churn[Anciennete_Mois],"Rien à signaler")</f>
        <v>118</v>
      </c>
      <c r="N949" s="11">
        <f>Logs_Reseau6[[#This Row],[Anciennette]]/24</f>
        <v>4.916666666666667</v>
      </c>
      <c r="O949" s="1">
        <f>Logs_Reseau6[[#This Row],[Duree_Cumulée_Panne]]/1440</f>
        <v>9.166666666666666E-2</v>
      </c>
      <c r="P94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50" spans="1:16" x14ac:dyDescent="0.25">
      <c r="A950" s="2">
        <v>45224</v>
      </c>
      <c r="B950" s="1">
        <v>0.19513888888888889</v>
      </c>
      <c r="C950" t="s">
        <v>1024</v>
      </c>
      <c r="D950">
        <v>81</v>
      </c>
      <c r="E950" t="s">
        <v>1303</v>
      </c>
      <c r="F950" t="str">
        <f>_xlfn.XLOOKUP(Logs_Reseau6[[#This Row],[Cell_ID]],Registre[ID_Antenne],Registre[Province_RDC],"Non Trouvée")</f>
        <v>Bas-Uele</v>
      </c>
      <c r="G950" t="str">
        <f>_xlfn.XLOOKUP(Logs_Reseau6[[#This Row],[Province]],Clients_Churn[Province_Client],Clients_Churn[ID_Client],"Aucun")</f>
        <v>CLI-00029</v>
      </c>
      <c r="H950" t="str">
        <f>_xlfn.XLOOKUP(Logs_Reseau6[[#This Row],[Cell_ID]],Registre[ID_Antenne],Registre[Technologie],"Rien à signaler")</f>
        <v>5G</v>
      </c>
      <c r="I950" t="str">
        <f>_xlfn.XLOOKUP(Logs_Reseau6[[#This Row],[Cell_ID]],Registre[ID_Antenne],Registre[Equipementier],"Non Trouvée")</f>
        <v>Nokia</v>
      </c>
      <c r="J950" t="str">
        <f>_xlfn.XLOOKUP(Logs_Reseau6[[#This Row],[Id_Client]],Clients_Churn[ID_Client],Clients_Churn[Type_Forfait],"Pas d'information")</f>
        <v>Pro Monde</v>
      </c>
      <c r="K950" s="5" t="str">
        <f>IF(Logs_Reseau6[[#This Row],[Type_Forfait]]="Pro Monde","B2B","B2C")</f>
        <v>B2B</v>
      </c>
      <c r="L950" s="5">
        <f>_xlfn.XLOOKUP(Logs_Reseau6[[#This Row],[Id_Client]],Clients_Churn[ID_Client],Clients_Churn[Duree_Cumulee_Panne_Min],"Non Trouvée")</f>
        <v>344</v>
      </c>
      <c r="M950" s="5">
        <f>_xlfn.XLOOKUP(Logs_Reseau6[[#This Row],[Id_Client]],Clients_Churn[ID_Client],Clients_Churn[Anciennete_Mois],"Rien à signaler")</f>
        <v>119</v>
      </c>
      <c r="N950" s="11">
        <f>Logs_Reseau6[[#This Row],[Anciennette]]/24</f>
        <v>4.958333333333333</v>
      </c>
      <c r="O950" s="1">
        <f>Logs_Reseau6[[#This Row],[Duree_Cumulée_Panne]]/1440</f>
        <v>0.2388888888888889</v>
      </c>
      <c r="P95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51" spans="1:16" x14ac:dyDescent="0.25">
      <c r="A951" s="2">
        <v>45203</v>
      </c>
      <c r="B951" s="1">
        <v>0.22430555555555556</v>
      </c>
      <c r="C951" t="s">
        <v>919</v>
      </c>
      <c r="D951">
        <v>102</v>
      </c>
      <c r="E951" t="s">
        <v>1305</v>
      </c>
      <c r="F951" t="str">
        <f>_xlfn.XLOOKUP(Logs_Reseau6[[#This Row],[Cell_ID]],Registre[ID_Antenne],Registre[Province_RDC],"Non Trouvée")</f>
        <v>Sud-Kivu</v>
      </c>
      <c r="G951" t="str">
        <f>_xlfn.XLOOKUP(Logs_Reseau6[[#This Row],[Province]],Clients_Churn[Province_Client],Clients_Churn[ID_Client],"Aucun")</f>
        <v>CLI-00054</v>
      </c>
      <c r="H951" t="str">
        <f>_xlfn.XLOOKUP(Logs_Reseau6[[#This Row],[Cell_ID]],Registre[ID_Antenne],Registre[Technologie],"Rien à signaler")</f>
        <v>3G</v>
      </c>
      <c r="I951" t="str">
        <f>_xlfn.XLOOKUP(Logs_Reseau6[[#This Row],[Cell_ID]],Registre[ID_Antenne],Registre[Equipementier],"Non Trouvée")</f>
        <v>Ericsson</v>
      </c>
      <c r="J951" t="str">
        <f>_xlfn.XLOOKUP(Logs_Reseau6[[#This Row],[Id_Client]],Clients_Churn[ID_Client],Clients_Churn[Type_Forfait],"Pas d'information")</f>
        <v>Bloqué 5Go</v>
      </c>
      <c r="K951" s="5" t="str">
        <f>IF(Logs_Reseau6[[#This Row],[Type_Forfait]]="Pro Monde","B2B","B2C")</f>
        <v>B2C</v>
      </c>
      <c r="L951" s="5">
        <f>_xlfn.XLOOKUP(Logs_Reseau6[[#This Row],[Id_Client]],Clients_Churn[ID_Client],Clients_Churn[Duree_Cumulee_Panne_Min],"Non Trouvée")</f>
        <v>40</v>
      </c>
      <c r="M951" s="5">
        <f>_xlfn.XLOOKUP(Logs_Reseau6[[#This Row],[Id_Client]],Clients_Churn[ID_Client],Clients_Churn[Anciennete_Mois],"Rien à signaler")</f>
        <v>34</v>
      </c>
      <c r="N951" s="11">
        <f>Logs_Reseau6[[#This Row],[Anciennette]]/24</f>
        <v>1.4166666666666667</v>
      </c>
      <c r="O951" s="1">
        <f>Logs_Reseau6[[#This Row],[Duree_Cumulée_Panne]]/1440</f>
        <v>2.7777777777777776E-2</v>
      </c>
      <c r="P95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52" spans="1:16" x14ac:dyDescent="0.25">
      <c r="A952" s="2">
        <v>45217</v>
      </c>
      <c r="B952" s="1">
        <v>0.17499999999999999</v>
      </c>
      <c r="C952" t="s">
        <v>919</v>
      </c>
      <c r="D952">
        <v>18</v>
      </c>
      <c r="E952" t="s">
        <v>1305</v>
      </c>
      <c r="F952" t="str">
        <f>_xlfn.XLOOKUP(Logs_Reseau6[[#This Row],[Cell_ID]],Registre[ID_Antenne],Registre[Province_RDC],"Non Trouvée")</f>
        <v>Sud-Kivu</v>
      </c>
      <c r="G952" t="str">
        <f>_xlfn.XLOOKUP(Logs_Reseau6[[#This Row],[Province]],Clients_Churn[Province_Client],Clients_Churn[ID_Client],"Aucun")</f>
        <v>CLI-00054</v>
      </c>
      <c r="H952" t="str">
        <f>_xlfn.XLOOKUP(Logs_Reseau6[[#This Row],[Cell_ID]],Registre[ID_Antenne],Registre[Technologie],"Rien à signaler")</f>
        <v>3G</v>
      </c>
      <c r="I952" t="str">
        <f>_xlfn.XLOOKUP(Logs_Reseau6[[#This Row],[Cell_ID]],Registre[ID_Antenne],Registre[Equipementier],"Non Trouvée")</f>
        <v>Ericsson</v>
      </c>
      <c r="J952" t="str">
        <f>_xlfn.XLOOKUP(Logs_Reseau6[[#This Row],[Id_Client]],Clients_Churn[ID_Client],Clients_Churn[Type_Forfait],"Pas d'information")</f>
        <v>Bloqué 5Go</v>
      </c>
      <c r="K952" s="5" t="str">
        <f>IF(Logs_Reseau6[[#This Row],[Type_Forfait]]="Pro Monde","B2B","B2C")</f>
        <v>B2C</v>
      </c>
      <c r="L952" s="5">
        <f>_xlfn.XLOOKUP(Logs_Reseau6[[#This Row],[Id_Client]],Clients_Churn[ID_Client],Clients_Churn[Duree_Cumulee_Panne_Min],"Non Trouvée")</f>
        <v>40</v>
      </c>
      <c r="M952" s="5">
        <f>_xlfn.XLOOKUP(Logs_Reseau6[[#This Row],[Id_Client]],Clients_Churn[ID_Client],Clients_Churn[Anciennete_Mois],"Rien à signaler")</f>
        <v>34</v>
      </c>
      <c r="N952" s="11">
        <f>Logs_Reseau6[[#This Row],[Anciennette]]/24</f>
        <v>1.4166666666666667</v>
      </c>
      <c r="O952" s="1">
        <f>Logs_Reseau6[[#This Row],[Duree_Cumulée_Panne]]/1440</f>
        <v>2.7777777777777776E-2</v>
      </c>
      <c r="P95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53" spans="1:16" x14ac:dyDescent="0.25">
      <c r="A953" s="2">
        <v>45218</v>
      </c>
      <c r="B953" s="1">
        <v>7.6388888888888886E-3</v>
      </c>
      <c r="C953" t="s">
        <v>919</v>
      </c>
      <c r="D953">
        <v>44</v>
      </c>
      <c r="E953" t="s">
        <v>1303</v>
      </c>
      <c r="F953" t="str">
        <f>_xlfn.XLOOKUP(Logs_Reseau6[[#This Row],[Cell_ID]],Registre[ID_Antenne],Registre[Province_RDC],"Non Trouvée")</f>
        <v>Sud-Kivu</v>
      </c>
      <c r="G953" t="str">
        <f>_xlfn.XLOOKUP(Logs_Reseau6[[#This Row],[Province]],Clients_Churn[Province_Client],Clients_Churn[ID_Client],"Aucun")</f>
        <v>CLI-00054</v>
      </c>
      <c r="H953" t="str">
        <f>_xlfn.XLOOKUP(Logs_Reseau6[[#This Row],[Cell_ID]],Registre[ID_Antenne],Registre[Technologie],"Rien à signaler")</f>
        <v>3G</v>
      </c>
      <c r="I953" t="str">
        <f>_xlfn.XLOOKUP(Logs_Reseau6[[#This Row],[Cell_ID]],Registre[ID_Antenne],Registre[Equipementier],"Non Trouvée")</f>
        <v>Ericsson</v>
      </c>
      <c r="J953" t="str">
        <f>_xlfn.XLOOKUP(Logs_Reseau6[[#This Row],[Id_Client]],Clients_Churn[ID_Client],Clients_Churn[Type_Forfait],"Pas d'information")</f>
        <v>Bloqué 5Go</v>
      </c>
      <c r="K953" s="5" t="str">
        <f>IF(Logs_Reseau6[[#This Row],[Type_Forfait]]="Pro Monde","B2B","B2C")</f>
        <v>B2C</v>
      </c>
      <c r="L953" s="5">
        <f>_xlfn.XLOOKUP(Logs_Reseau6[[#This Row],[Id_Client]],Clients_Churn[ID_Client],Clients_Churn[Duree_Cumulee_Panne_Min],"Non Trouvée")</f>
        <v>40</v>
      </c>
      <c r="M953" s="5">
        <f>_xlfn.XLOOKUP(Logs_Reseau6[[#This Row],[Id_Client]],Clients_Churn[ID_Client],Clients_Churn[Anciennete_Mois],"Rien à signaler")</f>
        <v>34</v>
      </c>
      <c r="N953" s="11">
        <f>Logs_Reseau6[[#This Row],[Anciennette]]/24</f>
        <v>1.4166666666666667</v>
      </c>
      <c r="O953" s="1">
        <f>Logs_Reseau6[[#This Row],[Duree_Cumulée_Panne]]/1440</f>
        <v>2.7777777777777776E-2</v>
      </c>
      <c r="P95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54" spans="1:16" hidden="1" x14ac:dyDescent="0.25">
      <c r="A954" s="2">
        <v>45211</v>
      </c>
      <c r="B954" s="1">
        <v>0.73333333333333328</v>
      </c>
      <c r="C954" t="s">
        <v>1467</v>
      </c>
      <c r="D954">
        <v>108</v>
      </c>
      <c r="E954" t="s">
        <v>1303</v>
      </c>
      <c r="F954" t="str">
        <f>_xlfn.XLOOKUP(Logs_Reseau6[[#This Row],[Cell_ID]],Registre[ID_Antenne],Registre[Province_RDC],"Non Trouvée")</f>
        <v>Non Trouvée</v>
      </c>
      <c r="G954" t="str">
        <f>_xlfn.XLOOKUP(Logs_Reseau6[[#This Row],[Province]],Clients_Churn[Province_Client],Clients_Churn[ID_Client],"Aucun")</f>
        <v>Aucun</v>
      </c>
      <c r="H954" t="str">
        <f>_xlfn.XLOOKUP(Logs_Reseau6[[#This Row],[Cell_ID]],Registre[ID_Antenne],Registre[Technologie],"Rien à signaler")</f>
        <v>Rien à signaler</v>
      </c>
      <c r="I954" t="str">
        <f>_xlfn.XLOOKUP(Logs_Reseau6[[#This Row],[Cell_ID]],Registre[ID_Antenne],Registre[Equipementier],"Non Trouvée")</f>
        <v>Non Trouvée</v>
      </c>
      <c r="J954" t="str">
        <f>_xlfn.XLOOKUP(Logs_Reseau6[[#This Row],[Id_Client]],Clients_Churn[ID_Client],Clients_Churn[Type_Forfait],"Pas d'information")</f>
        <v>Pas d'information</v>
      </c>
      <c r="K954" s="5" t="str">
        <f>IF(Logs_Reseau6[[#This Row],[Type_Forfait]]="Pro Monde","B2B","B2C")</f>
        <v>B2C</v>
      </c>
      <c r="L954" s="5" t="str">
        <f>_xlfn.XLOOKUP(Logs_Reseau6[[#This Row],[Id_Client]],Clients_Churn[ID_Client],Clients_Churn[Duree_Cumulee_Panne_Min],"Non Trouvée")</f>
        <v>Non Trouvée</v>
      </c>
      <c r="M954" s="5" t="str">
        <f>_xlfn.XLOOKUP(Logs_Reseau6[[#This Row],[Id_Client]],Clients_Churn[ID_Client],Clients_Churn[Anciennete_Mois],"Rien à signaler")</f>
        <v>Rien à signaler</v>
      </c>
      <c r="N954" s="5" t="e">
        <f>Logs_Reseau6[[#This Row],[Anciennette]]/24</f>
        <v>#VALUE!</v>
      </c>
      <c r="O954" s="5" t="e">
        <f>Logs_Reseau6[[#This Row],[Duree_Cumulée_Panne]]/1440</f>
        <v>#VALUE!</v>
      </c>
      <c r="P95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55" spans="1:16" hidden="1" x14ac:dyDescent="0.25">
      <c r="A955" s="2">
        <v>45204</v>
      </c>
      <c r="B955" s="1">
        <v>0.20208333333333334</v>
      </c>
      <c r="C955" t="s">
        <v>1380</v>
      </c>
      <c r="D955">
        <v>10</v>
      </c>
      <c r="E955" t="s">
        <v>1300</v>
      </c>
      <c r="F955" t="str">
        <f>_xlfn.XLOOKUP(Logs_Reseau6[[#This Row],[Cell_ID]],Registre[ID_Antenne],Registre[Province_RDC],"Non Trouvée")</f>
        <v>Non Trouvée</v>
      </c>
      <c r="G955" t="str">
        <f>_xlfn.XLOOKUP(Logs_Reseau6[[#This Row],[Province]],Clients_Churn[Province_Client],Clients_Churn[ID_Client],"Aucun")</f>
        <v>Aucun</v>
      </c>
      <c r="H955" t="str">
        <f>_xlfn.XLOOKUP(Logs_Reseau6[[#This Row],[Cell_ID]],Registre[ID_Antenne],Registre[Technologie],"Rien à signaler")</f>
        <v>Rien à signaler</v>
      </c>
      <c r="I955" t="str">
        <f>_xlfn.XLOOKUP(Logs_Reseau6[[#This Row],[Cell_ID]],Registre[ID_Antenne],Registre[Equipementier],"Non Trouvée")</f>
        <v>Non Trouvée</v>
      </c>
      <c r="J955" t="str">
        <f>_xlfn.XLOOKUP(Logs_Reseau6[[#This Row],[Id_Client]],Clients_Churn[ID_Client],Clients_Churn[Type_Forfait],"Pas d'information")</f>
        <v>Pas d'information</v>
      </c>
      <c r="K955" s="5" t="str">
        <f>IF(Logs_Reseau6[[#This Row],[Type_Forfait]]="Pro Monde","B2B","B2C")</f>
        <v>B2C</v>
      </c>
      <c r="L955" s="5" t="str">
        <f>_xlfn.XLOOKUP(Logs_Reseau6[[#This Row],[Id_Client]],Clients_Churn[ID_Client],Clients_Churn[Duree_Cumulee_Panne_Min],"Non Trouvée")</f>
        <v>Non Trouvée</v>
      </c>
      <c r="M955" s="5" t="str">
        <f>_xlfn.XLOOKUP(Logs_Reseau6[[#This Row],[Id_Client]],Clients_Churn[ID_Client],Clients_Churn[Anciennete_Mois],"Rien à signaler")</f>
        <v>Rien à signaler</v>
      </c>
      <c r="N955" s="5" t="e">
        <f>Logs_Reseau6[[#This Row],[Anciennette]]/24</f>
        <v>#VALUE!</v>
      </c>
      <c r="O955" s="5" t="e">
        <f>Logs_Reseau6[[#This Row],[Duree_Cumulée_Panne]]/1440</f>
        <v>#VALUE!</v>
      </c>
      <c r="P95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56" spans="1:16" hidden="1" x14ac:dyDescent="0.25">
      <c r="A956" s="2">
        <v>45223</v>
      </c>
      <c r="B956" s="1">
        <v>0.6479166666666667</v>
      </c>
      <c r="C956" t="s">
        <v>1468</v>
      </c>
      <c r="D956">
        <v>14</v>
      </c>
      <c r="E956" t="s">
        <v>1305</v>
      </c>
      <c r="F956" t="str">
        <f>_xlfn.XLOOKUP(Logs_Reseau6[[#This Row],[Cell_ID]],Registre[ID_Antenne],Registre[Province_RDC],"Non Trouvée")</f>
        <v>Non Trouvée</v>
      </c>
      <c r="G956" t="str">
        <f>_xlfn.XLOOKUP(Logs_Reseau6[[#This Row],[Province]],Clients_Churn[Province_Client],Clients_Churn[ID_Client],"Aucun")</f>
        <v>Aucun</v>
      </c>
      <c r="H956" t="str">
        <f>_xlfn.XLOOKUP(Logs_Reseau6[[#This Row],[Cell_ID]],Registre[ID_Antenne],Registre[Technologie],"Rien à signaler")</f>
        <v>Rien à signaler</v>
      </c>
      <c r="I956" t="str">
        <f>_xlfn.XLOOKUP(Logs_Reseau6[[#This Row],[Cell_ID]],Registre[ID_Antenne],Registre[Equipementier],"Non Trouvée")</f>
        <v>Non Trouvée</v>
      </c>
      <c r="J956" t="str">
        <f>_xlfn.XLOOKUP(Logs_Reseau6[[#This Row],[Id_Client]],Clients_Churn[ID_Client],Clients_Churn[Type_Forfait],"Pas d'information")</f>
        <v>Pas d'information</v>
      </c>
      <c r="K956" s="5" t="str">
        <f>IF(Logs_Reseau6[[#This Row],[Type_Forfait]]="Pro Monde","B2B","B2C")</f>
        <v>B2C</v>
      </c>
      <c r="L956" s="5" t="str">
        <f>_xlfn.XLOOKUP(Logs_Reseau6[[#This Row],[Id_Client]],Clients_Churn[ID_Client],Clients_Churn[Duree_Cumulee_Panne_Min],"Non Trouvée")</f>
        <v>Non Trouvée</v>
      </c>
      <c r="M956" s="5" t="str">
        <f>_xlfn.XLOOKUP(Logs_Reseau6[[#This Row],[Id_Client]],Clients_Churn[ID_Client],Clients_Churn[Anciennete_Mois],"Rien à signaler")</f>
        <v>Rien à signaler</v>
      </c>
      <c r="N956" s="5" t="e">
        <f>Logs_Reseau6[[#This Row],[Anciennette]]/24</f>
        <v>#VALUE!</v>
      </c>
      <c r="O956" s="5" t="e">
        <f>Logs_Reseau6[[#This Row],[Duree_Cumulée_Panne]]/1440</f>
        <v>#VALUE!</v>
      </c>
      <c r="P95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57" spans="1:16" hidden="1" x14ac:dyDescent="0.25">
      <c r="A957" s="2">
        <v>45205</v>
      </c>
      <c r="B957" s="1">
        <v>0.58611111111111114</v>
      </c>
      <c r="C957" t="s">
        <v>1586</v>
      </c>
      <c r="D957">
        <v>89</v>
      </c>
      <c r="E957" t="s">
        <v>1305</v>
      </c>
      <c r="F957" t="str">
        <f>_xlfn.XLOOKUP(Logs_Reseau6[[#This Row],[Cell_ID]],Registre[ID_Antenne],Registre[Province_RDC],"Non Trouvée")</f>
        <v>Non Trouvée</v>
      </c>
      <c r="G957" t="str">
        <f>_xlfn.XLOOKUP(Logs_Reseau6[[#This Row],[Province]],Clients_Churn[Province_Client],Clients_Churn[ID_Client],"Aucun")</f>
        <v>Aucun</v>
      </c>
      <c r="H957" t="str">
        <f>_xlfn.XLOOKUP(Logs_Reseau6[[#This Row],[Cell_ID]],Registre[ID_Antenne],Registre[Technologie],"Rien à signaler")</f>
        <v>Rien à signaler</v>
      </c>
      <c r="I957" t="str">
        <f>_xlfn.XLOOKUP(Logs_Reseau6[[#This Row],[Cell_ID]],Registre[ID_Antenne],Registre[Equipementier],"Non Trouvée")</f>
        <v>Non Trouvée</v>
      </c>
      <c r="J957" t="str">
        <f>_xlfn.XLOOKUP(Logs_Reseau6[[#This Row],[Id_Client]],Clients_Churn[ID_Client],Clients_Churn[Type_Forfait],"Pas d'information")</f>
        <v>Pas d'information</v>
      </c>
      <c r="K957" s="5" t="str">
        <f>IF(Logs_Reseau6[[#This Row],[Type_Forfait]]="Pro Monde","B2B","B2C")</f>
        <v>B2C</v>
      </c>
      <c r="L957" s="5" t="str">
        <f>_xlfn.XLOOKUP(Logs_Reseau6[[#This Row],[Id_Client]],Clients_Churn[ID_Client],Clients_Churn[Duree_Cumulee_Panne_Min],"Non Trouvée")</f>
        <v>Non Trouvée</v>
      </c>
      <c r="M957" s="5" t="str">
        <f>_xlfn.XLOOKUP(Logs_Reseau6[[#This Row],[Id_Client]],Clients_Churn[ID_Client],Clients_Churn[Anciennete_Mois],"Rien à signaler")</f>
        <v>Rien à signaler</v>
      </c>
      <c r="N957" s="5" t="e">
        <f>Logs_Reseau6[[#This Row],[Anciennette]]/24</f>
        <v>#VALUE!</v>
      </c>
      <c r="O957" s="5" t="e">
        <f>Logs_Reseau6[[#This Row],[Duree_Cumulée_Panne]]/1440</f>
        <v>#VALUE!</v>
      </c>
      <c r="P95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58" spans="1:16" hidden="1" x14ac:dyDescent="0.25">
      <c r="A958" s="2">
        <v>45217</v>
      </c>
      <c r="B958" s="1">
        <v>2.7777777777777776E-2</v>
      </c>
      <c r="C958" t="s">
        <v>1381</v>
      </c>
      <c r="D958">
        <v>54</v>
      </c>
      <c r="E958" t="s">
        <v>1303</v>
      </c>
      <c r="F958" t="str">
        <f>_xlfn.XLOOKUP(Logs_Reseau6[[#This Row],[Cell_ID]],Registre[ID_Antenne],Registre[Province_RDC],"Non Trouvée")</f>
        <v>Non Trouvée</v>
      </c>
      <c r="G958" t="str">
        <f>_xlfn.XLOOKUP(Logs_Reseau6[[#This Row],[Province]],Clients_Churn[Province_Client],Clients_Churn[ID_Client],"Aucun")</f>
        <v>Aucun</v>
      </c>
      <c r="H958" t="str">
        <f>_xlfn.XLOOKUP(Logs_Reseau6[[#This Row],[Cell_ID]],Registre[ID_Antenne],Registre[Technologie],"Rien à signaler")</f>
        <v>Rien à signaler</v>
      </c>
      <c r="I958" t="str">
        <f>_xlfn.XLOOKUP(Logs_Reseau6[[#This Row],[Cell_ID]],Registre[ID_Antenne],Registre[Equipementier],"Non Trouvée")</f>
        <v>Non Trouvée</v>
      </c>
      <c r="J958" t="str">
        <f>_xlfn.XLOOKUP(Logs_Reseau6[[#This Row],[Id_Client]],Clients_Churn[ID_Client],Clients_Churn[Type_Forfait],"Pas d'information")</f>
        <v>Pas d'information</v>
      </c>
      <c r="K958" s="5" t="str">
        <f>IF(Logs_Reseau6[[#This Row],[Type_Forfait]]="Pro Monde","B2B","B2C")</f>
        <v>B2C</v>
      </c>
      <c r="L958" s="5" t="str">
        <f>_xlfn.XLOOKUP(Logs_Reseau6[[#This Row],[Id_Client]],Clients_Churn[ID_Client],Clients_Churn[Duree_Cumulee_Panne_Min],"Non Trouvée")</f>
        <v>Non Trouvée</v>
      </c>
      <c r="M958" s="5" t="str">
        <f>_xlfn.XLOOKUP(Logs_Reseau6[[#This Row],[Id_Client]],Clients_Churn[ID_Client],Clients_Churn[Anciennete_Mois],"Rien à signaler")</f>
        <v>Rien à signaler</v>
      </c>
      <c r="N958" s="5" t="e">
        <f>Logs_Reseau6[[#This Row],[Anciennette]]/24</f>
        <v>#VALUE!</v>
      </c>
      <c r="O958" s="5" t="e">
        <f>Logs_Reseau6[[#This Row],[Duree_Cumulée_Panne]]/1440</f>
        <v>#VALUE!</v>
      </c>
      <c r="P95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59" spans="1:16" hidden="1" x14ac:dyDescent="0.25">
      <c r="A959" s="2">
        <v>45224</v>
      </c>
      <c r="B959" s="1">
        <v>0.68333333333333335</v>
      </c>
      <c r="C959" t="s">
        <v>1381</v>
      </c>
      <c r="D959">
        <v>71</v>
      </c>
      <c r="E959" t="s">
        <v>1300</v>
      </c>
      <c r="F959" t="str">
        <f>_xlfn.XLOOKUP(Logs_Reseau6[[#This Row],[Cell_ID]],Registre[ID_Antenne],Registre[Province_RDC],"Non Trouvée")</f>
        <v>Non Trouvée</v>
      </c>
      <c r="G959" t="str">
        <f>_xlfn.XLOOKUP(Logs_Reseau6[[#This Row],[Province]],Clients_Churn[Province_Client],Clients_Churn[ID_Client],"Aucun")</f>
        <v>Aucun</v>
      </c>
      <c r="H959" t="str">
        <f>_xlfn.XLOOKUP(Logs_Reseau6[[#This Row],[Cell_ID]],Registre[ID_Antenne],Registre[Technologie],"Rien à signaler")</f>
        <v>Rien à signaler</v>
      </c>
      <c r="I959" t="str">
        <f>_xlfn.XLOOKUP(Logs_Reseau6[[#This Row],[Cell_ID]],Registre[ID_Antenne],Registre[Equipementier],"Non Trouvée")</f>
        <v>Non Trouvée</v>
      </c>
      <c r="J959" t="str">
        <f>_xlfn.XLOOKUP(Logs_Reseau6[[#This Row],[Id_Client]],Clients_Churn[ID_Client],Clients_Churn[Type_Forfait],"Pas d'information")</f>
        <v>Pas d'information</v>
      </c>
      <c r="K959" s="5" t="str">
        <f>IF(Logs_Reseau6[[#This Row],[Type_Forfait]]="Pro Monde","B2B","B2C")</f>
        <v>B2C</v>
      </c>
      <c r="L959" s="5" t="str">
        <f>_xlfn.XLOOKUP(Logs_Reseau6[[#This Row],[Id_Client]],Clients_Churn[ID_Client],Clients_Churn[Duree_Cumulee_Panne_Min],"Non Trouvée")</f>
        <v>Non Trouvée</v>
      </c>
      <c r="M959" s="5" t="str">
        <f>_xlfn.XLOOKUP(Logs_Reseau6[[#This Row],[Id_Client]],Clients_Churn[ID_Client],Clients_Churn[Anciennete_Mois],"Rien à signaler")</f>
        <v>Rien à signaler</v>
      </c>
      <c r="N959" s="5" t="e">
        <f>Logs_Reseau6[[#This Row],[Anciennette]]/24</f>
        <v>#VALUE!</v>
      </c>
      <c r="O959" s="5" t="e">
        <f>Logs_Reseau6[[#This Row],[Duree_Cumulée_Panne]]/1440</f>
        <v>#VALUE!</v>
      </c>
      <c r="P95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60" spans="1:16" hidden="1" x14ac:dyDescent="0.25">
      <c r="A960" s="2">
        <v>45213</v>
      </c>
      <c r="B960" s="1">
        <v>0.4284722222222222</v>
      </c>
      <c r="C960" t="s">
        <v>1311</v>
      </c>
      <c r="D960">
        <v>101</v>
      </c>
      <c r="E960" t="s">
        <v>1303</v>
      </c>
      <c r="F960" t="str">
        <f>_xlfn.XLOOKUP(Logs_Reseau6[[#This Row],[Cell_ID]],Registre[ID_Antenne],Registre[Province_RDC],"Non Trouvée")</f>
        <v>Non Trouvée</v>
      </c>
      <c r="G960" t="str">
        <f>_xlfn.XLOOKUP(Logs_Reseau6[[#This Row],[Province]],Clients_Churn[Province_Client],Clients_Churn[ID_Client],"Aucun")</f>
        <v>Aucun</v>
      </c>
      <c r="H960" t="str">
        <f>_xlfn.XLOOKUP(Logs_Reseau6[[#This Row],[Cell_ID]],Registre[ID_Antenne],Registre[Technologie],"Rien à signaler")</f>
        <v>Rien à signaler</v>
      </c>
      <c r="I960" t="str">
        <f>_xlfn.XLOOKUP(Logs_Reseau6[[#This Row],[Cell_ID]],Registre[ID_Antenne],Registre[Equipementier],"Non Trouvée")</f>
        <v>Non Trouvée</v>
      </c>
      <c r="J960" t="str">
        <f>_xlfn.XLOOKUP(Logs_Reseau6[[#This Row],[Id_Client]],Clients_Churn[ID_Client],Clients_Churn[Type_Forfait],"Pas d'information")</f>
        <v>Pas d'information</v>
      </c>
      <c r="K960" s="5" t="str">
        <f>IF(Logs_Reseau6[[#This Row],[Type_Forfait]]="Pro Monde","B2B","B2C")</f>
        <v>B2C</v>
      </c>
      <c r="L960" s="5" t="str">
        <f>_xlfn.XLOOKUP(Logs_Reseau6[[#This Row],[Id_Client]],Clients_Churn[ID_Client],Clients_Churn[Duree_Cumulee_Panne_Min],"Non Trouvée")</f>
        <v>Non Trouvée</v>
      </c>
      <c r="M960" s="5" t="str">
        <f>_xlfn.XLOOKUP(Logs_Reseau6[[#This Row],[Id_Client]],Clients_Churn[ID_Client],Clients_Churn[Anciennete_Mois],"Rien à signaler")</f>
        <v>Rien à signaler</v>
      </c>
      <c r="N960" s="5" t="e">
        <f>Logs_Reseau6[[#This Row],[Anciennette]]/24</f>
        <v>#VALUE!</v>
      </c>
      <c r="O960" s="5" t="e">
        <f>Logs_Reseau6[[#This Row],[Duree_Cumulée_Panne]]/1440</f>
        <v>#VALUE!</v>
      </c>
      <c r="P96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61" spans="1:16" hidden="1" x14ac:dyDescent="0.25">
      <c r="A961" s="2">
        <v>45221</v>
      </c>
      <c r="B961" s="1">
        <v>9.5138888888888884E-2</v>
      </c>
      <c r="C961" t="s">
        <v>1311</v>
      </c>
      <c r="D961">
        <v>10</v>
      </c>
      <c r="E961" t="s">
        <v>1303</v>
      </c>
      <c r="F961" t="str">
        <f>_xlfn.XLOOKUP(Logs_Reseau6[[#This Row],[Cell_ID]],Registre[ID_Antenne],Registre[Province_RDC],"Non Trouvée")</f>
        <v>Non Trouvée</v>
      </c>
      <c r="G961" t="str">
        <f>_xlfn.XLOOKUP(Logs_Reseau6[[#This Row],[Province]],Clients_Churn[Province_Client],Clients_Churn[ID_Client],"Aucun")</f>
        <v>Aucun</v>
      </c>
      <c r="H961" t="str">
        <f>_xlfn.XLOOKUP(Logs_Reseau6[[#This Row],[Cell_ID]],Registre[ID_Antenne],Registre[Technologie],"Rien à signaler")</f>
        <v>Rien à signaler</v>
      </c>
      <c r="I961" t="str">
        <f>_xlfn.XLOOKUP(Logs_Reseau6[[#This Row],[Cell_ID]],Registre[ID_Antenne],Registre[Equipementier],"Non Trouvée")</f>
        <v>Non Trouvée</v>
      </c>
      <c r="J961" t="str">
        <f>_xlfn.XLOOKUP(Logs_Reseau6[[#This Row],[Id_Client]],Clients_Churn[ID_Client],Clients_Churn[Type_Forfait],"Pas d'information")</f>
        <v>Pas d'information</v>
      </c>
      <c r="K961" s="5" t="str">
        <f>IF(Logs_Reseau6[[#This Row],[Type_Forfait]]="Pro Monde","B2B","B2C")</f>
        <v>B2C</v>
      </c>
      <c r="L961" s="5" t="str">
        <f>_xlfn.XLOOKUP(Logs_Reseau6[[#This Row],[Id_Client]],Clients_Churn[ID_Client],Clients_Churn[Duree_Cumulee_Panne_Min],"Non Trouvée")</f>
        <v>Non Trouvée</v>
      </c>
      <c r="M961" s="5" t="str">
        <f>_xlfn.XLOOKUP(Logs_Reseau6[[#This Row],[Id_Client]],Clients_Churn[ID_Client],Clients_Churn[Anciennete_Mois],"Rien à signaler")</f>
        <v>Rien à signaler</v>
      </c>
      <c r="N961" s="5" t="e">
        <f>Logs_Reseau6[[#This Row],[Anciennette]]/24</f>
        <v>#VALUE!</v>
      </c>
      <c r="O961" s="5" t="e">
        <f>Logs_Reseau6[[#This Row],[Duree_Cumulée_Panne]]/1440</f>
        <v>#VALUE!</v>
      </c>
      <c r="P96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62" spans="1:16" x14ac:dyDescent="0.25">
      <c r="A962" s="2">
        <v>45204</v>
      </c>
      <c r="B962" s="1">
        <v>0.47152777777777777</v>
      </c>
      <c r="C962" t="s">
        <v>873</v>
      </c>
      <c r="D962">
        <v>10</v>
      </c>
      <c r="E962" t="s">
        <v>1300</v>
      </c>
      <c r="F962" t="str">
        <f>_xlfn.XLOOKUP(Logs_Reseau6[[#This Row],[Cell_ID]],Registre[ID_Antenne],Registre[Province_RDC],"Non Trouvée")</f>
        <v>Nord-Kivu</v>
      </c>
      <c r="G962" t="str">
        <f>_xlfn.XLOOKUP(Logs_Reseau6[[#This Row],[Province]],Clients_Churn[Province_Client],Clients_Churn[ID_Client],"Aucun")</f>
        <v>CLI-00043</v>
      </c>
      <c r="H962" t="str">
        <f>_xlfn.XLOOKUP(Logs_Reseau6[[#This Row],[Cell_ID]],Registre[ID_Antenne],Registre[Technologie],"Rien à signaler")</f>
        <v>5G</v>
      </c>
      <c r="I962" t="str">
        <f>_xlfn.XLOOKUP(Logs_Reseau6[[#This Row],[Cell_ID]],Registre[ID_Antenne],Registre[Equipementier],"Non Trouvée")</f>
        <v>Huawei</v>
      </c>
      <c r="J962" t="str">
        <f>_xlfn.XLOOKUP(Logs_Reseau6[[#This Row],[Id_Client]],Clients_Churn[ID_Client],Clients_Churn[Type_Forfait],"Pas d'information")</f>
        <v>Pro Monde</v>
      </c>
      <c r="K962" s="5" t="str">
        <f>IF(Logs_Reseau6[[#This Row],[Type_Forfait]]="Pro Monde","B2B","B2C")</f>
        <v>B2B</v>
      </c>
      <c r="L962" s="5">
        <f>_xlfn.XLOOKUP(Logs_Reseau6[[#This Row],[Id_Client]],Clients_Churn[ID_Client],Clients_Churn[Duree_Cumulee_Panne_Min],"Non Trouvée")</f>
        <v>132</v>
      </c>
      <c r="M962" s="5">
        <f>_xlfn.XLOOKUP(Logs_Reseau6[[#This Row],[Id_Client]],Clients_Churn[ID_Client],Clients_Churn[Anciennete_Mois],"Rien à signaler")</f>
        <v>118</v>
      </c>
      <c r="N962" s="11">
        <f>Logs_Reseau6[[#This Row],[Anciennette]]/24</f>
        <v>4.916666666666667</v>
      </c>
      <c r="O962" s="1">
        <f>Logs_Reseau6[[#This Row],[Duree_Cumulée_Panne]]/1440</f>
        <v>9.166666666666666E-2</v>
      </c>
      <c r="P96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63" spans="1:16" hidden="1" x14ac:dyDescent="0.25">
      <c r="A963" s="2">
        <v>45220</v>
      </c>
      <c r="B963" s="1">
        <v>0.45277777777777778</v>
      </c>
      <c r="C963" t="s">
        <v>1451</v>
      </c>
      <c r="D963">
        <v>35</v>
      </c>
      <c r="E963" t="s">
        <v>1303</v>
      </c>
      <c r="F963" t="str">
        <f>_xlfn.XLOOKUP(Logs_Reseau6[[#This Row],[Cell_ID]],Registre[ID_Antenne],Registre[Province_RDC],"Non Trouvée")</f>
        <v>Non Trouvée</v>
      </c>
      <c r="G963" t="str">
        <f>_xlfn.XLOOKUP(Logs_Reseau6[[#This Row],[Province]],Clients_Churn[Province_Client],Clients_Churn[ID_Client],"Aucun")</f>
        <v>Aucun</v>
      </c>
      <c r="H963" t="str">
        <f>_xlfn.XLOOKUP(Logs_Reseau6[[#This Row],[Cell_ID]],Registre[ID_Antenne],Registre[Technologie],"Rien à signaler")</f>
        <v>Rien à signaler</v>
      </c>
      <c r="I963" t="str">
        <f>_xlfn.XLOOKUP(Logs_Reseau6[[#This Row],[Cell_ID]],Registre[ID_Antenne],Registre[Equipementier],"Non Trouvée")</f>
        <v>Non Trouvée</v>
      </c>
      <c r="J963" t="str">
        <f>_xlfn.XLOOKUP(Logs_Reseau6[[#This Row],[Id_Client]],Clients_Churn[ID_Client],Clients_Churn[Type_Forfait],"Pas d'information")</f>
        <v>Pas d'information</v>
      </c>
      <c r="K963" s="5" t="str">
        <f>IF(Logs_Reseau6[[#This Row],[Type_Forfait]]="Pro Monde","B2B","B2C")</f>
        <v>B2C</v>
      </c>
      <c r="L963" s="5" t="str">
        <f>_xlfn.XLOOKUP(Logs_Reseau6[[#This Row],[Id_Client]],Clients_Churn[ID_Client],Clients_Churn[Duree_Cumulee_Panne_Min],"Non Trouvée")</f>
        <v>Non Trouvée</v>
      </c>
      <c r="M963" s="5" t="str">
        <f>_xlfn.XLOOKUP(Logs_Reseau6[[#This Row],[Id_Client]],Clients_Churn[ID_Client],Clients_Churn[Anciennete_Mois],"Rien à signaler")</f>
        <v>Rien à signaler</v>
      </c>
      <c r="N963" s="5" t="e">
        <f>Logs_Reseau6[[#This Row],[Anciennette]]/24</f>
        <v>#VALUE!</v>
      </c>
      <c r="O963" s="5" t="e">
        <f>Logs_Reseau6[[#This Row],[Duree_Cumulée_Panne]]/1440</f>
        <v>#VALUE!</v>
      </c>
      <c r="P96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64" spans="1:16" hidden="1" x14ac:dyDescent="0.25">
      <c r="A964" s="2">
        <v>45226</v>
      </c>
      <c r="B964" s="1">
        <v>0.90625</v>
      </c>
      <c r="C964" t="s">
        <v>1451</v>
      </c>
      <c r="D964">
        <v>26</v>
      </c>
      <c r="E964" t="s">
        <v>1303</v>
      </c>
      <c r="F964" t="str">
        <f>_xlfn.XLOOKUP(Logs_Reseau6[[#This Row],[Cell_ID]],Registre[ID_Antenne],Registre[Province_RDC],"Non Trouvée")</f>
        <v>Non Trouvée</v>
      </c>
      <c r="G964" t="str">
        <f>_xlfn.XLOOKUP(Logs_Reseau6[[#This Row],[Province]],Clients_Churn[Province_Client],Clients_Churn[ID_Client],"Aucun")</f>
        <v>Aucun</v>
      </c>
      <c r="H964" t="str">
        <f>_xlfn.XLOOKUP(Logs_Reseau6[[#This Row],[Cell_ID]],Registre[ID_Antenne],Registre[Technologie],"Rien à signaler")</f>
        <v>Rien à signaler</v>
      </c>
      <c r="I964" t="str">
        <f>_xlfn.XLOOKUP(Logs_Reseau6[[#This Row],[Cell_ID]],Registre[ID_Antenne],Registre[Equipementier],"Non Trouvée")</f>
        <v>Non Trouvée</v>
      </c>
      <c r="J964" t="str">
        <f>_xlfn.XLOOKUP(Logs_Reseau6[[#This Row],[Id_Client]],Clients_Churn[ID_Client],Clients_Churn[Type_Forfait],"Pas d'information")</f>
        <v>Pas d'information</v>
      </c>
      <c r="K964" s="5" t="str">
        <f>IF(Logs_Reseau6[[#This Row],[Type_Forfait]]="Pro Monde","B2B","B2C")</f>
        <v>B2C</v>
      </c>
      <c r="L964" s="5" t="str">
        <f>_xlfn.XLOOKUP(Logs_Reseau6[[#This Row],[Id_Client]],Clients_Churn[ID_Client],Clients_Churn[Duree_Cumulee_Panne_Min],"Non Trouvée")</f>
        <v>Non Trouvée</v>
      </c>
      <c r="M964" s="5" t="str">
        <f>_xlfn.XLOOKUP(Logs_Reseau6[[#This Row],[Id_Client]],Clients_Churn[ID_Client],Clients_Churn[Anciennete_Mois],"Rien à signaler")</f>
        <v>Rien à signaler</v>
      </c>
      <c r="N964" s="5" t="e">
        <f>Logs_Reseau6[[#This Row],[Anciennette]]/24</f>
        <v>#VALUE!</v>
      </c>
      <c r="O964" s="5" t="e">
        <f>Logs_Reseau6[[#This Row],[Duree_Cumulée_Panne]]/1440</f>
        <v>#VALUE!</v>
      </c>
      <c r="P96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65" spans="1:16" hidden="1" x14ac:dyDescent="0.25">
      <c r="A965" s="2">
        <v>45217</v>
      </c>
      <c r="B965" s="1">
        <v>0.50902777777777775</v>
      </c>
      <c r="C965" t="s">
        <v>1306</v>
      </c>
      <c r="D965">
        <v>49</v>
      </c>
      <c r="E965" t="s">
        <v>1300</v>
      </c>
      <c r="F965" t="str">
        <f>_xlfn.XLOOKUP(Logs_Reseau6[[#This Row],[Cell_ID]],Registre[ID_Antenne],Registre[Province_RDC],"Non Trouvée")</f>
        <v>Non Trouvée</v>
      </c>
      <c r="G965" t="str">
        <f>_xlfn.XLOOKUP(Logs_Reseau6[[#This Row],[Province]],Clients_Churn[Province_Client],Clients_Churn[ID_Client],"Aucun")</f>
        <v>Aucun</v>
      </c>
      <c r="H965" t="str">
        <f>_xlfn.XLOOKUP(Logs_Reseau6[[#This Row],[Cell_ID]],Registre[ID_Antenne],Registre[Technologie],"Rien à signaler")</f>
        <v>Rien à signaler</v>
      </c>
      <c r="I965" t="str">
        <f>_xlfn.XLOOKUP(Logs_Reseau6[[#This Row],[Cell_ID]],Registre[ID_Antenne],Registre[Equipementier],"Non Trouvée")</f>
        <v>Non Trouvée</v>
      </c>
      <c r="J965" t="str">
        <f>_xlfn.XLOOKUP(Logs_Reseau6[[#This Row],[Id_Client]],Clients_Churn[ID_Client],Clients_Churn[Type_Forfait],"Pas d'information")</f>
        <v>Pas d'information</v>
      </c>
      <c r="K965" s="5" t="str">
        <f>IF(Logs_Reseau6[[#This Row],[Type_Forfait]]="Pro Monde","B2B","B2C")</f>
        <v>B2C</v>
      </c>
      <c r="L965" s="5" t="str">
        <f>_xlfn.XLOOKUP(Logs_Reseau6[[#This Row],[Id_Client]],Clients_Churn[ID_Client],Clients_Churn[Duree_Cumulee_Panne_Min],"Non Trouvée")</f>
        <v>Non Trouvée</v>
      </c>
      <c r="M965" s="5" t="str">
        <f>_xlfn.XLOOKUP(Logs_Reseau6[[#This Row],[Id_Client]],Clients_Churn[ID_Client],Clients_Churn[Anciennete_Mois],"Rien à signaler")</f>
        <v>Rien à signaler</v>
      </c>
      <c r="N965" s="5" t="e">
        <f>Logs_Reseau6[[#This Row],[Anciennette]]/24</f>
        <v>#VALUE!</v>
      </c>
      <c r="O965" s="5" t="e">
        <f>Logs_Reseau6[[#This Row],[Duree_Cumulée_Panne]]/1440</f>
        <v>#VALUE!</v>
      </c>
      <c r="P96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66" spans="1:16" hidden="1" x14ac:dyDescent="0.25">
      <c r="A966" s="2">
        <v>45217</v>
      </c>
      <c r="B966" s="1">
        <v>0.10902777777777778</v>
      </c>
      <c r="C966" t="s">
        <v>1306</v>
      </c>
      <c r="D966">
        <v>59</v>
      </c>
      <c r="E966" t="s">
        <v>1300</v>
      </c>
      <c r="F966" t="str">
        <f>_xlfn.XLOOKUP(Logs_Reseau6[[#This Row],[Cell_ID]],Registre[ID_Antenne],Registre[Province_RDC],"Non Trouvée")</f>
        <v>Non Trouvée</v>
      </c>
      <c r="G966" t="str">
        <f>_xlfn.XLOOKUP(Logs_Reseau6[[#This Row],[Province]],Clients_Churn[Province_Client],Clients_Churn[ID_Client],"Aucun")</f>
        <v>Aucun</v>
      </c>
      <c r="H966" t="str">
        <f>_xlfn.XLOOKUP(Logs_Reseau6[[#This Row],[Cell_ID]],Registre[ID_Antenne],Registre[Technologie],"Rien à signaler")</f>
        <v>Rien à signaler</v>
      </c>
      <c r="I966" t="str">
        <f>_xlfn.XLOOKUP(Logs_Reseau6[[#This Row],[Cell_ID]],Registre[ID_Antenne],Registre[Equipementier],"Non Trouvée")</f>
        <v>Non Trouvée</v>
      </c>
      <c r="J966" t="str">
        <f>_xlfn.XLOOKUP(Logs_Reseau6[[#This Row],[Id_Client]],Clients_Churn[ID_Client],Clients_Churn[Type_Forfait],"Pas d'information")</f>
        <v>Pas d'information</v>
      </c>
      <c r="K966" s="5" t="str">
        <f>IF(Logs_Reseau6[[#This Row],[Type_Forfait]]="Pro Monde","B2B","B2C")</f>
        <v>B2C</v>
      </c>
      <c r="L966" s="5" t="str">
        <f>_xlfn.XLOOKUP(Logs_Reseau6[[#This Row],[Id_Client]],Clients_Churn[ID_Client],Clients_Churn[Duree_Cumulee_Panne_Min],"Non Trouvée")</f>
        <v>Non Trouvée</v>
      </c>
      <c r="M966" s="5" t="str">
        <f>_xlfn.XLOOKUP(Logs_Reseau6[[#This Row],[Id_Client]],Clients_Churn[ID_Client],Clients_Churn[Anciennete_Mois],"Rien à signaler")</f>
        <v>Rien à signaler</v>
      </c>
      <c r="N966" s="5" t="e">
        <f>Logs_Reseau6[[#This Row],[Anciennette]]/24</f>
        <v>#VALUE!</v>
      </c>
      <c r="O966" s="5" t="e">
        <f>Logs_Reseau6[[#This Row],[Duree_Cumulée_Panne]]/1440</f>
        <v>#VALUE!</v>
      </c>
      <c r="P96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67" spans="1:16" hidden="1" x14ac:dyDescent="0.25">
      <c r="A967" s="2">
        <v>45222</v>
      </c>
      <c r="B967" s="1">
        <v>0.77152777777777781</v>
      </c>
      <c r="C967" t="s">
        <v>1306</v>
      </c>
      <c r="D967">
        <v>53</v>
      </c>
      <c r="E967" t="s">
        <v>1305</v>
      </c>
      <c r="F967" t="str">
        <f>_xlfn.XLOOKUP(Logs_Reseau6[[#This Row],[Cell_ID]],Registre[ID_Antenne],Registre[Province_RDC],"Non Trouvée")</f>
        <v>Non Trouvée</v>
      </c>
      <c r="G967" t="str">
        <f>_xlfn.XLOOKUP(Logs_Reseau6[[#This Row],[Province]],Clients_Churn[Province_Client],Clients_Churn[ID_Client],"Aucun")</f>
        <v>Aucun</v>
      </c>
      <c r="H967" t="str">
        <f>_xlfn.XLOOKUP(Logs_Reseau6[[#This Row],[Cell_ID]],Registre[ID_Antenne],Registre[Technologie],"Rien à signaler")</f>
        <v>Rien à signaler</v>
      </c>
      <c r="I967" t="str">
        <f>_xlfn.XLOOKUP(Logs_Reseau6[[#This Row],[Cell_ID]],Registre[ID_Antenne],Registre[Equipementier],"Non Trouvée")</f>
        <v>Non Trouvée</v>
      </c>
      <c r="J967" t="str">
        <f>_xlfn.XLOOKUP(Logs_Reseau6[[#This Row],[Id_Client]],Clients_Churn[ID_Client],Clients_Churn[Type_Forfait],"Pas d'information")</f>
        <v>Pas d'information</v>
      </c>
      <c r="K967" s="5" t="str">
        <f>IF(Logs_Reseau6[[#This Row],[Type_Forfait]]="Pro Monde","B2B","B2C")</f>
        <v>B2C</v>
      </c>
      <c r="L967" s="5" t="str">
        <f>_xlfn.XLOOKUP(Logs_Reseau6[[#This Row],[Id_Client]],Clients_Churn[ID_Client],Clients_Churn[Duree_Cumulee_Panne_Min],"Non Trouvée")</f>
        <v>Non Trouvée</v>
      </c>
      <c r="M967" s="5" t="str">
        <f>_xlfn.XLOOKUP(Logs_Reseau6[[#This Row],[Id_Client]],Clients_Churn[ID_Client],Clients_Churn[Anciennete_Mois],"Rien à signaler")</f>
        <v>Rien à signaler</v>
      </c>
      <c r="N967" s="5" t="e">
        <f>Logs_Reseau6[[#This Row],[Anciennette]]/24</f>
        <v>#VALUE!</v>
      </c>
      <c r="O967" s="5" t="e">
        <f>Logs_Reseau6[[#This Row],[Duree_Cumulée_Panne]]/1440</f>
        <v>#VALUE!</v>
      </c>
      <c r="P96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68" spans="1:16" hidden="1" x14ac:dyDescent="0.25">
      <c r="A968" s="2">
        <v>45204</v>
      </c>
      <c r="B968" s="1">
        <v>0.31458333333333333</v>
      </c>
      <c r="C968" t="s">
        <v>1413</v>
      </c>
      <c r="D968">
        <v>120</v>
      </c>
      <c r="E968" t="s">
        <v>1303</v>
      </c>
      <c r="F968" t="str">
        <f>_xlfn.XLOOKUP(Logs_Reseau6[[#This Row],[Cell_ID]],Registre[ID_Antenne],Registre[Province_RDC],"Non Trouvée")</f>
        <v>Non Trouvée</v>
      </c>
      <c r="G968" t="str">
        <f>_xlfn.XLOOKUP(Logs_Reseau6[[#This Row],[Province]],Clients_Churn[Province_Client],Clients_Churn[ID_Client],"Aucun")</f>
        <v>Aucun</v>
      </c>
      <c r="H968" t="str">
        <f>_xlfn.XLOOKUP(Logs_Reseau6[[#This Row],[Cell_ID]],Registre[ID_Antenne],Registre[Technologie],"Rien à signaler")</f>
        <v>Rien à signaler</v>
      </c>
      <c r="I968" t="str">
        <f>_xlfn.XLOOKUP(Logs_Reseau6[[#This Row],[Cell_ID]],Registre[ID_Antenne],Registre[Equipementier],"Non Trouvée")</f>
        <v>Non Trouvée</v>
      </c>
      <c r="J968" t="str">
        <f>_xlfn.XLOOKUP(Logs_Reseau6[[#This Row],[Id_Client]],Clients_Churn[ID_Client],Clients_Churn[Type_Forfait],"Pas d'information")</f>
        <v>Pas d'information</v>
      </c>
      <c r="K968" s="5" t="str">
        <f>IF(Logs_Reseau6[[#This Row],[Type_Forfait]]="Pro Monde","B2B","B2C")</f>
        <v>B2C</v>
      </c>
      <c r="L968" s="5" t="str">
        <f>_xlfn.XLOOKUP(Logs_Reseau6[[#This Row],[Id_Client]],Clients_Churn[ID_Client],Clients_Churn[Duree_Cumulee_Panne_Min],"Non Trouvée")</f>
        <v>Non Trouvée</v>
      </c>
      <c r="M968" s="5" t="str">
        <f>_xlfn.XLOOKUP(Logs_Reseau6[[#This Row],[Id_Client]],Clients_Churn[ID_Client],Clients_Churn[Anciennete_Mois],"Rien à signaler")</f>
        <v>Rien à signaler</v>
      </c>
      <c r="N968" s="5" t="e">
        <f>Logs_Reseau6[[#This Row],[Anciennette]]/24</f>
        <v>#VALUE!</v>
      </c>
      <c r="O968" s="5" t="e">
        <f>Logs_Reseau6[[#This Row],[Duree_Cumulée_Panne]]/1440</f>
        <v>#VALUE!</v>
      </c>
      <c r="P96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69" spans="1:16" x14ac:dyDescent="0.25">
      <c r="A969" s="2">
        <v>45210</v>
      </c>
      <c r="B969" s="1">
        <v>5.1388888888888887E-2</v>
      </c>
      <c r="C969" t="s">
        <v>980</v>
      </c>
      <c r="D969">
        <v>73</v>
      </c>
      <c r="E969" t="s">
        <v>1300</v>
      </c>
      <c r="F969" t="str">
        <f>_xlfn.XLOOKUP(Logs_Reseau6[[#This Row],[Cell_ID]],Registre[ID_Antenne],Registre[Province_RDC],"Non Trouvée")</f>
        <v>Tanganyika</v>
      </c>
      <c r="G969" t="str">
        <f>_xlfn.XLOOKUP(Logs_Reseau6[[#This Row],[Province]],Clients_Churn[Province_Client],Clients_Churn[ID_Client],"Aucun")</f>
        <v>CLI-00007</v>
      </c>
      <c r="H969" t="str">
        <f>_xlfn.XLOOKUP(Logs_Reseau6[[#This Row],[Cell_ID]],Registre[ID_Antenne],Registre[Technologie],"Rien à signaler")</f>
        <v>4G</v>
      </c>
      <c r="I969" t="str">
        <f>_xlfn.XLOOKUP(Logs_Reseau6[[#This Row],[Cell_ID]],Registre[ID_Antenne],Registre[Equipementier],"Non Trouvée")</f>
        <v>Ericsson</v>
      </c>
      <c r="J969" t="str">
        <f>_xlfn.XLOOKUP(Logs_Reseau6[[#This Row],[Id_Client]],Clients_Churn[ID_Client],Clients_Churn[Type_Forfait],"Pas d'information")</f>
        <v>Bloqué 5Go</v>
      </c>
      <c r="K969" s="5" t="str">
        <f>IF(Logs_Reseau6[[#This Row],[Type_Forfait]]="Pro Monde","B2B","B2C")</f>
        <v>B2C</v>
      </c>
      <c r="L969" s="5">
        <f>_xlfn.XLOOKUP(Logs_Reseau6[[#This Row],[Id_Client]],Clients_Churn[ID_Client],Clients_Churn[Duree_Cumulee_Panne_Min],"Non Trouvée")</f>
        <v>112</v>
      </c>
      <c r="M969" s="5">
        <f>_xlfn.XLOOKUP(Logs_Reseau6[[#This Row],[Id_Client]],Clients_Churn[ID_Client],Clients_Churn[Anciennete_Mois],"Rien à signaler")</f>
        <v>110</v>
      </c>
      <c r="N969" s="11">
        <f>Logs_Reseau6[[#This Row],[Anciennette]]/24</f>
        <v>4.583333333333333</v>
      </c>
      <c r="O969" s="1">
        <f>Logs_Reseau6[[#This Row],[Duree_Cumulée_Panne]]/1440</f>
        <v>7.7777777777777779E-2</v>
      </c>
      <c r="P96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70" spans="1:16" x14ac:dyDescent="0.25">
      <c r="A970" s="2">
        <v>45214</v>
      </c>
      <c r="B970" s="1">
        <v>0.43472222222222223</v>
      </c>
      <c r="C970" t="s">
        <v>980</v>
      </c>
      <c r="D970">
        <v>61</v>
      </c>
      <c r="E970" t="s">
        <v>1305</v>
      </c>
      <c r="F970" t="str">
        <f>_xlfn.XLOOKUP(Logs_Reseau6[[#This Row],[Cell_ID]],Registre[ID_Antenne],Registre[Province_RDC],"Non Trouvée")</f>
        <v>Tanganyika</v>
      </c>
      <c r="G970" t="str">
        <f>_xlfn.XLOOKUP(Logs_Reseau6[[#This Row],[Province]],Clients_Churn[Province_Client],Clients_Churn[ID_Client],"Aucun")</f>
        <v>CLI-00007</v>
      </c>
      <c r="H970" t="str">
        <f>_xlfn.XLOOKUP(Logs_Reseau6[[#This Row],[Cell_ID]],Registre[ID_Antenne],Registre[Technologie],"Rien à signaler")</f>
        <v>4G</v>
      </c>
      <c r="I970" t="str">
        <f>_xlfn.XLOOKUP(Logs_Reseau6[[#This Row],[Cell_ID]],Registre[ID_Antenne],Registre[Equipementier],"Non Trouvée")</f>
        <v>Ericsson</v>
      </c>
      <c r="J970" t="str">
        <f>_xlfn.XLOOKUP(Logs_Reseau6[[#This Row],[Id_Client]],Clients_Churn[ID_Client],Clients_Churn[Type_Forfait],"Pas d'information")</f>
        <v>Bloqué 5Go</v>
      </c>
      <c r="K970" s="5" t="str">
        <f>IF(Logs_Reseau6[[#This Row],[Type_Forfait]]="Pro Monde","B2B","B2C")</f>
        <v>B2C</v>
      </c>
      <c r="L970" s="5">
        <f>_xlfn.XLOOKUP(Logs_Reseau6[[#This Row],[Id_Client]],Clients_Churn[ID_Client],Clients_Churn[Duree_Cumulee_Panne_Min],"Non Trouvée")</f>
        <v>112</v>
      </c>
      <c r="M970" s="5">
        <f>_xlfn.XLOOKUP(Logs_Reseau6[[#This Row],[Id_Client]],Clients_Churn[ID_Client],Clients_Churn[Anciennete_Mois],"Rien à signaler")</f>
        <v>110</v>
      </c>
      <c r="N970" s="11">
        <f>Logs_Reseau6[[#This Row],[Anciennette]]/24</f>
        <v>4.583333333333333</v>
      </c>
      <c r="O970" s="1">
        <f>Logs_Reseau6[[#This Row],[Duree_Cumulée_Panne]]/1440</f>
        <v>7.7777777777777779E-2</v>
      </c>
      <c r="P97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71" spans="1:16" x14ac:dyDescent="0.25">
      <c r="A971" s="2">
        <v>45228</v>
      </c>
      <c r="B971" s="1">
        <v>0.85347222222222219</v>
      </c>
      <c r="C971" t="s">
        <v>980</v>
      </c>
      <c r="D971">
        <v>42</v>
      </c>
      <c r="E971" t="s">
        <v>1300</v>
      </c>
      <c r="F971" t="str">
        <f>_xlfn.XLOOKUP(Logs_Reseau6[[#This Row],[Cell_ID]],Registre[ID_Antenne],Registre[Province_RDC],"Non Trouvée")</f>
        <v>Tanganyika</v>
      </c>
      <c r="G971" t="str">
        <f>_xlfn.XLOOKUP(Logs_Reseau6[[#This Row],[Province]],Clients_Churn[Province_Client],Clients_Churn[ID_Client],"Aucun")</f>
        <v>CLI-00007</v>
      </c>
      <c r="H971" t="str">
        <f>_xlfn.XLOOKUP(Logs_Reseau6[[#This Row],[Cell_ID]],Registre[ID_Antenne],Registre[Technologie],"Rien à signaler")</f>
        <v>4G</v>
      </c>
      <c r="I971" t="str">
        <f>_xlfn.XLOOKUP(Logs_Reseau6[[#This Row],[Cell_ID]],Registre[ID_Antenne],Registre[Equipementier],"Non Trouvée")</f>
        <v>Ericsson</v>
      </c>
      <c r="J971" t="str">
        <f>_xlfn.XLOOKUP(Logs_Reseau6[[#This Row],[Id_Client]],Clients_Churn[ID_Client],Clients_Churn[Type_Forfait],"Pas d'information")</f>
        <v>Bloqué 5Go</v>
      </c>
      <c r="K971" s="5" t="str">
        <f>IF(Logs_Reseau6[[#This Row],[Type_Forfait]]="Pro Monde","B2B","B2C")</f>
        <v>B2C</v>
      </c>
      <c r="L971" s="5">
        <f>_xlfn.XLOOKUP(Logs_Reseau6[[#This Row],[Id_Client]],Clients_Churn[ID_Client],Clients_Churn[Duree_Cumulee_Panne_Min],"Non Trouvée")</f>
        <v>112</v>
      </c>
      <c r="M971" s="5">
        <f>_xlfn.XLOOKUP(Logs_Reseau6[[#This Row],[Id_Client]],Clients_Churn[ID_Client],Clients_Churn[Anciennete_Mois],"Rien à signaler")</f>
        <v>110</v>
      </c>
      <c r="N971" s="11">
        <f>Logs_Reseau6[[#This Row],[Anciennette]]/24</f>
        <v>4.583333333333333</v>
      </c>
      <c r="O971" s="1">
        <f>Logs_Reseau6[[#This Row],[Duree_Cumulée_Panne]]/1440</f>
        <v>7.7777777777777779E-2</v>
      </c>
      <c r="P97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72" spans="1:16" hidden="1" x14ac:dyDescent="0.25">
      <c r="A972" s="2">
        <v>45208</v>
      </c>
      <c r="B972" s="1">
        <v>0.19444444444444445</v>
      </c>
      <c r="C972" t="s">
        <v>1476</v>
      </c>
      <c r="D972">
        <v>98</v>
      </c>
      <c r="E972" t="s">
        <v>1303</v>
      </c>
      <c r="F972" t="str">
        <f>_xlfn.XLOOKUP(Logs_Reseau6[[#This Row],[Cell_ID]],Registre[ID_Antenne],Registre[Province_RDC],"Non Trouvée")</f>
        <v>Non Trouvée</v>
      </c>
      <c r="G972" t="str">
        <f>_xlfn.XLOOKUP(Logs_Reseau6[[#This Row],[Province]],Clients_Churn[Province_Client],Clients_Churn[ID_Client],"Aucun")</f>
        <v>Aucun</v>
      </c>
      <c r="H972" t="str">
        <f>_xlfn.XLOOKUP(Logs_Reseau6[[#This Row],[Cell_ID]],Registre[ID_Antenne],Registre[Technologie],"Rien à signaler")</f>
        <v>Rien à signaler</v>
      </c>
      <c r="I972" t="str">
        <f>_xlfn.XLOOKUP(Logs_Reseau6[[#This Row],[Cell_ID]],Registre[ID_Antenne],Registre[Equipementier],"Non Trouvée")</f>
        <v>Non Trouvée</v>
      </c>
      <c r="J972" t="str">
        <f>_xlfn.XLOOKUP(Logs_Reseau6[[#This Row],[Id_Client]],Clients_Churn[ID_Client],Clients_Churn[Type_Forfait],"Pas d'information")</f>
        <v>Pas d'information</v>
      </c>
      <c r="K972" s="5" t="str">
        <f>IF(Logs_Reseau6[[#This Row],[Type_Forfait]]="Pro Monde","B2B","B2C")</f>
        <v>B2C</v>
      </c>
      <c r="L972" s="5" t="str">
        <f>_xlfn.XLOOKUP(Logs_Reseau6[[#This Row],[Id_Client]],Clients_Churn[ID_Client],Clients_Churn[Duree_Cumulee_Panne_Min],"Non Trouvée")</f>
        <v>Non Trouvée</v>
      </c>
      <c r="M972" s="5" t="str">
        <f>_xlfn.XLOOKUP(Logs_Reseau6[[#This Row],[Id_Client]],Clients_Churn[ID_Client],Clients_Churn[Anciennete_Mois],"Rien à signaler")</f>
        <v>Rien à signaler</v>
      </c>
      <c r="N972" s="5" t="e">
        <f>Logs_Reseau6[[#This Row],[Anciennette]]/24</f>
        <v>#VALUE!</v>
      </c>
      <c r="O972" s="5" t="e">
        <f>Logs_Reseau6[[#This Row],[Duree_Cumulée_Panne]]/1440</f>
        <v>#VALUE!</v>
      </c>
      <c r="P97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73" spans="1:16" x14ac:dyDescent="0.25">
      <c r="A973" s="2">
        <v>45203</v>
      </c>
      <c r="B973" s="1">
        <v>0.25069444444444444</v>
      </c>
      <c r="C973" t="s">
        <v>1202</v>
      </c>
      <c r="D973">
        <v>49</v>
      </c>
      <c r="E973" t="s">
        <v>1303</v>
      </c>
      <c r="F973" t="str">
        <f>_xlfn.XLOOKUP(Logs_Reseau6[[#This Row],[Cell_ID]],Registre[ID_Antenne],Registre[Province_RDC],"Non Trouvée")</f>
        <v>Kasai-Central</v>
      </c>
      <c r="G973" t="str">
        <f>_xlfn.XLOOKUP(Logs_Reseau6[[#This Row],[Province]],Clients_Churn[Province_Client],Clients_Churn[ID_Client],"Aucun")</f>
        <v>CLI-00060</v>
      </c>
      <c r="H973" t="str">
        <f>_xlfn.XLOOKUP(Logs_Reseau6[[#This Row],[Cell_ID]],Registre[ID_Antenne],Registre[Technologie],"Rien à signaler")</f>
        <v>3G</v>
      </c>
      <c r="I973" t="str">
        <f>_xlfn.XLOOKUP(Logs_Reseau6[[#This Row],[Cell_ID]],Registre[ID_Antenne],Registre[Equipementier],"Non Trouvée")</f>
        <v>Ericsson</v>
      </c>
      <c r="J973" t="str">
        <f>_xlfn.XLOOKUP(Logs_Reseau6[[#This Row],[Id_Client]],Clients_Churn[ID_Client],Clients_Churn[Type_Forfait],"Pas d'information")</f>
        <v>Pro Monde</v>
      </c>
      <c r="K973" s="5" t="str">
        <f>IF(Logs_Reseau6[[#This Row],[Type_Forfait]]="Pro Monde","B2B","B2C")</f>
        <v>B2B</v>
      </c>
      <c r="L973" s="5">
        <f>_xlfn.XLOOKUP(Logs_Reseau6[[#This Row],[Id_Client]],Clients_Churn[ID_Client],Clients_Churn[Duree_Cumulee_Panne_Min],"Non Trouvée")</f>
        <v>160</v>
      </c>
      <c r="M973" s="5">
        <f>_xlfn.XLOOKUP(Logs_Reseau6[[#This Row],[Id_Client]],Clients_Churn[ID_Client],Clients_Churn[Anciennete_Mois],"Rien à signaler")</f>
        <v>72</v>
      </c>
      <c r="N973" s="11">
        <f>Logs_Reseau6[[#This Row],[Anciennette]]/24</f>
        <v>3</v>
      </c>
      <c r="O973" s="1">
        <f>Logs_Reseau6[[#This Row],[Duree_Cumulée_Panne]]/1440</f>
        <v>0.1111111111111111</v>
      </c>
      <c r="P97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74" spans="1:16" x14ac:dyDescent="0.25">
      <c r="A974" s="2">
        <v>45204</v>
      </c>
      <c r="B974" s="1">
        <v>0.81527777777777777</v>
      </c>
      <c r="C974" t="s">
        <v>1202</v>
      </c>
      <c r="D974">
        <v>71</v>
      </c>
      <c r="E974" t="s">
        <v>1305</v>
      </c>
      <c r="F974" t="str">
        <f>_xlfn.XLOOKUP(Logs_Reseau6[[#This Row],[Cell_ID]],Registre[ID_Antenne],Registre[Province_RDC],"Non Trouvée")</f>
        <v>Kasai-Central</v>
      </c>
      <c r="G974" t="str">
        <f>_xlfn.XLOOKUP(Logs_Reseau6[[#This Row],[Province]],Clients_Churn[Province_Client],Clients_Churn[ID_Client],"Aucun")</f>
        <v>CLI-00060</v>
      </c>
      <c r="H974" t="str">
        <f>_xlfn.XLOOKUP(Logs_Reseau6[[#This Row],[Cell_ID]],Registre[ID_Antenne],Registre[Technologie],"Rien à signaler")</f>
        <v>3G</v>
      </c>
      <c r="I974" t="str">
        <f>_xlfn.XLOOKUP(Logs_Reseau6[[#This Row],[Cell_ID]],Registre[ID_Antenne],Registre[Equipementier],"Non Trouvée")</f>
        <v>Ericsson</v>
      </c>
      <c r="J974" t="str">
        <f>_xlfn.XLOOKUP(Logs_Reseau6[[#This Row],[Id_Client]],Clients_Churn[ID_Client],Clients_Churn[Type_Forfait],"Pas d'information")</f>
        <v>Pro Monde</v>
      </c>
      <c r="K974" s="5" t="str">
        <f>IF(Logs_Reseau6[[#This Row],[Type_Forfait]]="Pro Monde","B2B","B2C")</f>
        <v>B2B</v>
      </c>
      <c r="L974" s="5">
        <f>_xlfn.XLOOKUP(Logs_Reseau6[[#This Row],[Id_Client]],Clients_Churn[ID_Client],Clients_Churn[Duree_Cumulee_Panne_Min],"Non Trouvée")</f>
        <v>160</v>
      </c>
      <c r="M974" s="5">
        <f>_xlfn.XLOOKUP(Logs_Reseau6[[#This Row],[Id_Client]],Clients_Churn[ID_Client],Clients_Churn[Anciennete_Mois],"Rien à signaler")</f>
        <v>72</v>
      </c>
      <c r="N974" s="11">
        <f>Logs_Reseau6[[#This Row],[Anciennette]]/24</f>
        <v>3</v>
      </c>
      <c r="O974" s="1">
        <f>Logs_Reseau6[[#This Row],[Duree_Cumulée_Panne]]/1440</f>
        <v>0.1111111111111111</v>
      </c>
      <c r="P97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75" spans="1:16" x14ac:dyDescent="0.25">
      <c r="A975" s="2">
        <v>45209</v>
      </c>
      <c r="B975" s="1">
        <v>0.82430555555555551</v>
      </c>
      <c r="C975" t="s">
        <v>1202</v>
      </c>
      <c r="D975">
        <v>93</v>
      </c>
      <c r="E975" t="s">
        <v>1305</v>
      </c>
      <c r="F975" t="str">
        <f>_xlfn.XLOOKUP(Logs_Reseau6[[#This Row],[Cell_ID]],Registre[ID_Antenne],Registre[Province_RDC],"Non Trouvée")</f>
        <v>Kasai-Central</v>
      </c>
      <c r="G975" t="str">
        <f>_xlfn.XLOOKUP(Logs_Reseau6[[#This Row],[Province]],Clients_Churn[Province_Client],Clients_Churn[ID_Client],"Aucun")</f>
        <v>CLI-00060</v>
      </c>
      <c r="H975" t="str">
        <f>_xlfn.XLOOKUP(Logs_Reseau6[[#This Row],[Cell_ID]],Registre[ID_Antenne],Registre[Technologie],"Rien à signaler")</f>
        <v>3G</v>
      </c>
      <c r="I975" t="str">
        <f>_xlfn.XLOOKUP(Logs_Reseau6[[#This Row],[Cell_ID]],Registre[ID_Antenne],Registre[Equipementier],"Non Trouvée")</f>
        <v>Ericsson</v>
      </c>
      <c r="J975" t="str">
        <f>_xlfn.XLOOKUP(Logs_Reseau6[[#This Row],[Id_Client]],Clients_Churn[ID_Client],Clients_Churn[Type_Forfait],"Pas d'information")</f>
        <v>Pro Monde</v>
      </c>
      <c r="K975" s="5" t="str">
        <f>IF(Logs_Reseau6[[#This Row],[Type_Forfait]]="Pro Monde","B2B","B2C")</f>
        <v>B2B</v>
      </c>
      <c r="L975" s="5">
        <f>_xlfn.XLOOKUP(Logs_Reseau6[[#This Row],[Id_Client]],Clients_Churn[ID_Client],Clients_Churn[Duree_Cumulee_Panne_Min],"Non Trouvée")</f>
        <v>160</v>
      </c>
      <c r="M975" s="5">
        <f>_xlfn.XLOOKUP(Logs_Reseau6[[#This Row],[Id_Client]],Clients_Churn[ID_Client],Clients_Churn[Anciennete_Mois],"Rien à signaler")</f>
        <v>72</v>
      </c>
      <c r="N975" s="11">
        <f>Logs_Reseau6[[#This Row],[Anciennette]]/24</f>
        <v>3</v>
      </c>
      <c r="O975" s="1">
        <f>Logs_Reseau6[[#This Row],[Duree_Cumulée_Panne]]/1440</f>
        <v>0.1111111111111111</v>
      </c>
      <c r="P97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76" spans="1:16" x14ac:dyDescent="0.25">
      <c r="A976" s="2">
        <v>45221</v>
      </c>
      <c r="B976" s="1">
        <v>0.91041666666666665</v>
      </c>
      <c r="C976" t="s">
        <v>1202</v>
      </c>
      <c r="D976">
        <v>60</v>
      </c>
      <c r="E976" t="s">
        <v>1303</v>
      </c>
      <c r="F976" t="str">
        <f>_xlfn.XLOOKUP(Logs_Reseau6[[#This Row],[Cell_ID]],Registre[ID_Antenne],Registre[Province_RDC],"Non Trouvée")</f>
        <v>Kasai-Central</v>
      </c>
      <c r="G976" t="str">
        <f>_xlfn.XLOOKUP(Logs_Reseau6[[#This Row],[Province]],Clients_Churn[Province_Client],Clients_Churn[ID_Client],"Aucun")</f>
        <v>CLI-00060</v>
      </c>
      <c r="H976" t="str">
        <f>_xlfn.XLOOKUP(Logs_Reseau6[[#This Row],[Cell_ID]],Registre[ID_Antenne],Registre[Technologie],"Rien à signaler")</f>
        <v>3G</v>
      </c>
      <c r="I976" t="str">
        <f>_xlfn.XLOOKUP(Logs_Reseau6[[#This Row],[Cell_ID]],Registre[ID_Antenne],Registre[Equipementier],"Non Trouvée")</f>
        <v>Ericsson</v>
      </c>
      <c r="J976" t="str">
        <f>_xlfn.XLOOKUP(Logs_Reseau6[[#This Row],[Id_Client]],Clients_Churn[ID_Client],Clients_Churn[Type_Forfait],"Pas d'information")</f>
        <v>Pro Monde</v>
      </c>
      <c r="K976" s="5" t="str">
        <f>IF(Logs_Reseau6[[#This Row],[Type_Forfait]]="Pro Monde","B2B","B2C")</f>
        <v>B2B</v>
      </c>
      <c r="L976" s="5">
        <f>_xlfn.XLOOKUP(Logs_Reseau6[[#This Row],[Id_Client]],Clients_Churn[ID_Client],Clients_Churn[Duree_Cumulee_Panne_Min],"Non Trouvée")</f>
        <v>160</v>
      </c>
      <c r="M976" s="5">
        <f>_xlfn.XLOOKUP(Logs_Reseau6[[#This Row],[Id_Client]],Clients_Churn[ID_Client],Clients_Churn[Anciennete_Mois],"Rien à signaler")</f>
        <v>72</v>
      </c>
      <c r="N976" s="11">
        <f>Logs_Reseau6[[#This Row],[Anciennette]]/24</f>
        <v>3</v>
      </c>
      <c r="O976" s="1">
        <f>Logs_Reseau6[[#This Row],[Duree_Cumulée_Panne]]/1440</f>
        <v>0.1111111111111111</v>
      </c>
      <c r="P97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77" spans="1:16" hidden="1" x14ac:dyDescent="0.25">
      <c r="A977" s="2">
        <v>45210</v>
      </c>
      <c r="B977" s="1">
        <v>0.24722222222222223</v>
      </c>
      <c r="C977" t="s">
        <v>1575</v>
      </c>
      <c r="D977">
        <v>74</v>
      </c>
      <c r="E977" t="s">
        <v>1300</v>
      </c>
      <c r="F977" t="str">
        <f>_xlfn.XLOOKUP(Logs_Reseau6[[#This Row],[Cell_ID]],Registre[ID_Antenne],Registre[Province_RDC],"Non Trouvée")</f>
        <v>Non Trouvée</v>
      </c>
      <c r="G977" t="str">
        <f>_xlfn.XLOOKUP(Logs_Reseau6[[#This Row],[Province]],Clients_Churn[Province_Client],Clients_Churn[ID_Client],"Aucun")</f>
        <v>Aucun</v>
      </c>
      <c r="H977" t="str">
        <f>_xlfn.XLOOKUP(Logs_Reseau6[[#This Row],[Cell_ID]],Registre[ID_Antenne],Registre[Technologie],"Rien à signaler")</f>
        <v>Rien à signaler</v>
      </c>
      <c r="I977" t="str">
        <f>_xlfn.XLOOKUP(Logs_Reseau6[[#This Row],[Cell_ID]],Registre[ID_Antenne],Registre[Equipementier],"Non Trouvée")</f>
        <v>Non Trouvée</v>
      </c>
      <c r="J977" t="str">
        <f>_xlfn.XLOOKUP(Logs_Reseau6[[#This Row],[Id_Client]],Clients_Churn[ID_Client],Clients_Churn[Type_Forfait],"Pas d'information")</f>
        <v>Pas d'information</v>
      </c>
      <c r="K977" s="5" t="str">
        <f>IF(Logs_Reseau6[[#This Row],[Type_Forfait]]="Pro Monde","B2B","B2C")</f>
        <v>B2C</v>
      </c>
      <c r="L977" s="5" t="str">
        <f>_xlfn.XLOOKUP(Logs_Reseau6[[#This Row],[Id_Client]],Clients_Churn[ID_Client],Clients_Churn[Duree_Cumulee_Panne_Min],"Non Trouvée")</f>
        <v>Non Trouvée</v>
      </c>
      <c r="M977" s="5" t="str">
        <f>_xlfn.XLOOKUP(Logs_Reseau6[[#This Row],[Id_Client]],Clients_Churn[ID_Client],Clients_Churn[Anciennete_Mois],"Rien à signaler")</f>
        <v>Rien à signaler</v>
      </c>
      <c r="N977" s="5" t="e">
        <f>Logs_Reseau6[[#This Row],[Anciennette]]/24</f>
        <v>#VALUE!</v>
      </c>
      <c r="O977" s="5" t="e">
        <f>Logs_Reseau6[[#This Row],[Duree_Cumulée_Panne]]/1440</f>
        <v>#VALUE!</v>
      </c>
      <c r="P97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78" spans="1:16" hidden="1" x14ac:dyDescent="0.25">
      <c r="A978" s="2">
        <v>45211</v>
      </c>
      <c r="B978" s="1">
        <v>0.2902777777777778</v>
      </c>
      <c r="C978" t="s">
        <v>1575</v>
      </c>
      <c r="D978">
        <v>73</v>
      </c>
      <c r="E978" t="s">
        <v>1305</v>
      </c>
      <c r="F978" t="str">
        <f>_xlfn.XLOOKUP(Logs_Reseau6[[#This Row],[Cell_ID]],Registre[ID_Antenne],Registre[Province_RDC],"Non Trouvée")</f>
        <v>Non Trouvée</v>
      </c>
      <c r="G978" t="str">
        <f>_xlfn.XLOOKUP(Logs_Reseau6[[#This Row],[Province]],Clients_Churn[Province_Client],Clients_Churn[ID_Client],"Aucun")</f>
        <v>Aucun</v>
      </c>
      <c r="H978" t="str">
        <f>_xlfn.XLOOKUP(Logs_Reseau6[[#This Row],[Cell_ID]],Registre[ID_Antenne],Registre[Technologie],"Rien à signaler")</f>
        <v>Rien à signaler</v>
      </c>
      <c r="I978" t="str">
        <f>_xlfn.XLOOKUP(Logs_Reseau6[[#This Row],[Cell_ID]],Registre[ID_Antenne],Registre[Equipementier],"Non Trouvée")</f>
        <v>Non Trouvée</v>
      </c>
      <c r="J978" t="str">
        <f>_xlfn.XLOOKUP(Logs_Reseau6[[#This Row],[Id_Client]],Clients_Churn[ID_Client],Clients_Churn[Type_Forfait],"Pas d'information")</f>
        <v>Pas d'information</v>
      </c>
      <c r="K978" s="5" t="str">
        <f>IF(Logs_Reseau6[[#This Row],[Type_Forfait]]="Pro Monde","B2B","B2C")</f>
        <v>B2C</v>
      </c>
      <c r="L978" s="5" t="str">
        <f>_xlfn.XLOOKUP(Logs_Reseau6[[#This Row],[Id_Client]],Clients_Churn[ID_Client],Clients_Churn[Duree_Cumulee_Panne_Min],"Non Trouvée")</f>
        <v>Non Trouvée</v>
      </c>
      <c r="M978" s="5" t="str">
        <f>_xlfn.XLOOKUP(Logs_Reseau6[[#This Row],[Id_Client]],Clients_Churn[ID_Client],Clients_Churn[Anciennete_Mois],"Rien à signaler")</f>
        <v>Rien à signaler</v>
      </c>
      <c r="N978" s="5" t="e">
        <f>Logs_Reseau6[[#This Row],[Anciennette]]/24</f>
        <v>#VALUE!</v>
      </c>
      <c r="O978" s="5" t="e">
        <f>Logs_Reseau6[[#This Row],[Duree_Cumulée_Panne]]/1440</f>
        <v>#VALUE!</v>
      </c>
      <c r="P97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79" spans="1:16" hidden="1" x14ac:dyDescent="0.25">
      <c r="A979" s="2">
        <v>45227</v>
      </c>
      <c r="B979" s="1">
        <v>0.21111111111111111</v>
      </c>
      <c r="C979" t="s">
        <v>1341</v>
      </c>
      <c r="D979">
        <v>38</v>
      </c>
      <c r="E979" t="s">
        <v>1300</v>
      </c>
      <c r="F979" t="str">
        <f>_xlfn.XLOOKUP(Logs_Reseau6[[#This Row],[Cell_ID]],Registre[ID_Antenne],Registre[Province_RDC],"Non Trouvée")</f>
        <v>Non Trouvée</v>
      </c>
      <c r="G979" t="str">
        <f>_xlfn.XLOOKUP(Logs_Reseau6[[#This Row],[Province]],Clients_Churn[Province_Client],Clients_Churn[ID_Client],"Aucun")</f>
        <v>Aucun</v>
      </c>
      <c r="H979" t="str">
        <f>_xlfn.XLOOKUP(Logs_Reseau6[[#This Row],[Cell_ID]],Registre[ID_Antenne],Registre[Technologie],"Rien à signaler")</f>
        <v>Rien à signaler</v>
      </c>
      <c r="I979" t="str">
        <f>_xlfn.XLOOKUP(Logs_Reseau6[[#This Row],[Cell_ID]],Registre[ID_Antenne],Registre[Equipementier],"Non Trouvée")</f>
        <v>Non Trouvée</v>
      </c>
      <c r="J979" t="str">
        <f>_xlfn.XLOOKUP(Logs_Reseau6[[#This Row],[Id_Client]],Clients_Churn[ID_Client],Clients_Churn[Type_Forfait],"Pas d'information")</f>
        <v>Pas d'information</v>
      </c>
      <c r="K979" s="5" t="str">
        <f>IF(Logs_Reseau6[[#This Row],[Type_Forfait]]="Pro Monde","B2B","B2C")</f>
        <v>B2C</v>
      </c>
      <c r="L979" s="5" t="str">
        <f>_xlfn.XLOOKUP(Logs_Reseau6[[#This Row],[Id_Client]],Clients_Churn[ID_Client],Clients_Churn[Duree_Cumulee_Panne_Min],"Non Trouvée")</f>
        <v>Non Trouvée</v>
      </c>
      <c r="M979" s="5" t="str">
        <f>_xlfn.XLOOKUP(Logs_Reseau6[[#This Row],[Id_Client]],Clients_Churn[ID_Client],Clients_Churn[Anciennete_Mois],"Rien à signaler")</f>
        <v>Rien à signaler</v>
      </c>
      <c r="N979" s="5" t="e">
        <f>Logs_Reseau6[[#This Row],[Anciennette]]/24</f>
        <v>#VALUE!</v>
      </c>
      <c r="O979" s="5" t="e">
        <f>Logs_Reseau6[[#This Row],[Duree_Cumulée_Panne]]/1440</f>
        <v>#VALUE!</v>
      </c>
      <c r="P97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80" spans="1:16" hidden="1" x14ac:dyDescent="0.25">
      <c r="A980" s="2">
        <v>45226</v>
      </c>
      <c r="B980" s="1">
        <v>0.16319444444444445</v>
      </c>
      <c r="C980" t="s">
        <v>1550</v>
      </c>
      <c r="D980">
        <v>36</v>
      </c>
      <c r="E980" t="s">
        <v>1303</v>
      </c>
      <c r="F980" t="str">
        <f>_xlfn.XLOOKUP(Logs_Reseau6[[#This Row],[Cell_ID]],Registre[ID_Antenne],Registre[Province_RDC],"Non Trouvée")</f>
        <v>Non Trouvée</v>
      </c>
      <c r="G980" t="str">
        <f>_xlfn.XLOOKUP(Logs_Reseau6[[#This Row],[Province]],Clients_Churn[Province_Client],Clients_Churn[ID_Client],"Aucun")</f>
        <v>Aucun</v>
      </c>
      <c r="H980" t="str">
        <f>_xlfn.XLOOKUP(Logs_Reseau6[[#This Row],[Cell_ID]],Registre[ID_Antenne],Registre[Technologie],"Rien à signaler")</f>
        <v>Rien à signaler</v>
      </c>
      <c r="I980" t="str">
        <f>_xlfn.XLOOKUP(Logs_Reseau6[[#This Row],[Cell_ID]],Registre[ID_Antenne],Registre[Equipementier],"Non Trouvée")</f>
        <v>Non Trouvée</v>
      </c>
      <c r="J980" t="str">
        <f>_xlfn.XLOOKUP(Logs_Reseau6[[#This Row],[Id_Client]],Clients_Churn[ID_Client],Clients_Churn[Type_Forfait],"Pas d'information")</f>
        <v>Pas d'information</v>
      </c>
      <c r="K980" s="5" t="str">
        <f>IF(Logs_Reseau6[[#This Row],[Type_Forfait]]="Pro Monde","B2B","B2C")</f>
        <v>B2C</v>
      </c>
      <c r="L980" s="5" t="str">
        <f>_xlfn.XLOOKUP(Logs_Reseau6[[#This Row],[Id_Client]],Clients_Churn[ID_Client],Clients_Churn[Duree_Cumulee_Panne_Min],"Non Trouvée")</f>
        <v>Non Trouvée</v>
      </c>
      <c r="M980" s="5" t="str">
        <f>_xlfn.XLOOKUP(Logs_Reseau6[[#This Row],[Id_Client]],Clients_Churn[ID_Client],Clients_Churn[Anciennete_Mois],"Rien à signaler")</f>
        <v>Rien à signaler</v>
      </c>
      <c r="N980" s="5" t="e">
        <f>Logs_Reseau6[[#This Row],[Anciennette]]/24</f>
        <v>#VALUE!</v>
      </c>
      <c r="O980" s="5" t="e">
        <f>Logs_Reseau6[[#This Row],[Duree_Cumulée_Panne]]/1440</f>
        <v>#VALUE!</v>
      </c>
      <c r="P98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81" spans="1:16" hidden="1" x14ac:dyDescent="0.25">
      <c r="A981" s="2">
        <v>45225</v>
      </c>
      <c r="B981" s="1">
        <v>0.77986111111111112</v>
      </c>
      <c r="C981" t="s">
        <v>1613</v>
      </c>
      <c r="D981">
        <v>69</v>
      </c>
      <c r="E981" t="s">
        <v>1303</v>
      </c>
      <c r="F981" t="str">
        <f>_xlfn.XLOOKUP(Logs_Reseau6[[#This Row],[Cell_ID]],Registre[ID_Antenne],Registre[Province_RDC],"Non Trouvée")</f>
        <v>Non Trouvée</v>
      </c>
      <c r="G981" t="str">
        <f>_xlfn.XLOOKUP(Logs_Reseau6[[#This Row],[Province]],Clients_Churn[Province_Client],Clients_Churn[ID_Client],"Aucun")</f>
        <v>Aucun</v>
      </c>
      <c r="H981" t="str">
        <f>_xlfn.XLOOKUP(Logs_Reseau6[[#This Row],[Cell_ID]],Registre[ID_Antenne],Registre[Technologie],"Rien à signaler")</f>
        <v>Rien à signaler</v>
      </c>
      <c r="I981" t="str">
        <f>_xlfn.XLOOKUP(Logs_Reseau6[[#This Row],[Cell_ID]],Registre[ID_Antenne],Registre[Equipementier],"Non Trouvée")</f>
        <v>Non Trouvée</v>
      </c>
      <c r="J981" t="str">
        <f>_xlfn.XLOOKUP(Logs_Reseau6[[#This Row],[Id_Client]],Clients_Churn[ID_Client],Clients_Churn[Type_Forfait],"Pas d'information")</f>
        <v>Pas d'information</v>
      </c>
      <c r="K981" s="5" t="str">
        <f>IF(Logs_Reseau6[[#This Row],[Type_Forfait]]="Pro Monde","B2B","B2C")</f>
        <v>B2C</v>
      </c>
      <c r="L981" s="5" t="str">
        <f>_xlfn.XLOOKUP(Logs_Reseau6[[#This Row],[Id_Client]],Clients_Churn[ID_Client],Clients_Churn[Duree_Cumulee_Panne_Min],"Non Trouvée")</f>
        <v>Non Trouvée</v>
      </c>
      <c r="M981" s="5" t="str">
        <f>_xlfn.XLOOKUP(Logs_Reseau6[[#This Row],[Id_Client]],Clients_Churn[ID_Client],Clients_Churn[Anciennete_Mois],"Rien à signaler")</f>
        <v>Rien à signaler</v>
      </c>
      <c r="N981" s="5" t="e">
        <f>Logs_Reseau6[[#This Row],[Anciennette]]/24</f>
        <v>#VALUE!</v>
      </c>
      <c r="O981" s="5" t="e">
        <f>Logs_Reseau6[[#This Row],[Duree_Cumulée_Panne]]/1440</f>
        <v>#VALUE!</v>
      </c>
      <c r="P98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82" spans="1:16" x14ac:dyDescent="0.25">
      <c r="A982" s="2">
        <v>45210</v>
      </c>
      <c r="B982" s="1">
        <v>0.56805555555555554</v>
      </c>
      <c r="C982" t="s">
        <v>804</v>
      </c>
      <c r="D982">
        <v>96</v>
      </c>
      <c r="E982" t="s">
        <v>1300</v>
      </c>
      <c r="F982" t="str">
        <f>_xlfn.XLOOKUP(Logs_Reseau6[[#This Row],[Cell_ID]],Registre[ID_Antenne],Registre[Province_RDC],"Non Trouvée")</f>
        <v>Kinshasa</v>
      </c>
      <c r="G982" t="str">
        <f>_xlfn.XLOOKUP(Logs_Reseau6[[#This Row],[Province]],Clients_Churn[Province_Client],Clients_Churn[ID_Client],"Aucun")</f>
        <v>CLI-00184</v>
      </c>
      <c r="H982" t="str">
        <f>_xlfn.XLOOKUP(Logs_Reseau6[[#This Row],[Cell_ID]],Registre[ID_Antenne],Registre[Technologie],"Rien à signaler")</f>
        <v>5G</v>
      </c>
      <c r="I982" t="str">
        <f>_xlfn.XLOOKUP(Logs_Reseau6[[#This Row],[Cell_ID]],Registre[ID_Antenne],Registre[Equipementier],"Non Trouvée")</f>
        <v>ZTE</v>
      </c>
      <c r="J982" t="str">
        <f>_xlfn.XLOOKUP(Logs_Reseau6[[#This Row],[Id_Client]],Clients_Churn[ID_Client],Clients_Churn[Type_Forfait],"Pas d'information")</f>
        <v>Premium 5G 150Go</v>
      </c>
      <c r="K982" s="5" t="str">
        <f>IF(Logs_Reseau6[[#This Row],[Type_Forfait]]="Pro Monde","B2B","B2C")</f>
        <v>B2C</v>
      </c>
      <c r="L982" s="5">
        <f>_xlfn.XLOOKUP(Logs_Reseau6[[#This Row],[Id_Client]],Clients_Churn[ID_Client],Clients_Churn[Duree_Cumulee_Panne_Min],"Non Trouvée")</f>
        <v>191</v>
      </c>
      <c r="M982" s="5">
        <f>_xlfn.XLOOKUP(Logs_Reseau6[[#This Row],[Id_Client]],Clients_Churn[ID_Client],Clients_Churn[Anciennete_Mois],"Rien à signaler")</f>
        <v>71</v>
      </c>
      <c r="N982" s="11">
        <f>Logs_Reseau6[[#This Row],[Anciennette]]/24</f>
        <v>2.9583333333333335</v>
      </c>
      <c r="O982" s="1">
        <f>Logs_Reseau6[[#This Row],[Duree_Cumulée_Panne]]/1440</f>
        <v>0.13263888888888889</v>
      </c>
      <c r="P98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83" spans="1:16" x14ac:dyDescent="0.25">
      <c r="A983" s="2">
        <v>45214</v>
      </c>
      <c r="B983" s="1">
        <v>0.68402777777777779</v>
      </c>
      <c r="C983" t="s">
        <v>815</v>
      </c>
      <c r="D983">
        <v>119</v>
      </c>
      <c r="E983" t="s">
        <v>1305</v>
      </c>
      <c r="F983" t="str">
        <f>_xlfn.XLOOKUP(Logs_Reseau6[[#This Row],[Cell_ID]],Registre[ID_Antenne],Registre[Province_RDC],"Non Trouvée")</f>
        <v>Lomami</v>
      </c>
      <c r="G983" t="str">
        <f>_xlfn.XLOOKUP(Logs_Reseau6[[#This Row],[Province]],Clients_Churn[Province_Client],Clients_Churn[ID_Client],"Aucun")</f>
        <v>CLI-00044</v>
      </c>
      <c r="H983" t="str">
        <f>_xlfn.XLOOKUP(Logs_Reseau6[[#This Row],[Cell_ID]],Registre[ID_Antenne],Registre[Technologie],"Rien à signaler")</f>
        <v>5G</v>
      </c>
      <c r="I983" t="str">
        <f>_xlfn.XLOOKUP(Logs_Reseau6[[#This Row],[Cell_ID]],Registre[ID_Antenne],Registre[Equipementier],"Non Trouvée")</f>
        <v>ZTE</v>
      </c>
      <c r="J983" t="str">
        <f>_xlfn.XLOOKUP(Logs_Reseau6[[#This Row],[Id_Client]],Clients_Churn[ID_Client],Clients_Churn[Type_Forfait],"Pas d'information")</f>
        <v>Illimité 50Go</v>
      </c>
      <c r="K983" s="5" t="str">
        <f>IF(Logs_Reseau6[[#This Row],[Type_Forfait]]="Pro Monde","B2B","B2C")</f>
        <v>B2C</v>
      </c>
      <c r="L983" s="5">
        <f>_xlfn.XLOOKUP(Logs_Reseau6[[#This Row],[Id_Client]],Clients_Churn[ID_Client],Clients_Churn[Duree_Cumulee_Panne_Min],"Non Trouvée")</f>
        <v>345</v>
      </c>
      <c r="M983" s="5">
        <f>_xlfn.XLOOKUP(Logs_Reseau6[[#This Row],[Id_Client]],Clients_Churn[ID_Client],Clients_Churn[Anciennete_Mois],"Rien à signaler")</f>
        <v>53</v>
      </c>
      <c r="N983" s="11">
        <f>Logs_Reseau6[[#This Row],[Anciennette]]/24</f>
        <v>2.2083333333333335</v>
      </c>
      <c r="O983" s="1">
        <f>Logs_Reseau6[[#This Row],[Duree_Cumulée_Panne]]/1440</f>
        <v>0.23958333333333334</v>
      </c>
      <c r="P98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84" spans="1:16" x14ac:dyDescent="0.25">
      <c r="A984" s="2">
        <v>45229</v>
      </c>
      <c r="B984" s="1">
        <v>0.73819444444444449</v>
      </c>
      <c r="C984" t="s">
        <v>815</v>
      </c>
      <c r="D984">
        <v>36</v>
      </c>
      <c r="E984" t="s">
        <v>1303</v>
      </c>
      <c r="F984" t="str">
        <f>_xlfn.XLOOKUP(Logs_Reseau6[[#This Row],[Cell_ID]],Registre[ID_Antenne],Registre[Province_RDC],"Non Trouvée")</f>
        <v>Lomami</v>
      </c>
      <c r="G984" t="str">
        <f>_xlfn.XLOOKUP(Logs_Reseau6[[#This Row],[Province]],Clients_Churn[Province_Client],Clients_Churn[ID_Client],"Aucun")</f>
        <v>CLI-00044</v>
      </c>
      <c r="H984" t="str">
        <f>_xlfn.XLOOKUP(Logs_Reseau6[[#This Row],[Cell_ID]],Registre[ID_Antenne],Registre[Technologie],"Rien à signaler")</f>
        <v>5G</v>
      </c>
      <c r="I984" t="str">
        <f>_xlfn.XLOOKUP(Logs_Reseau6[[#This Row],[Cell_ID]],Registre[ID_Antenne],Registre[Equipementier],"Non Trouvée")</f>
        <v>ZTE</v>
      </c>
      <c r="J984" t="str">
        <f>_xlfn.XLOOKUP(Logs_Reseau6[[#This Row],[Id_Client]],Clients_Churn[ID_Client],Clients_Churn[Type_Forfait],"Pas d'information")</f>
        <v>Illimité 50Go</v>
      </c>
      <c r="K984" s="5" t="str">
        <f>IF(Logs_Reseau6[[#This Row],[Type_Forfait]]="Pro Monde","B2B","B2C")</f>
        <v>B2C</v>
      </c>
      <c r="L984" s="5">
        <f>_xlfn.XLOOKUP(Logs_Reseau6[[#This Row],[Id_Client]],Clients_Churn[ID_Client],Clients_Churn[Duree_Cumulee_Panne_Min],"Non Trouvée")</f>
        <v>345</v>
      </c>
      <c r="M984" s="5">
        <f>_xlfn.XLOOKUP(Logs_Reseau6[[#This Row],[Id_Client]],Clients_Churn[ID_Client],Clients_Churn[Anciennete_Mois],"Rien à signaler")</f>
        <v>53</v>
      </c>
      <c r="N984" s="11">
        <f>Logs_Reseau6[[#This Row],[Anciennette]]/24</f>
        <v>2.2083333333333335</v>
      </c>
      <c r="O984" s="1">
        <f>Logs_Reseau6[[#This Row],[Duree_Cumulée_Panne]]/1440</f>
        <v>0.23958333333333334</v>
      </c>
      <c r="P98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85" spans="1:16" x14ac:dyDescent="0.25">
      <c r="A985" s="2">
        <v>45216</v>
      </c>
      <c r="B985" s="1">
        <v>0.46041666666666664</v>
      </c>
      <c r="C985" t="s">
        <v>1004</v>
      </c>
      <c r="D985">
        <v>36</v>
      </c>
      <c r="E985" t="s">
        <v>1305</v>
      </c>
      <c r="F985" t="str">
        <f>_xlfn.XLOOKUP(Logs_Reseau6[[#This Row],[Cell_ID]],Registre[ID_Antenne],Registre[Province_RDC],"Non Trouvée")</f>
        <v>Nord-Kivu</v>
      </c>
      <c r="G985" t="str">
        <f>_xlfn.XLOOKUP(Logs_Reseau6[[#This Row],[Province]],Clients_Churn[Province_Client],Clients_Churn[ID_Client],"Aucun")</f>
        <v>CLI-00043</v>
      </c>
      <c r="H985" t="str">
        <f>_xlfn.XLOOKUP(Logs_Reseau6[[#This Row],[Cell_ID]],Registre[ID_Antenne],Registre[Technologie],"Rien à signaler")</f>
        <v>4G</v>
      </c>
      <c r="I985" t="str">
        <f>_xlfn.XLOOKUP(Logs_Reseau6[[#This Row],[Cell_ID]],Registre[ID_Antenne],Registre[Equipementier],"Non Trouvée")</f>
        <v>Huawei</v>
      </c>
      <c r="J985" t="str">
        <f>_xlfn.XLOOKUP(Logs_Reseau6[[#This Row],[Id_Client]],Clients_Churn[ID_Client],Clients_Churn[Type_Forfait],"Pas d'information")</f>
        <v>Pro Monde</v>
      </c>
      <c r="K985" s="5" t="str">
        <f>IF(Logs_Reseau6[[#This Row],[Type_Forfait]]="Pro Monde","B2B","B2C")</f>
        <v>B2B</v>
      </c>
      <c r="L985" s="5">
        <f>_xlfn.XLOOKUP(Logs_Reseau6[[#This Row],[Id_Client]],Clients_Churn[ID_Client],Clients_Churn[Duree_Cumulee_Panne_Min],"Non Trouvée")</f>
        <v>132</v>
      </c>
      <c r="M985" s="5">
        <f>_xlfn.XLOOKUP(Logs_Reseau6[[#This Row],[Id_Client]],Clients_Churn[ID_Client],Clients_Churn[Anciennete_Mois],"Rien à signaler")</f>
        <v>118</v>
      </c>
      <c r="N985" s="11">
        <f>Logs_Reseau6[[#This Row],[Anciennette]]/24</f>
        <v>4.916666666666667</v>
      </c>
      <c r="O985" s="1">
        <f>Logs_Reseau6[[#This Row],[Duree_Cumulée_Panne]]/1440</f>
        <v>9.166666666666666E-2</v>
      </c>
      <c r="P98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86" spans="1:16" hidden="1" x14ac:dyDescent="0.25">
      <c r="A986" s="2">
        <v>45209</v>
      </c>
      <c r="B986" s="1">
        <v>0.67986111111111114</v>
      </c>
      <c r="C986" t="s">
        <v>1353</v>
      </c>
      <c r="D986">
        <v>115</v>
      </c>
      <c r="E986" t="s">
        <v>1305</v>
      </c>
      <c r="F986" t="str">
        <f>_xlfn.XLOOKUP(Logs_Reseau6[[#This Row],[Cell_ID]],Registre[ID_Antenne],Registre[Province_RDC],"Non Trouvée")</f>
        <v>Non Trouvée</v>
      </c>
      <c r="G986" t="str">
        <f>_xlfn.XLOOKUP(Logs_Reseau6[[#This Row],[Province]],Clients_Churn[Province_Client],Clients_Churn[ID_Client],"Aucun")</f>
        <v>Aucun</v>
      </c>
      <c r="H986" t="str">
        <f>_xlfn.XLOOKUP(Logs_Reseau6[[#This Row],[Cell_ID]],Registre[ID_Antenne],Registre[Technologie],"Rien à signaler")</f>
        <v>Rien à signaler</v>
      </c>
      <c r="I986" t="str">
        <f>_xlfn.XLOOKUP(Logs_Reseau6[[#This Row],[Cell_ID]],Registre[ID_Antenne],Registre[Equipementier],"Non Trouvée")</f>
        <v>Non Trouvée</v>
      </c>
      <c r="J986" t="str">
        <f>_xlfn.XLOOKUP(Logs_Reseau6[[#This Row],[Id_Client]],Clients_Churn[ID_Client],Clients_Churn[Type_Forfait],"Pas d'information")</f>
        <v>Pas d'information</v>
      </c>
      <c r="K986" s="5" t="str">
        <f>IF(Logs_Reseau6[[#This Row],[Type_Forfait]]="Pro Monde","B2B","B2C")</f>
        <v>B2C</v>
      </c>
      <c r="L986" s="5" t="str">
        <f>_xlfn.XLOOKUP(Logs_Reseau6[[#This Row],[Id_Client]],Clients_Churn[ID_Client],Clients_Churn[Duree_Cumulee_Panne_Min],"Non Trouvée")</f>
        <v>Non Trouvée</v>
      </c>
      <c r="M986" s="5" t="str">
        <f>_xlfn.XLOOKUP(Logs_Reseau6[[#This Row],[Id_Client]],Clients_Churn[ID_Client],Clients_Churn[Anciennete_Mois],"Rien à signaler")</f>
        <v>Rien à signaler</v>
      </c>
      <c r="N986" s="5" t="e">
        <f>Logs_Reseau6[[#This Row],[Anciennette]]/24</f>
        <v>#VALUE!</v>
      </c>
      <c r="O986" s="5" t="e">
        <f>Logs_Reseau6[[#This Row],[Duree_Cumulée_Panne]]/1440</f>
        <v>#VALUE!</v>
      </c>
      <c r="P98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87" spans="1:16" hidden="1" x14ac:dyDescent="0.25">
      <c r="A987" s="2">
        <v>45228</v>
      </c>
      <c r="B987" s="1">
        <v>1.4583333333333334E-2</v>
      </c>
      <c r="C987" t="s">
        <v>1353</v>
      </c>
      <c r="D987">
        <v>98</v>
      </c>
      <c r="E987" t="s">
        <v>1300</v>
      </c>
      <c r="F987" t="str">
        <f>_xlfn.XLOOKUP(Logs_Reseau6[[#This Row],[Cell_ID]],Registre[ID_Antenne],Registre[Province_RDC],"Non Trouvée")</f>
        <v>Non Trouvée</v>
      </c>
      <c r="G987" t="str">
        <f>_xlfn.XLOOKUP(Logs_Reseau6[[#This Row],[Province]],Clients_Churn[Province_Client],Clients_Churn[ID_Client],"Aucun")</f>
        <v>Aucun</v>
      </c>
      <c r="H987" t="str">
        <f>_xlfn.XLOOKUP(Logs_Reseau6[[#This Row],[Cell_ID]],Registre[ID_Antenne],Registre[Technologie],"Rien à signaler")</f>
        <v>Rien à signaler</v>
      </c>
      <c r="I987" t="str">
        <f>_xlfn.XLOOKUP(Logs_Reseau6[[#This Row],[Cell_ID]],Registre[ID_Antenne],Registre[Equipementier],"Non Trouvée")</f>
        <v>Non Trouvée</v>
      </c>
      <c r="J987" t="str">
        <f>_xlfn.XLOOKUP(Logs_Reseau6[[#This Row],[Id_Client]],Clients_Churn[ID_Client],Clients_Churn[Type_Forfait],"Pas d'information")</f>
        <v>Pas d'information</v>
      </c>
      <c r="K987" s="5" t="str">
        <f>IF(Logs_Reseau6[[#This Row],[Type_Forfait]]="Pro Monde","B2B","B2C")</f>
        <v>B2C</v>
      </c>
      <c r="L987" s="5" t="str">
        <f>_xlfn.XLOOKUP(Logs_Reseau6[[#This Row],[Id_Client]],Clients_Churn[ID_Client],Clients_Churn[Duree_Cumulee_Panne_Min],"Non Trouvée")</f>
        <v>Non Trouvée</v>
      </c>
      <c r="M987" s="5" t="str">
        <f>_xlfn.XLOOKUP(Logs_Reseau6[[#This Row],[Id_Client]],Clients_Churn[ID_Client],Clients_Churn[Anciennete_Mois],"Rien à signaler")</f>
        <v>Rien à signaler</v>
      </c>
      <c r="N987" s="5" t="e">
        <f>Logs_Reseau6[[#This Row],[Anciennette]]/24</f>
        <v>#VALUE!</v>
      </c>
      <c r="O987" s="5" t="e">
        <f>Logs_Reseau6[[#This Row],[Duree_Cumulée_Panne]]/1440</f>
        <v>#VALUE!</v>
      </c>
      <c r="P98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88" spans="1:16" hidden="1" x14ac:dyDescent="0.25">
      <c r="A988" s="2">
        <v>45205</v>
      </c>
      <c r="B988" s="1">
        <v>0.33680555555555558</v>
      </c>
      <c r="C988" t="s">
        <v>1545</v>
      </c>
      <c r="D988">
        <v>119</v>
      </c>
      <c r="E988" t="s">
        <v>1305</v>
      </c>
      <c r="F988" t="str">
        <f>_xlfn.XLOOKUP(Logs_Reseau6[[#This Row],[Cell_ID]],Registre[ID_Antenne],Registre[Province_RDC],"Non Trouvée")</f>
        <v>Non Trouvée</v>
      </c>
      <c r="G988" t="str">
        <f>_xlfn.XLOOKUP(Logs_Reseau6[[#This Row],[Province]],Clients_Churn[Province_Client],Clients_Churn[ID_Client],"Aucun")</f>
        <v>Aucun</v>
      </c>
      <c r="H988" t="str">
        <f>_xlfn.XLOOKUP(Logs_Reseau6[[#This Row],[Cell_ID]],Registre[ID_Antenne],Registre[Technologie],"Rien à signaler")</f>
        <v>Rien à signaler</v>
      </c>
      <c r="I988" t="str">
        <f>_xlfn.XLOOKUP(Logs_Reseau6[[#This Row],[Cell_ID]],Registre[ID_Antenne],Registre[Equipementier],"Non Trouvée")</f>
        <v>Non Trouvée</v>
      </c>
      <c r="J988" t="str">
        <f>_xlfn.XLOOKUP(Logs_Reseau6[[#This Row],[Id_Client]],Clients_Churn[ID_Client],Clients_Churn[Type_Forfait],"Pas d'information")</f>
        <v>Pas d'information</v>
      </c>
      <c r="K988" s="5" t="str">
        <f>IF(Logs_Reseau6[[#This Row],[Type_Forfait]]="Pro Monde","B2B","B2C")</f>
        <v>B2C</v>
      </c>
      <c r="L988" s="5" t="str">
        <f>_xlfn.XLOOKUP(Logs_Reseau6[[#This Row],[Id_Client]],Clients_Churn[ID_Client],Clients_Churn[Duree_Cumulee_Panne_Min],"Non Trouvée")</f>
        <v>Non Trouvée</v>
      </c>
      <c r="M988" s="5" t="str">
        <f>_xlfn.XLOOKUP(Logs_Reseau6[[#This Row],[Id_Client]],Clients_Churn[ID_Client],Clients_Churn[Anciennete_Mois],"Rien à signaler")</f>
        <v>Rien à signaler</v>
      </c>
      <c r="N988" s="5" t="e">
        <f>Logs_Reseau6[[#This Row],[Anciennette]]/24</f>
        <v>#VALUE!</v>
      </c>
      <c r="O988" s="5" t="e">
        <f>Logs_Reseau6[[#This Row],[Duree_Cumulée_Panne]]/1440</f>
        <v>#VALUE!</v>
      </c>
      <c r="P98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89" spans="1:16" x14ac:dyDescent="0.25">
      <c r="A989" s="2">
        <v>45203</v>
      </c>
      <c r="B989" s="1">
        <v>0.65208333333333335</v>
      </c>
      <c r="C989" t="s">
        <v>1119</v>
      </c>
      <c r="D989">
        <v>65</v>
      </c>
      <c r="E989" t="s">
        <v>1305</v>
      </c>
      <c r="F989" t="str">
        <f>_xlfn.XLOOKUP(Logs_Reseau6[[#This Row],[Cell_ID]],Registre[ID_Antenne],Registre[Province_RDC],"Non Trouvée")</f>
        <v>Haut-Katanga</v>
      </c>
      <c r="G989" t="str">
        <f>_xlfn.XLOOKUP(Logs_Reseau6[[#This Row],[Province]],Clients_Churn[Province_Client],Clients_Churn[ID_Client],"Aucun")</f>
        <v>CLI-00059</v>
      </c>
      <c r="H989" t="str">
        <f>_xlfn.XLOOKUP(Logs_Reseau6[[#This Row],[Cell_ID]],Registre[ID_Antenne],Registre[Technologie],"Rien à signaler")</f>
        <v>5G</v>
      </c>
      <c r="I989" t="str">
        <f>_xlfn.XLOOKUP(Logs_Reseau6[[#This Row],[Cell_ID]],Registre[ID_Antenne],Registre[Equipementier],"Non Trouvée")</f>
        <v>Huawei</v>
      </c>
      <c r="J989" t="str">
        <f>_xlfn.XLOOKUP(Logs_Reseau6[[#This Row],[Id_Client]],Clients_Churn[ID_Client],Clients_Churn[Type_Forfait],"Pas d'information")</f>
        <v>Pro Monde</v>
      </c>
      <c r="K989" s="5" t="str">
        <f>IF(Logs_Reseau6[[#This Row],[Type_Forfait]]="Pro Monde","B2B","B2C")</f>
        <v>B2B</v>
      </c>
      <c r="L989" s="5">
        <f>_xlfn.XLOOKUP(Logs_Reseau6[[#This Row],[Id_Client]],Clients_Churn[ID_Client],Clients_Churn[Duree_Cumulee_Panne_Min],"Non Trouvée")</f>
        <v>76</v>
      </c>
      <c r="M989" s="5">
        <f>_xlfn.XLOOKUP(Logs_Reseau6[[#This Row],[Id_Client]],Clients_Churn[ID_Client],Clients_Churn[Anciennete_Mois],"Rien à signaler")</f>
        <v>69</v>
      </c>
      <c r="N989" s="11">
        <f>Logs_Reseau6[[#This Row],[Anciennette]]/24</f>
        <v>2.875</v>
      </c>
      <c r="O989" s="1">
        <f>Logs_Reseau6[[#This Row],[Duree_Cumulée_Panne]]/1440</f>
        <v>5.2777777777777778E-2</v>
      </c>
      <c r="P98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90" spans="1:16" x14ac:dyDescent="0.25">
      <c r="A990" s="2">
        <v>45207</v>
      </c>
      <c r="B990" s="1">
        <v>0.9555555555555556</v>
      </c>
      <c r="C990" t="s">
        <v>1119</v>
      </c>
      <c r="D990">
        <v>73</v>
      </c>
      <c r="E990" t="s">
        <v>1303</v>
      </c>
      <c r="F990" t="str">
        <f>_xlfn.XLOOKUP(Logs_Reseau6[[#This Row],[Cell_ID]],Registre[ID_Antenne],Registre[Province_RDC],"Non Trouvée")</f>
        <v>Haut-Katanga</v>
      </c>
      <c r="G990" t="str">
        <f>_xlfn.XLOOKUP(Logs_Reseau6[[#This Row],[Province]],Clients_Churn[Province_Client],Clients_Churn[ID_Client],"Aucun")</f>
        <v>CLI-00059</v>
      </c>
      <c r="H990" t="str">
        <f>_xlfn.XLOOKUP(Logs_Reseau6[[#This Row],[Cell_ID]],Registre[ID_Antenne],Registre[Technologie],"Rien à signaler")</f>
        <v>5G</v>
      </c>
      <c r="I990" t="str">
        <f>_xlfn.XLOOKUP(Logs_Reseau6[[#This Row],[Cell_ID]],Registre[ID_Antenne],Registre[Equipementier],"Non Trouvée")</f>
        <v>Huawei</v>
      </c>
      <c r="J990" t="str">
        <f>_xlfn.XLOOKUP(Logs_Reseau6[[#This Row],[Id_Client]],Clients_Churn[ID_Client],Clients_Churn[Type_Forfait],"Pas d'information")</f>
        <v>Pro Monde</v>
      </c>
      <c r="K990" s="5" t="str">
        <f>IF(Logs_Reseau6[[#This Row],[Type_Forfait]]="Pro Monde","B2B","B2C")</f>
        <v>B2B</v>
      </c>
      <c r="L990" s="5">
        <f>_xlfn.XLOOKUP(Logs_Reseau6[[#This Row],[Id_Client]],Clients_Churn[ID_Client],Clients_Churn[Duree_Cumulee_Panne_Min],"Non Trouvée")</f>
        <v>76</v>
      </c>
      <c r="M990" s="5">
        <f>_xlfn.XLOOKUP(Logs_Reseau6[[#This Row],[Id_Client]],Clients_Churn[ID_Client],Clients_Churn[Anciennete_Mois],"Rien à signaler")</f>
        <v>69</v>
      </c>
      <c r="N990" s="11">
        <f>Logs_Reseau6[[#This Row],[Anciennette]]/24</f>
        <v>2.875</v>
      </c>
      <c r="O990" s="1">
        <f>Logs_Reseau6[[#This Row],[Duree_Cumulée_Panne]]/1440</f>
        <v>5.2777777777777778E-2</v>
      </c>
      <c r="P99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91" spans="1:16" hidden="1" x14ac:dyDescent="0.25">
      <c r="A991" s="2">
        <v>45209</v>
      </c>
      <c r="B991" s="1">
        <v>1.6666666666666666E-2</v>
      </c>
      <c r="C991" t="s">
        <v>1598</v>
      </c>
      <c r="D991">
        <v>43</v>
      </c>
      <c r="E991" t="s">
        <v>1300</v>
      </c>
      <c r="F991" t="str">
        <f>_xlfn.XLOOKUP(Logs_Reseau6[[#This Row],[Cell_ID]],Registre[ID_Antenne],Registre[Province_RDC],"Non Trouvée")</f>
        <v>Non Trouvée</v>
      </c>
      <c r="G991" t="str">
        <f>_xlfn.XLOOKUP(Logs_Reseau6[[#This Row],[Province]],Clients_Churn[Province_Client],Clients_Churn[ID_Client],"Aucun")</f>
        <v>Aucun</v>
      </c>
      <c r="H991" t="str">
        <f>_xlfn.XLOOKUP(Logs_Reseau6[[#This Row],[Cell_ID]],Registre[ID_Antenne],Registre[Technologie],"Rien à signaler")</f>
        <v>Rien à signaler</v>
      </c>
      <c r="I991" t="str">
        <f>_xlfn.XLOOKUP(Logs_Reseau6[[#This Row],[Cell_ID]],Registre[ID_Antenne],Registre[Equipementier],"Non Trouvée")</f>
        <v>Non Trouvée</v>
      </c>
      <c r="J991" t="str">
        <f>_xlfn.XLOOKUP(Logs_Reseau6[[#This Row],[Id_Client]],Clients_Churn[ID_Client],Clients_Churn[Type_Forfait],"Pas d'information")</f>
        <v>Pas d'information</v>
      </c>
      <c r="K991" s="5" t="str">
        <f>IF(Logs_Reseau6[[#This Row],[Type_Forfait]]="Pro Monde","B2B","B2C")</f>
        <v>B2C</v>
      </c>
      <c r="L991" s="5" t="str">
        <f>_xlfn.XLOOKUP(Logs_Reseau6[[#This Row],[Id_Client]],Clients_Churn[ID_Client],Clients_Churn[Duree_Cumulee_Panne_Min],"Non Trouvée")</f>
        <v>Non Trouvée</v>
      </c>
      <c r="M991" s="5" t="str">
        <f>_xlfn.XLOOKUP(Logs_Reseau6[[#This Row],[Id_Client]],Clients_Churn[ID_Client],Clients_Churn[Anciennete_Mois],"Rien à signaler")</f>
        <v>Rien à signaler</v>
      </c>
      <c r="N991" s="5" t="e">
        <f>Logs_Reseau6[[#This Row],[Anciennette]]/24</f>
        <v>#VALUE!</v>
      </c>
      <c r="O991" s="5" t="e">
        <f>Logs_Reseau6[[#This Row],[Duree_Cumulée_Panne]]/1440</f>
        <v>#VALUE!</v>
      </c>
      <c r="P99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92" spans="1:16" x14ac:dyDescent="0.25">
      <c r="A992" s="2">
        <v>45221</v>
      </c>
      <c r="B992" s="1">
        <v>0.38819444444444445</v>
      </c>
      <c r="C992" t="s">
        <v>1086</v>
      </c>
      <c r="D992">
        <v>64</v>
      </c>
      <c r="E992" t="s">
        <v>1303</v>
      </c>
      <c r="F992" t="str">
        <f>_xlfn.XLOOKUP(Logs_Reseau6[[#This Row],[Cell_ID]],Registre[ID_Antenne],Registre[Province_RDC],"Non Trouvée")</f>
        <v>Tshopo</v>
      </c>
      <c r="G992" t="str">
        <f>_xlfn.XLOOKUP(Logs_Reseau6[[#This Row],[Province]],Clients_Churn[Province_Client],Clients_Churn[ID_Client],"Aucun")</f>
        <v>CLI-00100</v>
      </c>
      <c r="H992" t="str">
        <f>_xlfn.XLOOKUP(Logs_Reseau6[[#This Row],[Cell_ID]],Registre[ID_Antenne],Registre[Technologie],"Rien à signaler")</f>
        <v>4G</v>
      </c>
      <c r="I992" t="str">
        <f>_xlfn.XLOOKUP(Logs_Reseau6[[#This Row],[Cell_ID]],Registre[ID_Antenne],Registre[Equipementier],"Non Trouvée")</f>
        <v>ZTE</v>
      </c>
      <c r="J992" t="str">
        <f>_xlfn.XLOOKUP(Logs_Reseau6[[#This Row],[Id_Client]],Clients_Churn[ID_Client],Clients_Churn[Type_Forfait],"Pas d'information")</f>
        <v>Bloqué 5Go</v>
      </c>
      <c r="K992" s="5" t="str">
        <f>IF(Logs_Reseau6[[#This Row],[Type_Forfait]]="Pro Monde","B2B","B2C")</f>
        <v>B2C</v>
      </c>
      <c r="L992" s="5">
        <f>_xlfn.XLOOKUP(Logs_Reseau6[[#This Row],[Id_Client]],Clients_Churn[ID_Client],Clients_Churn[Duree_Cumulee_Panne_Min],"Non Trouvée")</f>
        <v>388</v>
      </c>
      <c r="M992" s="5">
        <f>_xlfn.XLOOKUP(Logs_Reseau6[[#This Row],[Id_Client]],Clients_Churn[ID_Client],Clients_Churn[Anciennete_Mois],"Rien à signaler")</f>
        <v>74</v>
      </c>
      <c r="N992" s="11">
        <f>Logs_Reseau6[[#This Row],[Anciennette]]/24</f>
        <v>3.0833333333333335</v>
      </c>
      <c r="O992" s="1">
        <f>Logs_Reseau6[[#This Row],[Duree_Cumulée_Panne]]/1440</f>
        <v>0.26944444444444443</v>
      </c>
      <c r="P99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993" spans="1:16" hidden="1" x14ac:dyDescent="0.25">
      <c r="A993" s="2">
        <v>45213</v>
      </c>
      <c r="B993" s="1">
        <v>0.57777777777777772</v>
      </c>
      <c r="C993" t="s">
        <v>1469</v>
      </c>
      <c r="D993">
        <v>93</v>
      </c>
      <c r="E993" t="s">
        <v>1303</v>
      </c>
      <c r="F993" t="str">
        <f>_xlfn.XLOOKUP(Logs_Reseau6[[#This Row],[Cell_ID]],Registre[ID_Antenne],Registre[Province_RDC],"Non Trouvée")</f>
        <v>Non Trouvée</v>
      </c>
      <c r="G993" t="str">
        <f>_xlfn.XLOOKUP(Logs_Reseau6[[#This Row],[Province]],Clients_Churn[Province_Client],Clients_Churn[ID_Client],"Aucun")</f>
        <v>Aucun</v>
      </c>
      <c r="H993" t="str">
        <f>_xlfn.XLOOKUP(Logs_Reseau6[[#This Row],[Cell_ID]],Registre[ID_Antenne],Registre[Technologie],"Rien à signaler")</f>
        <v>Rien à signaler</v>
      </c>
      <c r="I993" t="str">
        <f>_xlfn.XLOOKUP(Logs_Reseau6[[#This Row],[Cell_ID]],Registre[ID_Antenne],Registre[Equipementier],"Non Trouvée")</f>
        <v>Non Trouvée</v>
      </c>
      <c r="J993" t="str">
        <f>_xlfn.XLOOKUP(Logs_Reseau6[[#This Row],[Id_Client]],Clients_Churn[ID_Client],Clients_Churn[Type_Forfait],"Pas d'information")</f>
        <v>Pas d'information</v>
      </c>
      <c r="K993" s="5" t="str">
        <f>IF(Logs_Reseau6[[#This Row],[Type_Forfait]]="Pro Monde","B2B","B2C")</f>
        <v>B2C</v>
      </c>
      <c r="L993" s="5" t="str">
        <f>_xlfn.XLOOKUP(Logs_Reseau6[[#This Row],[Id_Client]],Clients_Churn[ID_Client],Clients_Churn[Duree_Cumulee_Panne_Min],"Non Trouvée")</f>
        <v>Non Trouvée</v>
      </c>
      <c r="M993" s="5" t="str">
        <f>_xlfn.XLOOKUP(Logs_Reseau6[[#This Row],[Id_Client]],Clients_Churn[ID_Client],Clients_Churn[Anciennete_Mois],"Rien à signaler")</f>
        <v>Rien à signaler</v>
      </c>
      <c r="N993" s="5" t="e">
        <f>Logs_Reseau6[[#This Row],[Anciennette]]/24</f>
        <v>#VALUE!</v>
      </c>
      <c r="O993" s="5" t="e">
        <f>Logs_Reseau6[[#This Row],[Duree_Cumulée_Panne]]/1440</f>
        <v>#VALUE!</v>
      </c>
      <c r="P99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94" spans="1:16" x14ac:dyDescent="0.25">
      <c r="A994" s="2">
        <v>45205</v>
      </c>
      <c r="B994" s="1">
        <v>0.8305555555555556</v>
      </c>
      <c r="C994" t="s">
        <v>1242</v>
      </c>
      <c r="D994">
        <v>52</v>
      </c>
      <c r="E994" t="s">
        <v>1300</v>
      </c>
      <c r="F994" t="str">
        <f>_xlfn.XLOOKUP(Logs_Reseau6[[#This Row],[Cell_ID]],Registre[ID_Antenne],Registre[Province_RDC],"Non Trouvée")</f>
        <v>Haut-Uele</v>
      </c>
      <c r="G994" t="str">
        <f>_xlfn.XLOOKUP(Logs_Reseau6[[#This Row],[Province]],Clients_Churn[Province_Client],Clients_Churn[ID_Client],"Aucun")</f>
        <v>CLI-00055</v>
      </c>
      <c r="H994" t="str">
        <f>_xlfn.XLOOKUP(Logs_Reseau6[[#This Row],[Cell_ID]],Registre[ID_Antenne],Registre[Technologie],"Rien à signaler")</f>
        <v>3G</v>
      </c>
      <c r="I994" t="str">
        <f>_xlfn.XLOOKUP(Logs_Reseau6[[#This Row],[Cell_ID]],Registre[ID_Antenne],Registre[Equipementier],"Non Trouvée")</f>
        <v>Nokia</v>
      </c>
      <c r="J994" t="str">
        <f>_xlfn.XLOOKUP(Logs_Reseau6[[#This Row],[Id_Client]],Clients_Churn[ID_Client],Clients_Churn[Type_Forfait],"Pas d'information")</f>
        <v>Pro Monde</v>
      </c>
      <c r="K994" s="5" t="str">
        <f>IF(Logs_Reseau6[[#This Row],[Type_Forfait]]="Pro Monde","B2B","B2C")</f>
        <v>B2B</v>
      </c>
      <c r="L994" s="5">
        <f>_xlfn.XLOOKUP(Logs_Reseau6[[#This Row],[Id_Client]],Clients_Churn[ID_Client],Clients_Churn[Duree_Cumulee_Panne_Min],"Non Trouvée")</f>
        <v>206</v>
      </c>
      <c r="M994" s="5">
        <f>_xlfn.XLOOKUP(Logs_Reseau6[[#This Row],[Id_Client]],Clients_Churn[ID_Client],Clients_Churn[Anciennete_Mois],"Rien à signaler")</f>
        <v>6</v>
      </c>
      <c r="N994" s="11">
        <f>Logs_Reseau6[[#This Row],[Anciennette]]/24</f>
        <v>0.25</v>
      </c>
      <c r="O994" s="1">
        <f>Logs_Reseau6[[#This Row],[Duree_Cumulée_Panne]]/1440</f>
        <v>0.14305555555555555</v>
      </c>
      <c r="P99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995" spans="1:16" x14ac:dyDescent="0.25">
      <c r="A995" s="2">
        <v>45214</v>
      </c>
      <c r="B995" s="1">
        <v>0.77430555555555558</v>
      </c>
      <c r="C995" t="s">
        <v>1012</v>
      </c>
      <c r="D995">
        <v>118</v>
      </c>
      <c r="E995" t="s">
        <v>1300</v>
      </c>
      <c r="F995" t="str">
        <f>_xlfn.XLOOKUP(Logs_Reseau6[[#This Row],[Cell_ID]],Registre[ID_Antenne],Registre[Province_RDC],"Non Trouvée")</f>
        <v>Sud-Ubangi</v>
      </c>
      <c r="G995" t="str">
        <f>_xlfn.XLOOKUP(Logs_Reseau6[[#This Row],[Province]],Clients_Churn[Province_Client],Clients_Churn[ID_Client],"Aucun")</f>
        <v>CLI-00070</v>
      </c>
      <c r="H995" t="str">
        <f>_xlfn.XLOOKUP(Logs_Reseau6[[#This Row],[Cell_ID]],Registre[ID_Antenne],Registre[Technologie],"Rien à signaler")</f>
        <v>4G</v>
      </c>
      <c r="I995" t="str">
        <f>_xlfn.XLOOKUP(Logs_Reseau6[[#This Row],[Cell_ID]],Registre[ID_Antenne],Registre[Equipementier],"Non Trouvée")</f>
        <v>Huawei</v>
      </c>
      <c r="J995" t="str">
        <f>_xlfn.XLOOKUP(Logs_Reseau6[[#This Row],[Id_Client]],Clients_Churn[ID_Client],Clients_Churn[Type_Forfait],"Pas d'information")</f>
        <v>Illimité 50Go</v>
      </c>
      <c r="K995" s="5" t="str">
        <f>IF(Logs_Reseau6[[#This Row],[Type_Forfait]]="Pro Monde","B2B","B2C")</f>
        <v>B2C</v>
      </c>
      <c r="L995" s="5">
        <f>_xlfn.XLOOKUP(Logs_Reseau6[[#This Row],[Id_Client]],Clients_Churn[ID_Client],Clients_Churn[Duree_Cumulee_Panne_Min],"Non Trouvée")</f>
        <v>119</v>
      </c>
      <c r="M995" s="5">
        <f>_xlfn.XLOOKUP(Logs_Reseau6[[#This Row],[Id_Client]],Clients_Churn[ID_Client],Clients_Churn[Anciennete_Mois],"Rien à signaler")</f>
        <v>52</v>
      </c>
      <c r="N995" s="11">
        <f>Logs_Reseau6[[#This Row],[Anciennette]]/24</f>
        <v>2.1666666666666665</v>
      </c>
      <c r="O995" s="1">
        <f>Logs_Reseau6[[#This Row],[Duree_Cumulée_Panne]]/1440</f>
        <v>8.2638888888888887E-2</v>
      </c>
      <c r="P99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96" spans="1:16" x14ac:dyDescent="0.25">
      <c r="A996" s="2">
        <v>45216</v>
      </c>
      <c r="B996" s="1">
        <v>0.76458333333333328</v>
      </c>
      <c r="C996" t="s">
        <v>1012</v>
      </c>
      <c r="D996">
        <v>53</v>
      </c>
      <c r="E996" t="s">
        <v>1303</v>
      </c>
      <c r="F996" t="str">
        <f>_xlfn.XLOOKUP(Logs_Reseau6[[#This Row],[Cell_ID]],Registre[ID_Antenne],Registre[Province_RDC],"Non Trouvée")</f>
        <v>Sud-Ubangi</v>
      </c>
      <c r="G996" t="str">
        <f>_xlfn.XLOOKUP(Logs_Reseau6[[#This Row],[Province]],Clients_Churn[Province_Client],Clients_Churn[ID_Client],"Aucun")</f>
        <v>CLI-00070</v>
      </c>
      <c r="H996" t="str">
        <f>_xlfn.XLOOKUP(Logs_Reseau6[[#This Row],[Cell_ID]],Registre[ID_Antenne],Registre[Technologie],"Rien à signaler")</f>
        <v>4G</v>
      </c>
      <c r="I996" t="str">
        <f>_xlfn.XLOOKUP(Logs_Reseau6[[#This Row],[Cell_ID]],Registre[ID_Antenne],Registre[Equipementier],"Non Trouvée")</f>
        <v>Huawei</v>
      </c>
      <c r="J996" t="str">
        <f>_xlfn.XLOOKUP(Logs_Reseau6[[#This Row],[Id_Client]],Clients_Churn[ID_Client],Clients_Churn[Type_Forfait],"Pas d'information")</f>
        <v>Illimité 50Go</v>
      </c>
      <c r="K996" s="5" t="str">
        <f>IF(Logs_Reseau6[[#This Row],[Type_Forfait]]="Pro Monde","B2B","B2C")</f>
        <v>B2C</v>
      </c>
      <c r="L996" s="5">
        <f>_xlfn.XLOOKUP(Logs_Reseau6[[#This Row],[Id_Client]],Clients_Churn[ID_Client],Clients_Churn[Duree_Cumulee_Panne_Min],"Non Trouvée")</f>
        <v>119</v>
      </c>
      <c r="M996" s="5">
        <f>_xlfn.XLOOKUP(Logs_Reseau6[[#This Row],[Id_Client]],Clients_Churn[ID_Client],Clients_Churn[Anciennete_Mois],"Rien à signaler")</f>
        <v>52</v>
      </c>
      <c r="N996" s="11">
        <f>Logs_Reseau6[[#This Row],[Anciennette]]/24</f>
        <v>2.1666666666666665</v>
      </c>
      <c r="O996" s="1">
        <f>Logs_Reseau6[[#This Row],[Duree_Cumulée_Panne]]/1440</f>
        <v>8.2638888888888887E-2</v>
      </c>
      <c r="P99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97" spans="1:16" x14ac:dyDescent="0.25">
      <c r="A997" s="2">
        <v>45227</v>
      </c>
      <c r="B997" s="1">
        <v>0.30902777777777779</v>
      </c>
      <c r="C997" t="s">
        <v>1012</v>
      </c>
      <c r="D997">
        <v>118</v>
      </c>
      <c r="E997" t="s">
        <v>1305</v>
      </c>
      <c r="F997" t="str">
        <f>_xlfn.XLOOKUP(Logs_Reseau6[[#This Row],[Cell_ID]],Registre[ID_Antenne],Registre[Province_RDC],"Non Trouvée")</f>
        <v>Sud-Ubangi</v>
      </c>
      <c r="G997" t="str">
        <f>_xlfn.XLOOKUP(Logs_Reseau6[[#This Row],[Province]],Clients_Churn[Province_Client],Clients_Churn[ID_Client],"Aucun")</f>
        <v>CLI-00070</v>
      </c>
      <c r="H997" t="str">
        <f>_xlfn.XLOOKUP(Logs_Reseau6[[#This Row],[Cell_ID]],Registre[ID_Antenne],Registre[Technologie],"Rien à signaler")</f>
        <v>4G</v>
      </c>
      <c r="I997" t="str">
        <f>_xlfn.XLOOKUP(Logs_Reseau6[[#This Row],[Cell_ID]],Registre[ID_Antenne],Registre[Equipementier],"Non Trouvée")</f>
        <v>Huawei</v>
      </c>
      <c r="J997" t="str">
        <f>_xlfn.XLOOKUP(Logs_Reseau6[[#This Row],[Id_Client]],Clients_Churn[ID_Client],Clients_Churn[Type_Forfait],"Pas d'information")</f>
        <v>Illimité 50Go</v>
      </c>
      <c r="K997" s="5" t="str">
        <f>IF(Logs_Reseau6[[#This Row],[Type_Forfait]]="Pro Monde","B2B","B2C")</f>
        <v>B2C</v>
      </c>
      <c r="L997" s="5">
        <f>_xlfn.XLOOKUP(Logs_Reseau6[[#This Row],[Id_Client]],Clients_Churn[ID_Client],Clients_Churn[Duree_Cumulee_Panne_Min],"Non Trouvée")</f>
        <v>119</v>
      </c>
      <c r="M997" s="5">
        <f>_xlfn.XLOOKUP(Logs_Reseau6[[#This Row],[Id_Client]],Clients_Churn[ID_Client],Clients_Churn[Anciennete_Mois],"Rien à signaler")</f>
        <v>52</v>
      </c>
      <c r="N997" s="11">
        <f>Logs_Reseau6[[#This Row],[Anciennette]]/24</f>
        <v>2.1666666666666665</v>
      </c>
      <c r="O997" s="1">
        <f>Logs_Reseau6[[#This Row],[Duree_Cumulée_Panne]]/1440</f>
        <v>8.2638888888888887E-2</v>
      </c>
      <c r="P99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998" spans="1:16" hidden="1" x14ac:dyDescent="0.25">
      <c r="A998" s="2">
        <v>45225</v>
      </c>
      <c r="B998" s="1">
        <v>0.6479166666666667</v>
      </c>
      <c r="C998" t="s">
        <v>1484</v>
      </c>
      <c r="D998">
        <v>49</v>
      </c>
      <c r="E998" t="s">
        <v>1300</v>
      </c>
      <c r="F998" t="str">
        <f>_xlfn.XLOOKUP(Logs_Reseau6[[#This Row],[Cell_ID]],Registre[ID_Antenne],Registre[Province_RDC],"Non Trouvée")</f>
        <v>Non Trouvée</v>
      </c>
      <c r="G998" t="str">
        <f>_xlfn.XLOOKUP(Logs_Reseau6[[#This Row],[Province]],Clients_Churn[Province_Client],Clients_Churn[ID_Client],"Aucun")</f>
        <v>Aucun</v>
      </c>
      <c r="H998" t="str">
        <f>_xlfn.XLOOKUP(Logs_Reseau6[[#This Row],[Cell_ID]],Registre[ID_Antenne],Registre[Technologie],"Rien à signaler")</f>
        <v>Rien à signaler</v>
      </c>
      <c r="I998" t="str">
        <f>_xlfn.XLOOKUP(Logs_Reseau6[[#This Row],[Cell_ID]],Registre[ID_Antenne],Registre[Equipementier],"Non Trouvée")</f>
        <v>Non Trouvée</v>
      </c>
      <c r="J998" t="str">
        <f>_xlfn.XLOOKUP(Logs_Reseau6[[#This Row],[Id_Client]],Clients_Churn[ID_Client],Clients_Churn[Type_Forfait],"Pas d'information")</f>
        <v>Pas d'information</v>
      </c>
      <c r="K998" s="5" t="str">
        <f>IF(Logs_Reseau6[[#This Row],[Type_Forfait]]="Pro Monde","B2B","B2C")</f>
        <v>B2C</v>
      </c>
      <c r="L998" s="5" t="str">
        <f>_xlfn.XLOOKUP(Logs_Reseau6[[#This Row],[Id_Client]],Clients_Churn[ID_Client],Clients_Churn[Duree_Cumulee_Panne_Min],"Non Trouvée")</f>
        <v>Non Trouvée</v>
      </c>
      <c r="M998" s="5" t="str">
        <f>_xlfn.XLOOKUP(Logs_Reseau6[[#This Row],[Id_Client]],Clients_Churn[ID_Client],Clients_Churn[Anciennete_Mois],"Rien à signaler")</f>
        <v>Rien à signaler</v>
      </c>
      <c r="N998" s="5" t="e">
        <f>Logs_Reseau6[[#This Row],[Anciennette]]/24</f>
        <v>#VALUE!</v>
      </c>
      <c r="O998" s="5" t="e">
        <f>Logs_Reseau6[[#This Row],[Duree_Cumulée_Panne]]/1440</f>
        <v>#VALUE!</v>
      </c>
      <c r="P99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999" spans="1:16" x14ac:dyDescent="0.25">
      <c r="A999" s="2">
        <v>45221</v>
      </c>
      <c r="B999" s="1">
        <v>0.8618055555555556</v>
      </c>
      <c r="C999" t="s">
        <v>871</v>
      </c>
      <c r="D999">
        <v>21</v>
      </c>
      <c r="E999" t="s">
        <v>1303</v>
      </c>
      <c r="F999" t="str">
        <f>_xlfn.XLOOKUP(Logs_Reseau6[[#This Row],[Cell_ID]],Registre[ID_Antenne],Registre[Province_RDC],"Non Trouvée")</f>
        <v>Tanganyika</v>
      </c>
      <c r="G999" t="str">
        <f>_xlfn.XLOOKUP(Logs_Reseau6[[#This Row],[Province]],Clients_Churn[Province_Client],Clients_Churn[ID_Client],"Aucun")</f>
        <v>CLI-00007</v>
      </c>
      <c r="H999" t="str">
        <f>_xlfn.XLOOKUP(Logs_Reseau6[[#This Row],[Cell_ID]],Registre[ID_Antenne],Registre[Technologie],"Rien à signaler")</f>
        <v>5G</v>
      </c>
      <c r="I999" t="str">
        <f>_xlfn.XLOOKUP(Logs_Reseau6[[#This Row],[Cell_ID]],Registre[ID_Antenne],Registre[Equipementier],"Non Trouvée")</f>
        <v>Ericsson</v>
      </c>
      <c r="J999" t="str">
        <f>_xlfn.XLOOKUP(Logs_Reseau6[[#This Row],[Id_Client]],Clients_Churn[ID_Client],Clients_Churn[Type_Forfait],"Pas d'information")</f>
        <v>Bloqué 5Go</v>
      </c>
      <c r="K999" s="5" t="str">
        <f>IF(Logs_Reseau6[[#This Row],[Type_Forfait]]="Pro Monde","B2B","B2C")</f>
        <v>B2C</v>
      </c>
      <c r="L999" s="5">
        <f>_xlfn.XLOOKUP(Logs_Reseau6[[#This Row],[Id_Client]],Clients_Churn[ID_Client],Clients_Churn[Duree_Cumulee_Panne_Min],"Non Trouvée")</f>
        <v>112</v>
      </c>
      <c r="M999" s="5">
        <f>_xlfn.XLOOKUP(Logs_Reseau6[[#This Row],[Id_Client]],Clients_Churn[ID_Client],Clients_Churn[Anciennete_Mois],"Rien à signaler")</f>
        <v>110</v>
      </c>
      <c r="N999" s="11">
        <f>Logs_Reseau6[[#This Row],[Anciennette]]/24</f>
        <v>4.583333333333333</v>
      </c>
      <c r="O999" s="1">
        <f>Logs_Reseau6[[#This Row],[Duree_Cumulée_Panne]]/1440</f>
        <v>7.7777777777777779E-2</v>
      </c>
      <c r="P99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00" spans="1:16" x14ac:dyDescent="0.25">
      <c r="A1000" s="2">
        <v>45229</v>
      </c>
      <c r="B1000" s="1">
        <v>0.44374999999999998</v>
      </c>
      <c r="C1000" t="s">
        <v>828</v>
      </c>
      <c r="D1000">
        <v>5</v>
      </c>
      <c r="E1000" t="s">
        <v>1300</v>
      </c>
      <c r="F1000" t="str">
        <f>_xlfn.XLOOKUP(Logs_Reseau6[[#This Row],[Cell_ID]],Registre[ID_Antenne],Registre[Province_RDC],"Non Trouvée")</f>
        <v>Kasai-Central</v>
      </c>
      <c r="G1000" t="str">
        <f>_xlfn.XLOOKUP(Logs_Reseau6[[#This Row],[Province]],Clients_Churn[Province_Client],Clients_Churn[ID_Client],"Aucun")</f>
        <v>CLI-00060</v>
      </c>
      <c r="H1000" t="str">
        <f>_xlfn.XLOOKUP(Logs_Reseau6[[#This Row],[Cell_ID]],Registre[ID_Antenne],Registre[Technologie],"Rien à signaler")</f>
        <v>4G</v>
      </c>
      <c r="I1000" t="str">
        <f>_xlfn.XLOOKUP(Logs_Reseau6[[#This Row],[Cell_ID]],Registre[ID_Antenne],Registre[Equipementier],"Non Trouvée")</f>
        <v>Nokia</v>
      </c>
      <c r="J1000" t="str">
        <f>_xlfn.XLOOKUP(Logs_Reseau6[[#This Row],[Id_Client]],Clients_Churn[ID_Client],Clients_Churn[Type_Forfait],"Pas d'information")</f>
        <v>Pro Monde</v>
      </c>
      <c r="K1000" s="5" t="str">
        <f>IF(Logs_Reseau6[[#This Row],[Type_Forfait]]="Pro Monde","B2B","B2C")</f>
        <v>B2B</v>
      </c>
      <c r="L1000" s="5">
        <f>_xlfn.XLOOKUP(Logs_Reseau6[[#This Row],[Id_Client]],Clients_Churn[ID_Client],Clients_Churn[Duree_Cumulee_Panne_Min],"Non Trouvée")</f>
        <v>160</v>
      </c>
      <c r="M1000" s="5">
        <f>_xlfn.XLOOKUP(Logs_Reseau6[[#This Row],[Id_Client]],Clients_Churn[ID_Client],Clients_Churn[Anciennete_Mois],"Rien à signaler")</f>
        <v>72</v>
      </c>
      <c r="N1000" s="11">
        <f>Logs_Reseau6[[#This Row],[Anciennette]]/24</f>
        <v>3</v>
      </c>
      <c r="O1000" s="1">
        <f>Logs_Reseau6[[#This Row],[Duree_Cumulée_Panne]]/1440</f>
        <v>0.1111111111111111</v>
      </c>
      <c r="P100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01" spans="1:16" hidden="1" x14ac:dyDescent="0.25">
      <c r="A1001" s="2">
        <v>45203</v>
      </c>
      <c r="B1001" s="1">
        <v>5.9027777777777776E-2</v>
      </c>
      <c r="C1001" t="s">
        <v>1329</v>
      </c>
      <c r="D1001">
        <v>49</v>
      </c>
      <c r="E1001" t="s">
        <v>1300</v>
      </c>
      <c r="F1001" t="str">
        <f>_xlfn.XLOOKUP(Logs_Reseau6[[#This Row],[Cell_ID]],Registre[ID_Antenne],Registre[Province_RDC],"Non Trouvée")</f>
        <v>Non Trouvée</v>
      </c>
      <c r="G1001" t="str">
        <f>_xlfn.XLOOKUP(Logs_Reseau6[[#This Row],[Province]],Clients_Churn[Province_Client],Clients_Churn[ID_Client],"Aucun")</f>
        <v>Aucun</v>
      </c>
      <c r="H1001" t="str">
        <f>_xlfn.XLOOKUP(Logs_Reseau6[[#This Row],[Cell_ID]],Registre[ID_Antenne],Registre[Technologie],"Rien à signaler")</f>
        <v>Rien à signaler</v>
      </c>
      <c r="I1001" t="str">
        <f>_xlfn.XLOOKUP(Logs_Reseau6[[#This Row],[Cell_ID]],Registre[ID_Antenne],Registre[Equipementier],"Non Trouvée")</f>
        <v>Non Trouvée</v>
      </c>
      <c r="J1001" t="str">
        <f>_xlfn.XLOOKUP(Logs_Reseau6[[#This Row],[Id_Client]],Clients_Churn[ID_Client],Clients_Churn[Type_Forfait],"Pas d'information")</f>
        <v>Pas d'information</v>
      </c>
      <c r="K1001" s="5" t="str">
        <f>IF(Logs_Reseau6[[#This Row],[Type_Forfait]]="Pro Monde","B2B","B2C")</f>
        <v>B2C</v>
      </c>
      <c r="L1001" s="5" t="str">
        <f>_xlfn.XLOOKUP(Logs_Reseau6[[#This Row],[Id_Client]],Clients_Churn[ID_Client],Clients_Churn[Duree_Cumulee_Panne_Min],"Non Trouvée")</f>
        <v>Non Trouvée</v>
      </c>
      <c r="M1001" s="5" t="str">
        <f>_xlfn.XLOOKUP(Logs_Reseau6[[#This Row],[Id_Client]],Clients_Churn[ID_Client],Clients_Churn[Anciennete_Mois],"Rien à signaler")</f>
        <v>Rien à signaler</v>
      </c>
      <c r="N1001" s="5" t="e">
        <f>Logs_Reseau6[[#This Row],[Anciennette]]/24</f>
        <v>#VALUE!</v>
      </c>
      <c r="O1001" s="5" t="e">
        <f>Logs_Reseau6[[#This Row],[Duree_Cumulée_Panne]]/1440</f>
        <v>#VALUE!</v>
      </c>
      <c r="P100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02" spans="1:16" hidden="1" x14ac:dyDescent="0.25">
      <c r="A1002" s="2">
        <v>45224</v>
      </c>
      <c r="B1002" s="1">
        <v>0.98819444444444449</v>
      </c>
      <c r="C1002" t="s">
        <v>1329</v>
      </c>
      <c r="D1002">
        <v>39</v>
      </c>
      <c r="E1002" t="s">
        <v>1300</v>
      </c>
      <c r="F1002" t="str">
        <f>_xlfn.XLOOKUP(Logs_Reseau6[[#This Row],[Cell_ID]],Registre[ID_Antenne],Registre[Province_RDC],"Non Trouvée")</f>
        <v>Non Trouvée</v>
      </c>
      <c r="G1002" t="str">
        <f>_xlfn.XLOOKUP(Logs_Reseau6[[#This Row],[Province]],Clients_Churn[Province_Client],Clients_Churn[ID_Client],"Aucun")</f>
        <v>Aucun</v>
      </c>
      <c r="H1002" t="str">
        <f>_xlfn.XLOOKUP(Logs_Reseau6[[#This Row],[Cell_ID]],Registre[ID_Antenne],Registre[Technologie],"Rien à signaler")</f>
        <v>Rien à signaler</v>
      </c>
      <c r="I1002" t="str">
        <f>_xlfn.XLOOKUP(Logs_Reseau6[[#This Row],[Cell_ID]],Registre[ID_Antenne],Registre[Equipementier],"Non Trouvée")</f>
        <v>Non Trouvée</v>
      </c>
      <c r="J1002" t="str">
        <f>_xlfn.XLOOKUP(Logs_Reseau6[[#This Row],[Id_Client]],Clients_Churn[ID_Client],Clients_Churn[Type_Forfait],"Pas d'information")</f>
        <v>Pas d'information</v>
      </c>
      <c r="K1002" s="5" t="str">
        <f>IF(Logs_Reseau6[[#This Row],[Type_Forfait]]="Pro Monde","B2B","B2C")</f>
        <v>B2C</v>
      </c>
      <c r="L1002" s="5" t="str">
        <f>_xlfn.XLOOKUP(Logs_Reseau6[[#This Row],[Id_Client]],Clients_Churn[ID_Client],Clients_Churn[Duree_Cumulee_Panne_Min],"Non Trouvée")</f>
        <v>Non Trouvée</v>
      </c>
      <c r="M1002" s="5" t="str">
        <f>_xlfn.XLOOKUP(Logs_Reseau6[[#This Row],[Id_Client]],Clients_Churn[ID_Client],Clients_Churn[Anciennete_Mois],"Rien à signaler")</f>
        <v>Rien à signaler</v>
      </c>
      <c r="N1002" s="5" t="e">
        <f>Logs_Reseau6[[#This Row],[Anciennette]]/24</f>
        <v>#VALUE!</v>
      </c>
      <c r="O1002" s="5" t="e">
        <f>Logs_Reseau6[[#This Row],[Duree_Cumulée_Panne]]/1440</f>
        <v>#VALUE!</v>
      </c>
      <c r="P100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03" spans="1:16" hidden="1" x14ac:dyDescent="0.25">
      <c r="A1003" s="2">
        <v>45217</v>
      </c>
      <c r="B1003" s="1">
        <v>6.8750000000000006E-2</v>
      </c>
      <c r="C1003" t="s">
        <v>1407</v>
      </c>
      <c r="D1003">
        <v>77</v>
      </c>
      <c r="E1003" t="s">
        <v>1305</v>
      </c>
      <c r="F1003" t="str">
        <f>_xlfn.XLOOKUP(Logs_Reseau6[[#This Row],[Cell_ID]],Registre[ID_Antenne],Registre[Province_RDC],"Non Trouvée")</f>
        <v>Non Trouvée</v>
      </c>
      <c r="G1003" t="str">
        <f>_xlfn.XLOOKUP(Logs_Reseau6[[#This Row],[Province]],Clients_Churn[Province_Client],Clients_Churn[ID_Client],"Aucun")</f>
        <v>Aucun</v>
      </c>
      <c r="H1003" t="str">
        <f>_xlfn.XLOOKUP(Logs_Reseau6[[#This Row],[Cell_ID]],Registre[ID_Antenne],Registre[Technologie],"Rien à signaler")</f>
        <v>Rien à signaler</v>
      </c>
      <c r="I1003" t="str">
        <f>_xlfn.XLOOKUP(Logs_Reseau6[[#This Row],[Cell_ID]],Registre[ID_Antenne],Registre[Equipementier],"Non Trouvée")</f>
        <v>Non Trouvée</v>
      </c>
      <c r="J1003" t="str">
        <f>_xlfn.XLOOKUP(Logs_Reseau6[[#This Row],[Id_Client]],Clients_Churn[ID_Client],Clients_Churn[Type_Forfait],"Pas d'information")</f>
        <v>Pas d'information</v>
      </c>
      <c r="K1003" s="5" t="str">
        <f>IF(Logs_Reseau6[[#This Row],[Type_Forfait]]="Pro Monde","B2B","B2C")</f>
        <v>B2C</v>
      </c>
      <c r="L1003" s="5" t="str">
        <f>_xlfn.XLOOKUP(Logs_Reseau6[[#This Row],[Id_Client]],Clients_Churn[ID_Client],Clients_Churn[Duree_Cumulee_Panne_Min],"Non Trouvée")</f>
        <v>Non Trouvée</v>
      </c>
      <c r="M1003" s="5" t="str">
        <f>_xlfn.XLOOKUP(Logs_Reseau6[[#This Row],[Id_Client]],Clients_Churn[ID_Client],Clients_Churn[Anciennete_Mois],"Rien à signaler")</f>
        <v>Rien à signaler</v>
      </c>
      <c r="N1003" s="5" t="e">
        <f>Logs_Reseau6[[#This Row],[Anciennette]]/24</f>
        <v>#VALUE!</v>
      </c>
      <c r="O1003" s="5" t="e">
        <f>Logs_Reseau6[[#This Row],[Duree_Cumulée_Panne]]/1440</f>
        <v>#VALUE!</v>
      </c>
      <c r="P100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04" spans="1:16" hidden="1" x14ac:dyDescent="0.25">
      <c r="A1004" s="2">
        <v>45219</v>
      </c>
      <c r="B1004" s="1">
        <v>0.79305555555555551</v>
      </c>
      <c r="C1004" t="s">
        <v>1407</v>
      </c>
      <c r="D1004">
        <v>9</v>
      </c>
      <c r="E1004" t="s">
        <v>1303</v>
      </c>
      <c r="F1004" t="str">
        <f>_xlfn.XLOOKUP(Logs_Reseau6[[#This Row],[Cell_ID]],Registre[ID_Antenne],Registre[Province_RDC],"Non Trouvée")</f>
        <v>Non Trouvée</v>
      </c>
      <c r="G1004" t="str">
        <f>_xlfn.XLOOKUP(Logs_Reseau6[[#This Row],[Province]],Clients_Churn[Province_Client],Clients_Churn[ID_Client],"Aucun")</f>
        <v>Aucun</v>
      </c>
      <c r="H1004" t="str">
        <f>_xlfn.XLOOKUP(Logs_Reseau6[[#This Row],[Cell_ID]],Registre[ID_Antenne],Registre[Technologie],"Rien à signaler")</f>
        <v>Rien à signaler</v>
      </c>
      <c r="I1004" t="str">
        <f>_xlfn.XLOOKUP(Logs_Reseau6[[#This Row],[Cell_ID]],Registre[ID_Antenne],Registre[Equipementier],"Non Trouvée")</f>
        <v>Non Trouvée</v>
      </c>
      <c r="J1004" t="str">
        <f>_xlfn.XLOOKUP(Logs_Reseau6[[#This Row],[Id_Client]],Clients_Churn[ID_Client],Clients_Churn[Type_Forfait],"Pas d'information")</f>
        <v>Pas d'information</v>
      </c>
      <c r="K1004" s="5" t="str">
        <f>IF(Logs_Reseau6[[#This Row],[Type_Forfait]]="Pro Monde","B2B","B2C")</f>
        <v>B2C</v>
      </c>
      <c r="L1004" s="5" t="str">
        <f>_xlfn.XLOOKUP(Logs_Reseau6[[#This Row],[Id_Client]],Clients_Churn[ID_Client],Clients_Churn[Duree_Cumulee_Panne_Min],"Non Trouvée")</f>
        <v>Non Trouvée</v>
      </c>
      <c r="M1004" s="5" t="str">
        <f>_xlfn.XLOOKUP(Logs_Reseau6[[#This Row],[Id_Client]],Clients_Churn[ID_Client],Clients_Churn[Anciennete_Mois],"Rien à signaler")</f>
        <v>Rien à signaler</v>
      </c>
      <c r="N1004" s="5" t="e">
        <f>Logs_Reseau6[[#This Row],[Anciennette]]/24</f>
        <v>#VALUE!</v>
      </c>
      <c r="O1004" s="5" t="e">
        <f>Logs_Reseau6[[#This Row],[Duree_Cumulée_Panne]]/1440</f>
        <v>#VALUE!</v>
      </c>
      <c r="P100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05" spans="1:16" hidden="1" x14ac:dyDescent="0.25">
      <c r="A1005" s="2">
        <v>45230</v>
      </c>
      <c r="B1005" s="1">
        <v>0.72638888888888886</v>
      </c>
      <c r="C1005" t="s">
        <v>1407</v>
      </c>
      <c r="D1005">
        <v>19</v>
      </c>
      <c r="E1005" t="s">
        <v>1303</v>
      </c>
      <c r="F1005" t="str">
        <f>_xlfn.XLOOKUP(Logs_Reseau6[[#This Row],[Cell_ID]],Registre[ID_Antenne],Registre[Province_RDC],"Non Trouvée")</f>
        <v>Non Trouvée</v>
      </c>
      <c r="G1005" t="str">
        <f>_xlfn.XLOOKUP(Logs_Reseau6[[#This Row],[Province]],Clients_Churn[Province_Client],Clients_Churn[ID_Client],"Aucun")</f>
        <v>Aucun</v>
      </c>
      <c r="H1005" t="str">
        <f>_xlfn.XLOOKUP(Logs_Reseau6[[#This Row],[Cell_ID]],Registre[ID_Antenne],Registre[Technologie],"Rien à signaler")</f>
        <v>Rien à signaler</v>
      </c>
      <c r="I1005" t="str">
        <f>_xlfn.XLOOKUP(Logs_Reseau6[[#This Row],[Cell_ID]],Registre[ID_Antenne],Registre[Equipementier],"Non Trouvée")</f>
        <v>Non Trouvée</v>
      </c>
      <c r="J1005" t="str">
        <f>_xlfn.XLOOKUP(Logs_Reseau6[[#This Row],[Id_Client]],Clients_Churn[ID_Client],Clients_Churn[Type_Forfait],"Pas d'information")</f>
        <v>Pas d'information</v>
      </c>
      <c r="K1005" s="5" t="str">
        <f>IF(Logs_Reseau6[[#This Row],[Type_Forfait]]="Pro Monde","B2B","B2C")</f>
        <v>B2C</v>
      </c>
      <c r="L1005" s="5" t="str">
        <f>_xlfn.XLOOKUP(Logs_Reseau6[[#This Row],[Id_Client]],Clients_Churn[ID_Client],Clients_Churn[Duree_Cumulee_Panne_Min],"Non Trouvée")</f>
        <v>Non Trouvée</v>
      </c>
      <c r="M1005" s="5" t="str">
        <f>_xlfn.XLOOKUP(Logs_Reseau6[[#This Row],[Id_Client]],Clients_Churn[ID_Client],Clients_Churn[Anciennete_Mois],"Rien à signaler")</f>
        <v>Rien à signaler</v>
      </c>
      <c r="N1005" s="5" t="e">
        <f>Logs_Reseau6[[#This Row],[Anciennette]]/24</f>
        <v>#VALUE!</v>
      </c>
      <c r="O1005" s="5" t="e">
        <f>Logs_Reseau6[[#This Row],[Duree_Cumulée_Panne]]/1440</f>
        <v>#VALUE!</v>
      </c>
      <c r="P100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06" spans="1:16" x14ac:dyDescent="0.25">
      <c r="A1006" s="2">
        <v>45216</v>
      </c>
      <c r="B1006" s="1">
        <v>0.76041666666666663</v>
      </c>
      <c r="C1006" t="s">
        <v>1191</v>
      </c>
      <c r="D1006">
        <v>48</v>
      </c>
      <c r="E1006" t="s">
        <v>1300</v>
      </c>
      <c r="F1006" t="str">
        <f>_xlfn.XLOOKUP(Logs_Reseau6[[#This Row],[Cell_ID]],Registre[ID_Antenne],Registre[Province_RDC],"Non Trouvée")</f>
        <v>Ituri</v>
      </c>
      <c r="G1006" t="str">
        <f>_xlfn.XLOOKUP(Logs_Reseau6[[#This Row],[Province]],Clients_Churn[Province_Client],Clients_Churn[ID_Client],"Aucun")</f>
        <v>CLI-00041</v>
      </c>
      <c r="H1006" t="str">
        <f>_xlfn.XLOOKUP(Logs_Reseau6[[#This Row],[Cell_ID]],Registre[ID_Antenne],Registre[Technologie],"Rien à signaler")</f>
        <v>5G</v>
      </c>
      <c r="I1006" t="str">
        <f>_xlfn.XLOOKUP(Logs_Reseau6[[#This Row],[Cell_ID]],Registre[ID_Antenne],Registre[Equipementier],"Non Trouvée")</f>
        <v>ZTE</v>
      </c>
      <c r="J1006" t="str">
        <f>_xlfn.XLOOKUP(Logs_Reseau6[[#This Row],[Id_Client]],Clients_Churn[ID_Client],Clients_Churn[Type_Forfait],"Pas d'information")</f>
        <v>Pro Monde</v>
      </c>
      <c r="K1006" s="5" t="str">
        <f>IF(Logs_Reseau6[[#This Row],[Type_Forfait]]="Pro Monde","B2B","B2C")</f>
        <v>B2B</v>
      </c>
      <c r="L1006" s="5">
        <f>_xlfn.XLOOKUP(Logs_Reseau6[[#This Row],[Id_Client]],Clients_Churn[ID_Client],Clients_Churn[Duree_Cumulee_Panne_Min],"Non Trouvée")</f>
        <v>105</v>
      </c>
      <c r="M1006" s="5">
        <f>_xlfn.XLOOKUP(Logs_Reseau6[[#This Row],[Id_Client]],Clients_Churn[ID_Client],Clients_Churn[Anciennete_Mois],"Rien à signaler")</f>
        <v>103</v>
      </c>
      <c r="N1006" s="11">
        <f>Logs_Reseau6[[#This Row],[Anciennette]]/24</f>
        <v>4.291666666666667</v>
      </c>
      <c r="O1006" s="1">
        <f>Logs_Reseau6[[#This Row],[Duree_Cumulée_Panne]]/1440</f>
        <v>7.2916666666666671E-2</v>
      </c>
      <c r="P100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07" spans="1:16" x14ac:dyDescent="0.25">
      <c r="A1007" s="2">
        <v>45227</v>
      </c>
      <c r="B1007" s="1">
        <v>3.3333333333333333E-2</v>
      </c>
      <c r="C1007" t="s">
        <v>939</v>
      </c>
      <c r="D1007">
        <v>68</v>
      </c>
      <c r="E1007" t="s">
        <v>1305</v>
      </c>
      <c r="F1007" t="str">
        <f>_xlfn.XLOOKUP(Logs_Reseau6[[#This Row],[Cell_ID]],Registre[ID_Antenne],Registre[Province_RDC],"Non Trouvée")</f>
        <v>Nord-Ubangi</v>
      </c>
      <c r="G1007" t="str">
        <f>_xlfn.XLOOKUP(Logs_Reseau6[[#This Row],[Province]],Clients_Churn[Province_Client],Clients_Churn[ID_Client],"Aucun")</f>
        <v>CLI-00112</v>
      </c>
      <c r="H1007" t="str">
        <f>_xlfn.XLOOKUP(Logs_Reseau6[[#This Row],[Cell_ID]],Registre[ID_Antenne],Registre[Technologie],"Rien à signaler")</f>
        <v>5G</v>
      </c>
      <c r="I1007" t="str">
        <f>_xlfn.XLOOKUP(Logs_Reseau6[[#This Row],[Cell_ID]],Registre[ID_Antenne],Registre[Equipementier],"Non Trouvée")</f>
        <v>ZTE</v>
      </c>
      <c r="J1007" t="str">
        <f>_xlfn.XLOOKUP(Logs_Reseau6[[#This Row],[Id_Client]],Clients_Churn[ID_Client],Clients_Churn[Type_Forfait],"Pas d'information")</f>
        <v>Bloqué 5Go</v>
      </c>
      <c r="K1007" s="5" t="str">
        <f>IF(Logs_Reseau6[[#This Row],[Type_Forfait]]="Pro Monde","B2B","B2C")</f>
        <v>B2C</v>
      </c>
      <c r="L1007" s="5">
        <f>_xlfn.XLOOKUP(Logs_Reseau6[[#This Row],[Id_Client]],Clients_Churn[ID_Client],Clients_Churn[Duree_Cumulee_Panne_Min],"Non Trouvée")</f>
        <v>52</v>
      </c>
      <c r="M1007" s="5">
        <f>_xlfn.XLOOKUP(Logs_Reseau6[[#This Row],[Id_Client]],Clients_Churn[ID_Client],Clients_Churn[Anciennete_Mois],"Rien à signaler")</f>
        <v>98</v>
      </c>
      <c r="N1007" s="11">
        <f>Logs_Reseau6[[#This Row],[Anciennette]]/24</f>
        <v>4.083333333333333</v>
      </c>
      <c r="O1007" s="1">
        <f>Logs_Reseau6[[#This Row],[Duree_Cumulée_Panne]]/1440</f>
        <v>3.6111111111111108E-2</v>
      </c>
      <c r="P100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08" spans="1:16" x14ac:dyDescent="0.25">
      <c r="A1008" s="2">
        <v>45200</v>
      </c>
      <c r="B1008" s="1">
        <v>7.8472222222222221E-2</v>
      </c>
      <c r="C1008" t="s">
        <v>1032</v>
      </c>
      <c r="D1008">
        <v>40</v>
      </c>
      <c r="E1008" t="s">
        <v>1300</v>
      </c>
      <c r="F1008" t="str">
        <f>_xlfn.XLOOKUP(Logs_Reseau6[[#This Row],[Cell_ID]],Registre[ID_Antenne],Registre[Province_RDC],"Non Trouvée")</f>
        <v>Kasai</v>
      </c>
      <c r="G1008" t="str">
        <f>_xlfn.XLOOKUP(Logs_Reseau6[[#This Row],[Province]],Clients_Churn[Province_Client],Clients_Churn[ID_Client],"Aucun")</f>
        <v>CLI-00057</v>
      </c>
      <c r="H1008" t="str">
        <f>_xlfn.XLOOKUP(Logs_Reseau6[[#This Row],[Cell_ID]],Registre[ID_Antenne],Registre[Technologie],"Rien à signaler")</f>
        <v>5G</v>
      </c>
      <c r="I1008" t="str">
        <f>_xlfn.XLOOKUP(Logs_Reseau6[[#This Row],[Cell_ID]],Registre[ID_Antenne],Registre[Equipementier],"Non Trouvée")</f>
        <v>Huawei</v>
      </c>
      <c r="J1008" t="str">
        <f>_xlfn.XLOOKUP(Logs_Reseau6[[#This Row],[Id_Client]],Clients_Churn[ID_Client],Clients_Churn[Type_Forfait],"Pas d'information")</f>
        <v>Bloqué 5Go</v>
      </c>
      <c r="K1008" s="5" t="str">
        <f>IF(Logs_Reseau6[[#This Row],[Type_Forfait]]="Pro Monde","B2B","B2C")</f>
        <v>B2C</v>
      </c>
      <c r="L1008" s="5">
        <f>_xlfn.XLOOKUP(Logs_Reseau6[[#This Row],[Id_Client]],Clients_Churn[ID_Client],Clients_Churn[Duree_Cumulee_Panne_Min],"Non Trouvée")</f>
        <v>182</v>
      </c>
      <c r="M1008" s="5">
        <f>_xlfn.XLOOKUP(Logs_Reseau6[[#This Row],[Id_Client]],Clients_Churn[ID_Client],Clients_Churn[Anciennete_Mois],"Rien à signaler")</f>
        <v>4</v>
      </c>
      <c r="N1008" s="11">
        <f>Logs_Reseau6[[#This Row],[Anciennette]]/24</f>
        <v>0.16666666666666666</v>
      </c>
      <c r="O1008" s="1">
        <f>Logs_Reseau6[[#This Row],[Duree_Cumulée_Panne]]/1440</f>
        <v>0.12638888888888888</v>
      </c>
      <c r="P100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09" spans="1:16" x14ac:dyDescent="0.25">
      <c r="A1009" s="2">
        <v>45221</v>
      </c>
      <c r="B1009" s="1">
        <v>0.31319444444444444</v>
      </c>
      <c r="C1009" t="s">
        <v>1032</v>
      </c>
      <c r="D1009">
        <v>34</v>
      </c>
      <c r="E1009" t="s">
        <v>1303</v>
      </c>
      <c r="F1009" t="str">
        <f>_xlfn.XLOOKUP(Logs_Reseau6[[#This Row],[Cell_ID]],Registre[ID_Antenne],Registre[Province_RDC],"Non Trouvée")</f>
        <v>Kasai</v>
      </c>
      <c r="G1009" t="str">
        <f>_xlfn.XLOOKUP(Logs_Reseau6[[#This Row],[Province]],Clients_Churn[Province_Client],Clients_Churn[ID_Client],"Aucun")</f>
        <v>CLI-00057</v>
      </c>
      <c r="H1009" t="str">
        <f>_xlfn.XLOOKUP(Logs_Reseau6[[#This Row],[Cell_ID]],Registre[ID_Antenne],Registre[Technologie],"Rien à signaler")</f>
        <v>5G</v>
      </c>
      <c r="I1009" t="str">
        <f>_xlfn.XLOOKUP(Logs_Reseau6[[#This Row],[Cell_ID]],Registre[ID_Antenne],Registre[Equipementier],"Non Trouvée")</f>
        <v>Huawei</v>
      </c>
      <c r="J1009" t="str">
        <f>_xlfn.XLOOKUP(Logs_Reseau6[[#This Row],[Id_Client]],Clients_Churn[ID_Client],Clients_Churn[Type_Forfait],"Pas d'information")</f>
        <v>Bloqué 5Go</v>
      </c>
      <c r="K1009" s="5" t="str">
        <f>IF(Logs_Reseau6[[#This Row],[Type_Forfait]]="Pro Monde","B2B","B2C")</f>
        <v>B2C</v>
      </c>
      <c r="L1009" s="5">
        <f>_xlfn.XLOOKUP(Logs_Reseau6[[#This Row],[Id_Client]],Clients_Churn[ID_Client],Clients_Churn[Duree_Cumulee_Panne_Min],"Non Trouvée")</f>
        <v>182</v>
      </c>
      <c r="M1009" s="5">
        <f>_xlfn.XLOOKUP(Logs_Reseau6[[#This Row],[Id_Client]],Clients_Churn[ID_Client],Clients_Churn[Anciennete_Mois],"Rien à signaler")</f>
        <v>4</v>
      </c>
      <c r="N1009" s="11">
        <f>Logs_Reseau6[[#This Row],[Anciennette]]/24</f>
        <v>0.16666666666666666</v>
      </c>
      <c r="O1009" s="1">
        <f>Logs_Reseau6[[#This Row],[Duree_Cumulée_Panne]]/1440</f>
        <v>0.12638888888888888</v>
      </c>
      <c r="P100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10" spans="1:16" x14ac:dyDescent="0.25">
      <c r="A1010" s="2">
        <v>45225</v>
      </c>
      <c r="B1010" s="1">
        <v>0.62291666666666667</v>
      </c>
      <c r="C1010" t="s">
        <v>1032</v>
      </c>
      <c r="D1010">
        <v>86</v>
      </c>
      <c r="E1010" t="s">
        <v>1300</v>
      </c>
      <c r="F1010" t="str">
        <f>_xlfn.XLOOKUP(Logs_Reseau6[[#This Row],[Cell_ID]],Registre[ID_Antenne],Registre[Province_RDC],"Non Trouvée")</f>
        <v>Kasai</v>
      </c>
      <c r="G1010" t="str">
        <f>_xlfn.XLOOKUP(Logs_Reseau6[[#This Row],[Province]],Clients_Churn[Province_Client],Clients_Churn[ID_Client],"Aucun")</f>
        <v>CLI-00057</v>
      </c>
      <c r="H1010" t="str">
        <f>_xlfn.XLOOKUP(Logs_Reseau6[[#This Row],[Cell_ID]],Registre[ID_Antenne],Registre[Technologie],"Rien à signaler")</f>
        <v>5G</v>
      </c>
      <c r="I1010" t="str">
        <f>_xlfn.XLOOKUP(Logs_Reseau6[[#This Row],[Cell_ID]],Registre[ID_Antenne],Registre[Equipementier],"Non Trouvée")</f>
        <v>Huawei</v>
      </c>
      <c r="J1010" t="str">
        <f>_xlfn.XLOOKUP(Logs_Reseau6[[#This Row],[Id_Client]],Clients_Churn[ID_Client],Clients_Churn[Type_Forfait],"Pas d'information")</f>
        <v>Bloqué 5Go</v>
      </c>
      <c r="K1010" s="5" t="str">
        <f>IF(Logs_Reseau6[[#This Row],[Type_Forfait]]="Pro Monde","B2B","B2C")</f>
        <v>B2C</v>
      </c>
      <c r="L1010" s="5">
        <f>_xlfn.XLOOKUP(Logs_Reseau6[[#This Row],[Id_Client]],Clients_Churn[ID_Client],Clients_Churn[Duree_Cumulee_Panne_Min],"Non Trouvée")</f>
        <v>182</v>
      </c>
      <c r="M1010" s="5">
        <f>_xlfn.XLOOKUP(Logs_Reseau6[[#This Row],[Id_Client]],Clients_Churn[ID_Client],Clients_Churn[Anciennete_Mois],"Rien à signaler")</f>
        <v>4</v>
      </c>
      <c r="N1010" s="11">
        <f>Logs_Reseau6[[#This Row],[Anciennette]]/24</f>
        <v>0.16666666666666666</v>
      </c>
      <c r="O1010" s="1">
        <f>Logs_Reseau6[[#This Row],[Duree_Cumulée_Panne]]/1440</f>
        <v>0.12638888888888888</v>
      </c>
      <c r="P101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11" spans="1:16" x14ac:dyDescent="0.25">
      <c r="A1011" s="2">
        <v>45211</v>
      </c>
      <c r="B1011" s="1">
        <v>0.22430555555555556</v>
      </c>
      <c r="C1011" t="s">
        <v>1223</v>
      </c>
      <c r="D1011">
        <v>37</v>
      </c>
      <c r="E1011" t="s">
        <v>1300</v>
      </c>
      <c r="F1011" t="str">
        <f>_xlfn.XLOOKUP(Logs_Reseau6[[#This Row],[Cell_ID]],Registre[ID_Antenne],Registre[Province_RDC],"Non Trouvée")</f>
        <v>Tanganyika</v>
      </c>
      <c r="G1011" t="str">
        <f>_xlfn.XLOOKUP(Logs_Reseau6[[#This Row],[Province]],Clients_Churn[Province_Client],Clients_Churn[ID_Client],"Aucun")</f>
        <v>CLI-00007</v>
      </c>
      <c r="H1011" t="str">
        <f>_xlfn.XLOOKUP(Logs_Reseau6[[#This Row],[Cell_ID]],Registre[ID_Antenne],Registre[Technologie],"Rien à signaler")</f>
        <v>5G</v>
      </c>
      <c r="I1011" t="str">
        <f>_xlfn.XLOOKUP(Logs_Reseau6[[#This Row],[Cell_ID]],Registre[ID_Antenne],Registre[Equipementier],"Non Trouvée")</f>
        <v>Ericsson</v>
      </c>
      <c r="J1011" t="str">
        <f>_xlfn.XLOOKUP(Logs_Reseau6[[#This Row],[Id_Client]],Clients_Churn[ID_Client],Clients_Churn[Type_Forfait],"Pas d'information")</f>
        <v>Bloqué 5Go</v>
      </c>
      <c r="K1011" s="5" t="str">
        <f>IF(Logs_Reseau6[[#This Row],[Type_Forfait]]="Pro Monde","B2B","B2C")</f>
        <v>B2C</v>
      </c>
      <c r="L1011" s="5">
        <f>_xlfn.XLOOKUP(Logs_Reseau6[[#This Row],[Id_Client]],Clients_Churn[ID_Client],Clients_Churn[Duree_Cumulee_Panne_Min],"Non Trouvée")</f>
        <v>112</v>
      </c>
      <c r="M1011" s="5">
        <f>_xlfn.XLOOKUP(Logs_Reseau6[[#This Row],[Id_Client]],Clients_Churn[ID_Client],Clients_Churn[Anciennete_Mois],"Rien à signaler")</f>
        <v>110</v>
      </c>
      <c r="N1011" s="11">
        <f>Logs_Reseau6[[#This Row],[Anciennette]]/24</f>
        <v>4.583333333333333</v>
      </c>
      <c r="O1011" s="1">
        <f>Logs_Reseau6[[#This Row],[Duree_Cumulée_Panne]]/1440</f>
        <v>7.7777777777777779E-2</v>
      </c>
      <c r="P101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12" spans="1:16" x14ac:dyDescent="0.25">
      <c r="A1012" s="2">
        <v>45221</v>
      </c>
      <c r="B1012" s="1">
        <v>0.71736111111111112</v>
      </c>
      <c r="C1012" t="s">
        <v>1223</v>
      </c>
      <c r="D1012">
        <v>14</v>
      </c>
      <c r="E1012" t="s">
        <v>1300</v>
      </c>
      <c r="F1012" t="str">
        <f>_xlfn.XLOOKUP(Logs_Reseau6[[#This Row],[Cell_ID]],Registre[ID_Antenne],Registre[Province_RDC],"Non Trouvée")</f>
        <v>Tanganyika</v>
      </c>
      <c r="G1012" t="str">
        <f>_xlfn.XLOOKUP(Logs_Reseau6[[#This Row],[Province]],Clients_Churn[Province_Client],Clients_Churn[ID_Client],"Aucun")</f>
        <v>CLI-00007</v>
      </c>
      <c r="H1012" t="str">
        <f>_xlfn.XLOOKUP(Logs_Reseau6[[#This Row],[Cell_ID]],Registre[ID_Antenne],Registre[Technologie],"Rien à signaler")</f>
        <v>5G</v>
      </c>
      <c r="I1012" t="str">
        <f>_xlfn.XLOOKUP(Logs_Reseau6[[#This Row],[Cell_ID]],Registre[ID_Antenne],Registre[Equipementier],"Non Trouvée")</f>
        <v>Ericsson</v>
      </c>
      <c r="J1012" t="str">
        <f>_xlfn.XLOOKUP(Logs_Reseau6[[#This Row],[Id_Client]],Clients_Churn[ID_Client],Clients_Churn[Type_Forfait],"Pas d'information")</f>
        <v>Bloqué 5Go</v>
      </c>
      <c r="K1012" s="5" t="str">
        <f>IF(Logs_Reseau6[[#This Row],[Type_Forfait]]="Pro Monde","B2B","B2C")</f>
        <v>B2C</v>
      </c>
      <c r="L1012" s="5">
        <f>_xlfn.XLOOKUP(Logs_Reseau6[[#This Row],[Id_Client]],Clients_Churn[ID_Client],Clients_Churn[Duree_Cumulee_Panne_Min],"Non Trouvée")</f>
        <v>112</v>
      </c>
      <c r="M1012" s="5">
        <f>_xlfn.XLOOKUP(Logs_Reseau6[[#This Row],[Id_Client]],Clients_Churn[ID_Client],Clients_Churn[Anciennete_Mois],"Rien à signaler")</f>
        <v>110</v>
      </c>
      <c r="N1012" s="11">
        <f>Logs_Reseau6[[#This Row],[Anciennette]]/24</f>
        <v>4.583333333333333</v>
      </c>
      <c r="O1012" s="1">
        <f>Logs_Reseau6[[#This Row],[Duree_Cumulée_Panne]]/1440</f>
        <v>7.7777777777777779E-2</v>
      </c>
      <c r="P101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13" spans="1:16" x14ac:dyDescent="0.25">
      <c r="A1013" s="2">
        <v>45222</v>
      </c>
      <c r="B1013" s="1">
        <v>0.4152777777777778</v>
      </c>
      <c r="C1013" t="s">
        <v>1165</v>
      </c>
      <c r="D1013">
        <v>73</v>
      </c>
      <c r="E1013" t="s">
        <v>1300</v>
      </c>
      <c r="F1013" t="str">
        <f>_xlfn.XLOOKUP(Logs_Reseau6[[#This Row],[Cell_ID]],Registre[ID_Antenne],Registre[Province_RDC],"Non Trouvée")</f>
        <v>Nord-Ubangi</v>
      </c>
      <c r="G1013" t="str">
        <f>_xlfn.XLOOKUP(Logs_Reseau6[[#This Row],[Province]],Clients_Churn[Province_Client],Clients_Churn[ID_Client],"Aucun")</f>
        <v>CLI-00112</v>
      </c>
      <c r="H1013" t="str">
        <f>_xlfn.XLOOKUP(Logs_Reseau6[[#This Row],[Cell_ID]],Registre[ID_Antenne],Registre[Technologie],"Rien à signaler")</f>
        <v>5G</v>
      </c>
      <c r="I1013" t="str">
        <f>_xlfn.XLOOKUP(Logs_Reseau6[[#This Row],[Cell_ID]],Registre[ID_Antenne],Registre[Equipementier],"Non Trouvée")</f>
        <v>ZTE</v>
      </c>
      <c r="J1013" t="str">
        <f>_xlfn.XLOOKUP(Logs_Reseau6[[#This Row],[Id_Client]],Clients_Churn[ID_Client],Clients_Churn[Type_Forfait],"Pas d'information")</f>
        <v>Bloqué 5Go</v>
      </c>
      <c r="K1013" s="5" t="str">
        <f>IF(Logs_Reseau6[[#This Row],[Type_Forfait]]="Pro Monde","B2B","B2C")</f>
        <v>B2C</v>
      </c>
      <c r="L1013" s="5">
        <f>_xlfn.XLOOKUP(Logs_Reseau6[[#This Row],[Id_Client]],Clients_Churn[ID_Client],Clients_Churn[Duree_Cumulee_Panne_Min],"Non Trouvée")</f>
        <v>52</v>
      </c>
      <c r="M1013" s="5">
        <f>_xlfn.XLOOKUP(Logs_Reseau6[[#This Row],[Id_Client]],Clients_Churn[ID_Client],Clients_Churn[Anciennete_Mois],"Rien à signaler")</f>
        <v>98</v>
      </c>
      <c r="N1013" s="11">
        <f>Logs_Reseau6[[#This Row],[Anciennette]]/24</f>
        <v>4.083333333333333</v>
      </c>
      <c r="O1013" s="1">
        <f>Logs_Reseau6[[#This Row],[Duree_Cumulée_Panne]]/1440</f>
        <v>3.6111111111111108E-2</v>
      </c>
      <c r="P101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14" spans="1:16" hidden="1" x14ac:dyDescent="0.25">
      <c r="A1014" s="2">
        <v>45223</v>
      </c>
      <c r="B1014" s="1">
        <v>0.36527777777777776</v>
      </c>
      <c r="C1014" t="s">
        <v>1556</v>
      </c>
      <c r="D1014">
        <v>104</v>
      </c>
      <c r="E1014" t="s">
        <v>1303</v>
      </c>
      <c r="F1014" t="str">
        <f>_xlfn.XLOOKUP(Logs_Reseau6[[#This Row],[Cell_ID]],Registre[ID_Antenne],Registre[Province_RDC],"Non Trouvée")</f>
        <v>Non Trouvée</v>
      </c>
      <c r="G1014" t="str">
        <f>_xlfn.XLOOKUP(Logs_Reseau6[[#This Row],[Province]],Clients_Churn[Province_Client],Clients_Churn[ID_Client],"Aucun")</f>
        <v>Aucun</v>
      </c>
      <c r="H1014" t="str">
        <f>_xlfn.XLOOKUP(Logs_Reseau6[[#This Row],[Cell_ID]],Registre[ID_Antenne],Registre[Technologie],"Rien à signaler")</f>
        <v>Rien à signaler</v>
      </c>
      <c r="I1014" t="str">
        <f>_xlfn.XLOOKUP(Logs_Reseau6[[#This Row],[Cell_ID]],Registre[ID_Antenne],Registre[Equipementier],"Non Trouvée")</f>
        <v>Non Trouvée</v>
      </c>
      <c r="J1014" t="str">
        <f>_xlfn.XLOOKUP(Logs_Reseau6[[#This Row],[Id_Client]],Clients_Churn[ID_Client],Clients_Churn[Type_Forfait],"Pas d'information")</f>
        <v>Pas d'information</v>
      </c>
      <c r="K1014" s="5" t="str">
        <f>IF(Logs_Reseau6[[#This Row],[Type_Forfait]]="Pro Monde","B2B","B2C")</f>
        <v>B2C</v>
      </c>
      <c r="L1014" s="5" t="str">
        <f>_xlfn.XLOOKUP(Logs_Reseau6[[#This Row],[Id_Client]],Clients_Churn[ID_Client],Clients_Churn[Duree_Cumulee_Panne_Min],"Non Trouvée")</f>
        <v>Non Trouvée</v>
      </c>
      <c r="M1014" s="5" t="str">
        <f>_xlfn.XLOOKUP(Logs_Reseau6[[#This Row],[Id_Client]],Clients_Churn[ID_Client],Clients_Churn[Anciennete_Mois],"Rien à signaler")</f>
        <v>Rien à signaler</v>
      </c>
      <c r="N1014" s="5" t="e">
        <f>Logs_Reseau6[[#This Row],[Anciennette]]/24</f>
        <v>#VALUE!</v>
      </c>
      <c r="O1014" s="5" t="e">
        <f>Logs_Reseau6[[#This Row],[Duree_Cumulée_Panne]]/1440</f>
        <v>#VALUE!</v>
      </c>
      <c r="P101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15" spans="1:16" x14ac:dyDescent="0.25">
      <c r="A1015" s="2">
        <v>45203</v>
      </c>
      <c r="B1015" s="1">
        <v>0.51180555555555551</v>
      </c>
      <c r="C1015" t="s">
        <v>1109</v>
      </c>
      <c r="D1015">
        <v>64</v>
      </c>
      <c r="E1015" t="s">
        <v>1305</v>
      </c>
      <c r="F1015" t="str">
        <f>_xlfn.XLOOKUP(Logs_Reseau6[[#This Row],[Cell_ID]],Registre[ID_Antenne],Registre[Province_RDC],"Non Trouvée")</f>
        <v>Tshopo</v>
      </c>
      <c r="G1015" t="str">
        <f>_xlfn.XLOOKUP(Logs_Reseau6[[#This Row],[Province]],Clients_Churn[Province_Client],Clients_Churn[ID_Client],"Aucun")</f>
        <v>CLI-00100</v>
      </c>
      <c r="H1015" t="str">
        <f>_xlfn.XLOOKUP(Logs_Reseau6[[#This Row],[Cell_ID]],Registre[ID_Antenne],Registre[Technologie],"Rien à signaler")</f>
        <v>3G</v>
      </c>
      <c r="I1015" t="str">
        <f>_xlfn.XLOOKUP(Logs_Reseau6[[#This Row],[Cell_ID]],Registre[ID_Antenne],Registre[Equipementier],"Non Trouvée")</f>
        <v>ZTE</v>
      </c>
      <c r="J1015" t="str">
        <f>_xlfn.XLOOKUP(Logs_Reseau6[[#This Row],[Id_Client]],Clients_Churn[ID_Client],Clients_Churn[Type_Forfait],"Pas d'information")</f>
        <v>Bloqué 5Go</v>
      </c>
      <c r="K1015" s="5" t="str">
        <f>IF(Logs_Reseau6[[#This Row],[Type_Forfait]]="Pro Monde","B2B","B2C")</f>
        <v>B2C</v>
      </c>
      <c r="L1015" s="5">
        <f>_xlfn.XLOOKUP(Logs_Reseau6[[#This Row],[Id_Client]],Clients_Churn[ID_Client],Clients_Churn[Duree_Cumulee_Panne_Min],"Non Trouvée")</f>
        <v>388</v>
      </c>
      <c r="M1015" s="5">
        <f>_xlfn.XLOOKUP(Logs_Reseau6[[#This Row],[Id_Client]],Clients_Churn[ID_Client],Clients_Churn[Anciennete_Mois],"Rien à signaler")</f>
        <v>74</v>
      </c>
      <c r="N1015" s="11">
        <f>Logs_Reseau6[[#This Row],[Anciennette]]/24</f>
        <v>3.0833333333333335</v>
      </c>
      <c r="O1015" s="1">
        <f>Logs_Reseau6[[#This Row],[Duree_Cumulée_Panne]]/1440</f>
        <v>0.26944444444444443</v>
      </c>
      <c r="P101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16" spans="1:16" x14ac:dyDescent="0.25">
      <c r="A1016" s="2">
        <v>45220</v>
      </c>
      <c r="B1016" s="1">
        <v>0.20694444444444443</v>
      </c>
      <c r="C1016" t="s">
        <v>977</v>
      </c>
      <c r="D1016">
        <v>25</v>
      </c>
      <c r="E1016" t="s">
        <v>1300</v>
      </c>
      <c r="F1016" t="str">
        <f>_xlfn.XLOOKUP(Logs_Reseau6[[#This Row],[Cell_ID]],Registre[ID_Antenne],Registre[Province_RDC],"Non Trouvée")</f>
        <v>Equateur</v>
      </c>
      <c r="G1016" t="str">
        <f>_xlfn.XLOOKUP(Logs_Reseau6[[#This Row],[Province]],Clients_Churn[Province_Client],Clients_Churn[ID_Client],"Aucun")</f>
        <v>CLI-00091</v>
      </c>
      <c r="H1016" t="str">
        <f>_xlfn.XLOOKUP(Logs_Reseau6[[#This Row],[Cell_ID]],Registre[ID_Antenne],Registre[Technologie],"Rien à signaler")</f>
        <v>5G</v>
      </c>
      <c r="I1016" t="str">
        <f>_xlfn.XLOOKUP(Logs_Reseau6[[#This Row],[Cell_ID]],Registre[ID_Antenne],Registre[Equipementier],"Non Trouvée")</f>
        <v>Nokia</v>
      </c>
      <c r="J1016" t="str">
        <f>_xlfn.XLOOKUP(Logs_Reseau6[[#This Row],[Id_Client]],Clients_Churn[ID_Client],Clients_Churn[Type_Forfait],"Pas d'information")</f>
        <v>Bloqué 5Go</v>
      </c>
      <c r="K1016" s="5" t="str">
        <f>IF(Logs_Reseau6[[#This Row],[Type_Forfait]]="Pro Monde","B2B","B2C")</f>
        <v>B2C</v>
      </c>
      <c r="L1016" s="5">
        <f>_xlfn.XLOOKUP(Logs_Reseau6[[#This Row],[Id_Client]],Clients_Churn[ID_Client],Clients_Churn[Duree_Cumulee_Panne_Min],"Non Trouvée")</f>
        <v>435</v>
      </c>
      <c r="M1016" s="5">
        <f>_xlfn.XLOOKUP(Logs_Reseau6[[#This Row],[Id_Client]],Clients_Churn[ID_Client],Clients_Churn[Anciennete_Mois],"Rien à signaler")</f>
        <v>50</v>
      </c>
      <c r="N1016" s="11">
        <f>Logs_Reseau6[[#This Row],[Anciennette]]/24</f>
        <v>2.0833333333333335</v>
      </c>
      <c r="O1016" s="1">
        <f>Logs_Reseau6[[#This Row],[Duree_Cumulée_Panne]]/1440</f>
        <v>0.30208333333333331</v>
      </c>
      <c r="P101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17" spans="1:16" hidden="1" x14ac:dyDescent="0.25">
      <c r="A1017" s="2">
        <v>45219</v>
      </c>
      <c r="B1017" s="1">
        <v>0.9291666666666667</v>
      </c>
      <c r="C1017" t="s">
        <v>1625</v>
      </c>
      <c r="D1017">
        <v>115</v>
      </c>
      <c r="E1017" t="s">
        <v>1300</v>
      </c>
      <c r="F1017" t="str">
        <f>_xlfn.XLOOKUP(Logs_Reseau6[[#This Row],[Cell_ID]],Registre[ID_Antenne],Registre[Province_RDC],"Non Trouvée")</f>
        <v>Non Trouvée</v>
      </c>
      <c r="G1017" t="str">
        <f>_xlfn.XLOOKUP(Logs_Reseau6[[#This Row],[Province]],Clients_Churn[Province_Client],Clients_Churn[ID_Client],"Aucun")</f>
        <v>Aucun</v>
      </c>
      <c r="H1017" t="str">
        <f>_xlfn.XLOOKUP(Logs_Reseau6[[#This Row],[Cell_ID]],Registre[ID_Antenne],Registre[Technologie],"Rien à signaler")</f>
        <v>Rien à signaler</v>
      </c>
      <c r="I1017" t="str">
        <f>_xlfn.XLOOKUP(Logs_Reseau6[[#This Row],[Cell_ID]],Registre[ID_Antenne],Registre[Equipementier],"Non Trouvée")</f>
        <v>Non Trouvée</v>
      </c>
      <c r="J1017" t="str">
        <f>_xlfn.XLOOKUP(Logs_Reseau6[[#This Row],[Id_Client]],Clients_Churn[ID_Client],Clients_Churn[Type_Forfait],"Pas d'information")</f>
        <v>Pas d'information</v>
      </c>
      <c r="K1017" s="5" t="str">
        <f>IF(Logs_Reseau6[[#This Row],[Type_Forfait]]="Pro Monde","B2B","B2C")</f>
        <v>B2C</v>
      </c>
      <c r="L1017" s="5" t="str">
        <f>_xlfn.XLOOKUP(Logs_Reseau6[[#This Row],[Id_Client]],Clients_Churn[ID_Client],Clients_Churn[Duree_Cumulee_Panne_Min],"Non Trouvée")</f>
        <v>Non Trouvée</v>
      </c>
      <c r="M1017" s="5" t="str">
        <f>_xlfn.XLOOKUP(Logs_Reseau6[[#This Row],[Id_Client]],Clients_Churn[ID_Client],Clients_Churn[Anciennete_Mois],"Rien à signaler")</f>
        <v>Rien à signaler</v>
      </c>
      <c r="N1017" s="5" t="e">
        <f>Logs_Reseau6[[#This Row],[Anciennette]]/24</f>
        <v>#VALUE!</v>
      </c>
      <c r="O1017" s="5" t="e">
        <f>Logs_Reseau6[[#This Row],[Duree_Cumulée_Panne]]/1440</f>
        <v>#VALUE!</v>
      </c>
      <c r="P101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18" spans="1:16" x14ac:dyDescent="0.25">
      <c r="A1018" s="2">
        <v>45208</v>
      </c>
      <c r="B1018" s="1">
        <v>0.86388888888888893</v>
      </c>
      <c r="C1018" t="s">
        <v>1276</v>
      </c>
      <c r="D1018">
        <v>92</v>
      </c>
      <c r="E1018" t="s">
        <v>1300</v>
      </c>
      <c r="F1018" t="str">
        <f>_xlfn.XLOOKUP(Logs_Reseau6[[#This Row],[Cell_ID]],Registre[ID_Antenne],Registre[Province_RDC],"Non Trouvée")</f>
        <v>Kwilu</v>
      </c>
      <c r="G1018" t="str">
        <f>_xlfn.XLOOKUP(Logs_Reseau6[[#This Row],[Province]],Clients_Churn[Province_Client],Clients_Churn[ID_Client],"Aucun")</f>
        <v>CLI-00009</v>
      </c>
      <c r="H1018" t="str">
        <f>_xlfn.XLOOKUP(Logs_Reseau6[[#This Row],[Cell_ID]],Registre[ID_Antenne],Registre[Technologie],"Rien à signaler")</f>
        <v>4G</v>
      </c>
      <c r="I1018" t="str">
        <f>_xlfn.XLOOKUP(Logs_Reseau6[[#This Row],[Cell_ID]],Registre[ID_Antenne],Registre[Equipementier],"Non Trouvée")</f>
        <v>Huawei</v>
      </c>
      <c r="J1018" t="str">
        <f>_xlfn.XLOOKUP(Logs_Reseau6[[#This Row],[Id_Client]],Clients_Churn[ID_Client],Clients_Churn[Type_Forfait],"Pas d'information")</f>
        <v>Pro Monde</v>
      </c>
      <c r="K1018" s="5" t="str">
        <f>IF(Logs_Reseau6[[#This Row],[Type_Forfait]]="Pro Monde","B2B","B2C")</f>
        <v>B2B</v>
      </c>
      <c r="L1018" s="5">
        <f>_xlfn.XLOOKUP(Logs_Reseau6[[#This Row],[Id_Client]],Clients_Churn[ID_Client],Clients_Churn[Duree_Cumulee_Panne_Min],"Non Trouvée")</f>
        <v>297</v>
      </c>
      <c r="M1018" s="5">
        <f>_xlfn.XLOOKUP(Logs_Reseau6[[#This Row],[Id_Client]],Clients_Churn[ID_Client],Clients_Churn[Anciennete_Mois],"Rien à signaler")</f>
        <v>105</v>
      </c>
      <c r="N1018" s="11">
        <f>Logs_Reseau6[[#This Row],[Anciennette]]/24</f>
        <v>4.375</v>
      </c>
      <c r="O1018" s="1">
        <f>Logs_Reseau6[[#This Row],[Duree_Cumulée_Panne]]/1440</f>
        <v>0.20624999999999999</v>
      </c>
      <c r="P101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19" spans="1:16" x14ac:dyDescent="0.25">
      <c r="A1019" s="2">
        <v>45218</v>
      </c>
      <c r="B1019" s="1">
        <v>0.63194444444444442</v>
      </c>
      <c r="C1019" t="s">
        <v>1276</v>
      </c>
      <c r="D1019">
        <v>42</v>
      </c>
      <c r="E1019" t="s">
        <v>1303</v>
      </c>
      <c r="F1019" t="str">
        <f>_xlfn.XLOOKUP(Logs_Reseau6[[#This Row],[Cell_ID]],Registre[ID_Antenne],Registre[Province_RDC],"Non Trouvée")</f>
        <v>Kwilu</v>
      </c>
      <c r="G1019" t="str">
        <f>_xlfn.XLOOKUP(Logs_Reseau6[[#This Row],[Province]],Clients_Churn[Province_Client],Clients_Churn[ID_Client],"Aucun")</f>
        <v>CLI-00009</v>
      </c>
      <c r="H1019" t="str">
        <f>_xlfn.XLOOKUP(Logs_Reseau6[[#This Row],[Cell_ID]],Registre[ID_Antenne],Registre[Technologie],"Rien à signaler")</f>
        <v>4G</v>
      </c>
      <c r="I1019" t="str">
        <f>_xlfn.XLOOKUP(Logs_Reseau6[[#This Row],[Cell_ID]],Registre[ID_Antenne],Registre[Equipementier],"Non Trouvée")</f>
        <v>Huawei</v>
      </c>
      <c r="J1019" t="str">
        <f>_xlfn.XLOOKUP(Logs_Reseau6[[#This Row],[Id_Client]],Clients_Churn[ID_Client],Clients_Churn[Type_Forfait],"Pas d'information")</f>
        <v>Pro Monde</v>
      </c>
      <c r="K1019" s="5" t="str">
        <f>IF(Logs_Reseau6[[#This Row],[Type_Forfait]]="Pro Monde","B2B","B2C")</f>
        <v>B2B</v>
      </c>
      <c r="L1019" s="5">
        <f>_xlfn.XLOOKUP(Logs_Reseau6[[#This Row],[Id_Client]],Clients_Churn[ID_Client],Clients_Churn[Duree_Cumulee_Panne_Min],"Non Trouvée")</f>
        <v>297</v>
      </c>
      <c r="M1019" s="5">
        <f>_xlfn.XLOOKUP(Logs_Reseau6[[#This Row],[Id_Client]],Clients_Churn[ID_Client],Clients_Churn[Anciennete_Mois],"Rien à signaler")</f>
        <v>105</v>
      </c>
      <c r="N1019" s="11">
        <f>Logs_Reseau6[[#This Row],[Anciennette]]/24</f>
        <v>4.375</v>
      </c>
      <c r="O1019" s="1">
        <f>Logs_Reseau6[[#This Row],[Duree_Cumulée_Panne]]/1440</f>
        <v>0.20624999999999999</v>
      </c>
      <c r="P101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20" spans="1:16" hidden="1" x14ac:dyDescent="0.25">
      <c r="A1020" s="2">
        <v>45210</v>
      </c>
      <c r="B1020" s="1">
        <v>0.92152777777777772</v>
      </c>
      <c r="C1020" t="s">
        <v>1518</v>
      </c>
      <c r="D1020">
        <v>86</v>
      </c>
      <c r="E1020" t="s">
        <v>1303</v>
      </c>
      <c r="F1020" t="str">
        <f>_xlfn.XLOOKUP(Logs_Reseau6[[#This Row],[Cell_ID]],Registre[ID_Antenne],Registre[Province_RDC],"Non Trouvée")</f>
        <v>Non Trouvée</v>
      </c>
      <c r="G1020" t="str">
        <f>_xlfn.XLOOKUP(Logs_Reseau6[[#This Row],[Province]],Clients_Churn[Province_Client],Clients_Churn[ID_Client],"Aucun")</f>
        <v>Aucun</v>
      </c>
      <c r="H1020" t="str">
        <f>_xlfn.XLOOKUP(Logs_Reseau6[[#This Row],[Cell_ID]],Registre[ID_Antenne],Registre[Technologie],"Rien à signaler")</f>
        <v>Rien à signaler</v>
      </c>
      <c r="I1020" t="str">
        <f>_xlfn.XLOOKUP(Logs_Reseau6[[#This Row],[Cell_ID]],Registre[ID_Antenne],Registre[Equipementier],"Non Trouvée")</f>
        <v>Non Trouvée</v>
      </c>
      <c r="J1020" t="str">
        <f>_xlfn.XLOOKUP(Logs_Reseau6[[#This Row],[Id_Client]],Clients_Churn[ID_Client],Clients_Churn[Type_Forfait],"Pas d'information")</f>
        <v>Pas d'information</v>
      </c>
      <c r="K1020" s="5" t="str">
        <f>IF(Logs_Reseau6[[#This Row],[Type_Forfait]]="Pro Monde","B2B","B2C")</f>
        <v>B2C</v>
      </c>
      <c r="L1020" s="5" t="str">
        <f>_xlfn.XLOOKUP(Logs_Reseau6[[#This Row],[Id_Client]],Clients_Churn[ID_Client],Clients_Churn[Duree_Cumulee_Panne_Min],"Non Trouvée")</f>
        <v>Non Trouvée</v>
      </c>
      <c r="M1020" s="5" t="str">
        <f>_xlfn.XLOOKUP(Logs_Reseau6[[#This Row],[Id_Client]],Clients_Churn[ID_Client],Clients_Churn[Anciennete_Mois],"Rien à signaler")</f>
        <v>Rien à signaler</v>
      </c>
      <c r="N1020" s="5" t="e">
        <f>Logs_Reseau6[[#This Row],[Anciennette]]/24</f>
        <v>#VALUE!</v>
      </c>
      <c r="O1020" s="5" t="e">
        <f>Logs_Reseau6[[#This Row],[Duree_Cumulée_Panne]]/1440</f>
        <v>#VALUE!</v>
      </c>
      <c r="P102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21" spans="1:16" hidden="1" x14ac:dyDescent="0.25">
      <c r="A1021" s="2">
        <v>45214</v>
      </c>
      <c r="B1021" s="1">
        <v>0.93125000000000002</v>
      </c>
      <c r="C1021" t="s">
        <v>1518</v>
      </c>
      <c r="D1021">
        <v>81</v>
      </c>
      <c r="E1021" t="s">
        <v>1303</v>
      </c>
      <c r="F1021" t="str">
        <f>_xlfn.XLOOKUP(Logs_Reseau6[[#This Row],[Cell_ID]],Registre[ID_Antenne],Registre[Province_RDC],"Non Trouvée")</f>
        <v>Non Trouvée</v>
      </c>
      <c r="G1021" t="str">
        <f>_xlfn.XLOOKUP(Logs_Reseau6[[#This Row],[Province]],Clients_Churn[Province_Client],Clients_Churn[ID_Client],"Aucun")</f>
        <v>Aucun</v>
      </c>
      <c r="H1021" t="str">
        <f>_xlfn.XLOOKUP(Logs_Reseau6[[#This Row],[Cell_ID]],Registre[ID_Antenne],Registre[Technologie],"Rien à signaler")</f>
        <v>Rien à signaler</v>
      </c>
      <c r="I1021" t="str">
        <f>_xlfn.XLOOKUP(Logs_Reseau6[[#This Row],[Cell_ID]],Registre[ID_Antenne],Registre[Equipementier],"Non Trouvée")</f>
        <v>Non Trouvée</v>
      </c>
      <c r="J1021" t="str">
        <f>_xlfn.XLOOKUP(Logs_Reseau6[[#This Row],[Id_Client]],Clients_Churn[ID_Client],Clients_Churn[Type_Forfait],"Pas d'information")</f>
        <v>Pas d'information</v>
      </c>
      <c r="K1021" s="5" t="str">
        <f>IF(Logs_Reseau6[[#This Row],[Type_Forfait]]="Pro Monde","B2B","B2C")</f>
        <v>B2C</v>
      </c>
      <c r="L1021" s="5" t="str">
        <f>_xlfn.XLOOKUP(Logs_Reseau6[[#This Row],[Id_Client]],Clients_Churn[ID_Client],Clients_Churn[Duree_Cumulee_Panne_Min],"Non Trouvée")</f>
        <v>Non Trouvée</v>
      </c>
      <c r="M1021" s="5" t="str">
        <f>_xlfn.XLOOKUP(Logs_Reseau6[[#This Row],[Id_Client]],Clients_Churn[ID_Client],Clients_Churn[Anciennete_Mois],"Rien à signaler")</f>
        <v>Rien à signaler</v>
      </c>
      <c r="N1021" s="5" t="e">
        <f>Logs_Reseau6[[#This Row],[Anciennette]]/24</f>
        <v>#VALUE!</v>
      </c>
      <c r="O1021" s="5" t="e">
        <f>Logs_Reseau6[[#This Row],[Duree_Cumulée_Panne]]/1440</f>
        <v>#VALUE!</v>
      </c>
      <c r="P102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22" spans="1:16" hidden="1" x14ac:dyDescent="0.25">
      <c r="A1022" s="2">
        <v>45220</v>
      </c>
      <c r="B1022" s="1">
        <v>0.36805555555555558</v>
      </c>
      <c r="C1022" t="s">
        <v>1518</v>
      </c>
      <c r="D1022">
        <v>47</v>
      </c>
      <c r="E1022" t="s">
        <v>1305</v>
      </c>
      <c r="F1022" t="str">
        <f>_xlfn.XLOOKUP(Logs_Reseau6[[#This Row],[Cell_ID]],Registre[ID_Antenne],Registre[Province_RDC],"Non Trouvée")</f>
        <v>Non Trouvée</v>
      </c>
      <c r="G1022" t="str">
        <f>_xlfn.XLOOKUP(Logs_Reseau6[[#This Row],[Province]],Clients_Churn[Province_Client],Clients_Churn[ID_Client],"Aucun")</f>
        <v>Aucun</v>
      </c>
      <c r="H1022" t="str">
        <f>_xlfn.XLOOKUP(Logs_Reseau6[[#This Row],[Cell_ID]],Registre[ID_Antenne],Registre[Technologie],"Rien à signaler")</f>
        <v>Rien à signaler</v>
      </c>
      <c r="I1022" t="str">
        <f>_xlfn.XLOOKUP(Logs_Reseau6[[#This Row],[Cell_ID]],Registre[ID_Antenne],Registre[Equipementier],"Non Trouvée")</f>
        <v>Non Trouvée</v>
      </c>
      <c r="J1022" t="str">
        <f>_xlfn.XLOOKUP(Logs_Reseau6[[#This Row],[Id_Client]],Clients_Churn[ID_Client],Clients_Churn[Type_Forfait],"Pas d'information")</f>
        <v>Pas d'information</v>
      </c>
      <c r="K1022" s="5" t="str">
        <f>IF(Logs_Reseau6[[#This Row],[Type_Forfait]]="Pro Monde","B2B","B2C")</f>
        <v>B2C</v>
      </c>
      <c r="L1022" s="5" t="str">
        <f>_xlfn.XLOOKUP(Logs_Reseau6[[#This Row],[Id_Client]],Clients_Churn[ID_Client],Clients_Churn[Duree_Cumulee_Panne_Min],"Non Trouvée")</f>
        <v>Non Trouvée</v>
      </c>
      <c r="M1022" s="5" t="str">
        <f>_xlfn.XLOOKUP(Logs_Reseau6[[#This Row],[Id_Client]],Clients_Churn[ID_Client],Clients_Churn[Anciennete_Mois],"Rien à signaler")</f>
        <v>Rien à signaler</v>
      </c>
      <c r="N1022" s="5" t="e">
        <f>Logs_Reseau6[[#This Row],[Anciennette]]/24</f>
        <v>#VALUE!</v>
      </c>
      <c r="O1022" s="5" t="e">
        <f>Logs_Reseau6[[#This Row],[Duree_Cumulée_Panne]]/1440</f>
        <v>#VALUE!</v>
      </c>
      <c r="P102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23" spans="1:16" x14ac:dyDescent="0.25">
      <c r="A1023" s="2">
        <v>45212</v>
      </c>
      <c r="B1023" s="1">
        <v>0.11527777777777778</v>
      </c>
      <c r="C1023" t="s">
        <v>925</v>
      </c>
      <c r="D1023">
        <v>15</v>
      </c>
      <c r="E1023" t="s">
        <v>1303</v>
      </c>
      <c r="F1023" t="str">
        <f>_xlfn.XLOOKUP(Logs_Reseau6[[#This Row],[Cell_ID]],Registre[ID_Antenne],Registre[Province_RDC],"Non Trouvée")</f>
        <v>Haut-Lomami</v>
      </c>
      <c r="G1023" t="str">
        <f>_xlfn.XLOOKUP(Logs_Reseau6[[#This Row],[Province]],Clients_Churn[Province_Client],Clients_Churn[ID_Client],"Aucun")</f>
        <v>CLI-00022</v>
      </c>
      <c r="H1023" t="str">
        <f>_xlfn.XLOOKUP(Logs_Reseau6[[#This Row],[Cell_ID]],Registre[ID_Antenne],Registre[Technologie],"Rien à signaler")</f>
        <v>4G</v>
      </c>
      <c r="I1023" t="str">
        <f>_xlfn.XLOOKUP(Logs_Reseau6[[#This Row],[Cell_ID]],Registre[ID_Antenne],Registre[Equipementier],"Non Trouvée")</f>
        <v>Nokia</v>
      </c>
      <c r="J1023" t="str">
        <f>_xlfn.XLOOKUP(Logs_Reseau6[[#This Row],[Id_Client]],Clients_Churn[ID_Client],Clients_Churn[Type_Forfait],"Pas d'information")</f>
        <v>Premium 5G 150Go</v>
      </c>
      <c r="K1023" s="5" t="str">
        <f>IF(Logs_Reseau6[[#This Row],[Type_Forfait]]="Pro Monde","B2B","B2C")</f>
        <v>B2C</v>
      </c>
      <c r="L1023" s="5">
        <f>_xlfn.XLOOKUP(Logs_Reseau6[[#This Row],[Id_Client]],Clients_Churn[ID_Client],Clients_Churn[Duree_Cumulee_Panne_Min],"Non Trouvée")</f>
        <v>488</v>
      </c>
      <c r="M1023" s="5">
        <f>_xlfn.XLOOKUP(Logs_Reseau6[[#This Row],[Id_Client]],Clients_Churn[ID_Client],Clients_Churn[Anciennete_Mois],"Rien à signaler")</f>
        <v>77</v>
      </c>
      <c r="N1023" s="11">
        <f>Logs_Reseau6[[#This Row],[Anciennette]]/24</f>
        <v>3.2083333333333335</v>
      </c>
      <c r="O1023" s="1">
        <f>Logs_Reseau6[[#This Row],[Duree_Cumulée_Panne]]/1440</f>
        <v>0.33888888888888891</v>
      </c>
      <c r="P102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24" spans="1:16" x14ac:dyDescent="0.25">
      <c r="A1024" s="2">
        <v>45216</v>
      </c>
      <c r="B1024" s="1">
        <v>0.46388888888888891</v>
      </c>
      <c r="C1024" t="s">
        <v>925</v>
      </c>
      <c r="D1024">
        <v>58</v>
      </c>
      <c r="E1024" t="s">
        <v>1300</v>
      </c>
      <c r="F1024" t="str">
        <f>_xlfn.XLOOKUP(Logs_Reseau6[[#This Row],[Cell_ID]],Registre[ID_Antenne],Registre[Province_RDC],"Non Trouvée")</f>
        <v>Haut-Lomami</v>
      </c>
      <c r="G1024" t="str">
        <f>_xlfn.XLOOKUP(Logs_Reseau6[[#This Row],[Province]],Clients_Churn[Province_Client],Clients_Churn[ID_Client],"Aucun")</f>
        <v>CLI-00022</v>
      </c>
      <c r="H1024" t="str">
        <f>_xlfn.XLOOKUP(Logs_Reseau6[[#This Row],[Cell_ID]],Registre[ID_Antenne],Registre[Technologie],"Rien à signaler")</f>
        <v>4G</v>
      </c>
      <c r="I1024" t="str">
        <f>_xlfn.XLOOKUP(Logs_Reseau6[[#This Row],[Cell_ID]],Registre[ID_Antenne],Registre[Equipementier],"Non Trouvée")</f>
        <v>Nokia</v>
      </c>
      <c r="J1024" t="str">
        <f>_xlfn.XLOOKUP(Logs_Reseau6[[#This Row],[Id_Client]],Clients_Churn[ID_Client],Clients_Churn[Type_Forfait],"Pas d'information")</f>
        <v>Premium 5G 150Go</v>
      </c>
      <c r="K1024" s="5" t="str">
        <f>IF(Logs_Reseau6[[#This Row],[Type_Forfait]]="Pro Monde","B2B","B2C")</f>
        <v>B2C</v>
      </c>
      <c r="L1024" s="5">
        <f>_xlfn.XLOOKUP(Logs_Reseau6[[#This Row],[Id_Client]],Clients_Churn[ID_Client],Clients_Churn[Duree_Cumulee_Panne_Min],"Non Trouvée")</f>
        <v>488</v>
      </c>
      <c r="M1024" s="5">
        <f>_xlfn.XLOOKUP(Logs_Reseau6[[#This Row],[Id_Client]],Clients_Churn[ID_Client],Clients_Churn[Anciennete_Mois],"Rien à signaler")</f>
        <v>77</v>
      </c>
      <c r="N1024" s="11">
        <f>Logs_Reseau6[[#This Row],[Anciennette]]/24</f>
        <v>3.2083333333333335</v>
      </c>
      <c r="O1024" s="1">
        <f>Logs_Reseau6[[#This Row],[Duree_Cumulée_Panne]]/1440</f>
        <v>0.33888888888888891</v>
      </c>
      <c r="P102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25" spans="1:16" x14ac:dyDescent="0.25">
      <c r="A1025" s="2">
        <v>45229</v>
      </c>
      <c r="B1025" s="1">
        <v>0.67013888888888884</v>
      </c>
      <c r="C1025" t="s">
        <v>925</v>
      </c>
      <c r="D1025">
        <v>41</v>
      </c>
      <c r="E1025" t="s">
        <v>1305</v>
      </c>
      <c r="F1025" t="str">
        <f>_xlfn.XLOOKUP(Logs_Reseau6[[#This Row],[Cell_ID]],Registre[ID_Antenne],Registre[Province_RDC],"Non Trouvée")</f>
        <v>Haut-Lomami</v>
      </c>
      <c r="G1025" t="str">
        <f>_xlfn.XLOOKUP(Logs_Reseau6[[#This Row],[Province]],Clients_Churn[Province_Client],Clients_Churn[ID_Client],"Aucun")</f>
        <v>CLI-00022</v>
      </c>
      <c r="H1025" t="str">
        <f>_xlfn.XLOOKUP(Logs_Reseau6[[#This Row],[Cell_ID]],Registre[ID_Antenne],Registre[Technologie],"Rien à signaler")</f>
        <v>4G</v>
      </c>
      <c r="I1025" t="str">
        <f>_xlfn.XLOOKUP(Logs_Reseau6[[#This Row],[Cell_ID]],Registre[ID_Antenne],Registre[Equipementier],"Non Trouvée")</f>
        <v>Nokia</v>
      </c>
      <c r="J1025" t="str">
        <f>_xlfn.XLOOKUP(Logs_Reseau6[[#This Row],[Id_Client]],Clients_Churn[ID_Client],Clients_Churn[Type_Forfait],"Pas d'information")</f>
        <v>Premium 5G 150Go</v>
      </c>
      <c r="K1025" s="5" t="str">
        <f>IF(Logs_Reseau6[[#This Row],[Type_Forfait]]="Pro Monde","B2B","B2C")</f>
        <v>B2C</v>
      </c>
      <c r="L1025" s="5">
        <f>_xlfn.XLOOKUP(Logs_Reseau6[[#This Row],[Id_Client]],Clients_Churn[ID_Client],Clients_Churn[Duree_Cumulee_Panne_Min],"Non Trouvée")</f>
        <v>488</v>
      </c>
      <c r="M1025" s="5">
        <f>_xlfn.XLOOKUP(Logs_Reseau6[[#This Row],[Id_Client]],Clients_Churn[ID_Client],Clients_Churn[Anciennete_Mois],"Rien à signaler")</f>
        <v>77</v>
      </c>
      <c r="N1025" s="11">
        <f>Logs_Reseau6[[#This Row],[Anciennette]]/24</f>
        <v>3.2083333333333335</v>
      </c>
      <c r="O1025" s="1">
        <f>Logs_Reseau6[[#This Row],[Duree_Cumulée_Panne]]/1440</f>
        <v>0.33888888888888891</v>
      </c>
      <c r="P102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26" spans="1:16" hidden="1" x14ac:dyDescent="0.25">
      <c r="A1026" s="2">
        <v>45201</v>
      </c>
      <c r="B1026" s="1">
        <v>0.78055555555555556</v>
      </c>
      <c r="C1026" t="s">
        <v>1487</v>
      </c>
      <c r="D1026">
        <v>15</v>
      </c>
      <c r="E1026" t="s">
        <v>1300</v>
      </c>
      <c r="F1026" t="str">
        <f>_xlfn.XLOOKUP(Logs_Reseau6[[#This Row],[Cell_ID]],Registre[ID_Antenne],Registre[Province_RDC],"Non Trouvée")</f>
        <v>Non Trouvée</v>
      </c>
      <c r="G1026" t="str">
        <f>_xlfn.XLOOKUP(Logs_Reseau6[[#This Row],[Province]],Clients_Churn[Province_Client],Clients_Churn[ID_Client],"Aucun")</f>
        <v>Aucun</v>
      </c>
      <c r="H1026" t="str">
        <f>_xlfn.XLOOKUP(Logs_Reseau6[[#This Row],[Cell_ID]],Registre[ID_Antenne],Registre[Technologie],"Rien à signaler")</f>
        <v>Rien à signaler</v>
      </c>
      <c r="I1026" t="str">
        <f>_xlfn.XLOOKUP(Logs_Reseau6[[#This Row],[Cell_ID]],Registre[ID_Antenne],Registre[Equipementier],"Non Trouvée")</f>
        <v>Non Trouvée</v>
      </c>
      <c r="J1026" t="str">
        <f>_xlfn.XLOOKUP(Logs_Reseau6[[#This Row],[Id_Client]],Clients_Churn[ID_Client],Clients_Churn[Type_Forfait],"Pas d'information")</f>
        <v>Pas d'information</v>
      </c>
      <c r="K1026" s="5" t="str">
        <f>IF(Logs_Reseau6[[#This Row],[Type_Forfait]]="Pro Monde","B2B","B2C")</f>
        <v>B2C</v>
      </c>
      <c r="L1026" s="5" t="str">
        <f>_xlfn.XLOOKUP(Logs_Reseau6[[#This Row],[Id_Client]],Clients_Churn[ID_Client],Clients_Churn[Duree_Cumulee_Panne_Min],"Non Trouvée")</f>
        <v>Non Trouvée</v>
      </c>
      <c r="M1026" s="5" t="str">
        <f>_xlfn.XLOOKUP(Logs_Reseau6[[#This Row],[Id_Client]],Clients_Churn[ID_Client],Clients_Churn[Anciennete_Mois],"Rien à signaler")</f>
        <v>Rien à signaler</v>
      </c>
      <c r="N1026" s="5" t="e">
        <f>Logs_Reseau6[[#This Row],[Anciennette]]/24</f>
        <v>#VALUE!</v>
      </c>
      <c r="O1026" s="5" t="e">
        <f>Logs_Reseau6[[#This Row],[Duree_Cumulée_Panne]]/1440</f>
        <v>#VALUE!</v>
      </c>
      <c r="P102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27" spans="1:16" x14ac:dyDescent="0.25">
      <c r="A1027" s="2">
        <v>45225</v>
      </c>
      <c r="B1027" s="1">
        <v>5.4166666666666669E-2</v>
      </c>
      <c r="C1027" t="s">
        <v>917</v>
      </c>
      <c r="D1027">
        <v>38</v>
      </c>
      <c r="E1027" t="s">
        <v>1305</v>
      </c>
      <c r="F1027" t="str">
        <f>_xlfn.XLOOKUP(Logs_Reseau6[[#This Row],[Cell_ID]],Registre[ID_Antenne],Registre[Province_RDC],"Non Trouvée")</f>
        <v>Lualaba</v>
      </c>
      <c r="G1027" t="str">
        <f>_xlfn.XLOOKUP(Logs_Reseau6[[#This Row],[Province]],Clients_Churn[Province_Client],Clients_Churn[ID_Client],"Aucun")</f>
        <v>CLI-00334</v>
      </c>
      <c r="H1027" t="str">
        <f>_xlfn.XLOOKUP(Logs_Reseau6[[#This Row],[Cell_ID]],Registre[ID_Antenne],Registre[Technologie],"Rien à signaler")</f>
        <v>4G</v>
      </c>
      <c r="I1027" t="str">
        <f>_xlfn.XLOOKUP(Logs_Reseau6[[#This Row],[Cell_ID]],Registre[ID_Antenne],Registre[Equipementier],"Non Trouvée")</f>
        <v>Ericsson</v>
      </c>
      <c r="J1027" t="str">
        <f>_xlfn.XLOOKUP(Logs_Reseau6[[#This Row],[Id_Client]],Clients_Churn[ID_Client],Clients_Churn[Type_Forfait],"Pas d'information")</f>
        <v>Pro Monde</v>
      </c>
      <c r="K1027" s="5" t="str">
        <f>IF(Logs_Reseau6[[#This Row],[Type_Forfait]]="Pro Monde","B2B","B2C")</f>
        <v>B2B</v>
      </c>
      <c r="L1027" s="5">
        <f>_xlfn.XLOOKUP(Logs_Reseau6[[#This Row],[Id_Client]],Clients_Churn[ID_Client],Clients_Churn[Duree_Cumulee_Panne_Min],"Non Trouvée")</f>
        <v>214</v>
      </c>
      <c r="M1027" s="5">
        <f>_xlfn.XLOOKUP(Logs_Reseau6[[#This Row],[Id_Client]],Clients_Churn[ID_Client],Clients_Churn[Anciennete_Mois],"Rien à signaler")</f>
        <v>16</v>
      </c>
      <c r="N1027" s="11">
        <f>Logs_Reseau6[[#This Row],[Anciennette]]/24</f>
        <v>0.66666666666666663</v>
      </c>
      <c r="O1027" s="1">
        <f>Logs_Reseau6[[#This Row],[Duree_Cumulée_Panne]]/1440</f>
        <v>0.14861111111111111</v>
      </c>
      <c r="P102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28" spans="1:16" hidden="1" x14ac:dyDescent="0.25">
      <c r="A1028" s="2">
        <v>45203</v>
      </c>
      <c r="B1028" s="1">
        <v>0.88402777777777775</v>
      </c>
      <c r="C1028" t="s">
        <v>1500</v>
      </c>
      <c r="D1028">
        <v>116</v>
      </c>
      <c r="E1028" t="s">
        <v>1303</v>
      </c>
      <c r="F1028" t="str">
        <f>_xlfn.XLOOKUP(Logs_Reseau6[[#This Row],[Cell_ID]],Registre[ID_Antenne],Registre[Province_RDC],"Non Trouvée")</f>
        <v>Non Trouvée</v>
      </c>
      <c r="G1028" t="str">
        <f>_xlfn.XLOOKUP(Logs_Reseau6[[#This Row],[Province]],Clients_Churn[Province_Client],Clients_Churn[ID_Client],"Aucun")</f>
        <v>Aucun</v>
      </c>
      <c r="H1028" t="str">
        <f>_xlfn.XLOOKUP(Logs_Reseau6[[#This Row],[Cell_ID]],Registre[ID_Antenne],Registre[Technologie],"Rien à signaler")</f>
        <v>Rien à signaler</v>
      </c>
      <c r="I1028" t="str">
        <f>_xlfn.XLOOKUP(Logs_Reseau6[[#This Row],[Cell_ID]],Registre[ID_Antenne],Registre[Equipementier],"Non Trouvée")</f>
        <v>Non Trouvée</v>
      </c>
      <c r="J1028" t="str">
        <f>_xlfn.XLOOKUP(Logs_Reseau6[[#This Row],[Id_Client]],Clients_Churn[ID_Client],Clients_Churn[Type_Forfait],"Pas d'information")</f>
        <v>Pas d'information</v>
      </c>
      <c r="K1028" s="5" t="str">
        <f>IF(Logs_Reseau6[[#This Row],[Type_Forfait]]="Pro Monde","B2B","B2C")</f>
        <v>B2C</v>
      </c>
      <c r="L1028" s="5" t="str">
        <f>_xlfn.XLOOKUP(Logs_Reseau6[[#This Row],[Id_Client]],Clients_Churn[ID_Client],Clients_Churn[Duree_Cumulee_Panne_Min],"Non Trouvée")</f>
        <v>Non Trouvée</v>
      </c>
      <c r="M1028" s="5" t="str">
        <f>_xlfn.XLOOKUP(Logs_Reseau6[[#This Row],[Id_Client]],Clients_Churn[ID_Client],Clients_Churn[Anciennete_Mois],"Rien à signaler")</f>
        <v>Rien à signaler</v>
      </c>
      <c r="N1028" s="5" t="e">
        <f>Logs_Reseau6[[#This Row],[Anciennette]]/24</f>
        <v>#VALUE!</v>
      </c>
      <c r="O1028" s="5" t="e">
        <f>Logs_Reseau6[[#This Row],[Duree_Cumulée_Panne]]/1440</f>
        <v>#VALUE!</v>
      </c>
      <c r="P102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29" spans="1:16" hidden="1" x14ac:dyDescent="0.25">
      <c r="A1029" s="2">
        <v>45209</v>
      </c>
      <c r="B1029" s="1">
        <v>0.94097222222222221</v>
      </c>
      <c r="C1029" t="s">
        <v>1500</v>
      </c>
      <c r="D1029">
        <v>30</v>
      </c>
      <c r="E1029" t="s">
        <v>1305</v>
      </c>
      <c r="F1029" t="str">
        <f>_xlfn.XLOOKUP(Logs_Reseau6[[#This Row],[Cell_ID]],Registre[ID_Antenne],Registre[Province_RDC],"Non Trouvée")</f>
        <v>Non Trouvée</v>
      </c>
      <c r="G1029" t="str">
        <f>_xlfn.XLOOKUP(Logs_Reseau6[[#This Row],[Province]],Clients_Churn[Province_Client],Clients_Churn[ID_Client],"Aucun")</f>
        <v>Aucun</v>
      </c>
      <c r="H1029" t="str">
        <f>_xlfn.XLOOKUP(Logs_Reseau6[[#This Row],[Cell_ID]],Registre[ID_Antenne],Registre[Technologie],"Rien à signaler")</f>
        <v>Rien à signaler</v>
      </c>
      <c r="I1029" t="str">
        <f>_xlfn.XLOOKUP(Logs_Reseau6[[#This Row],[Cell_ID]],Registre[ID_Antenne],Registre[Equipementier],"Non Trouvée")</f>
        <v>Non Trouvée</v>
      </c>
      <c r="J1029" t="str">
        <f>_xlfn.XLOOKUP(Logs_Reseau6[[#This Row],[Id_Client]],Clients_Churn[ID_Client],Clients_Churn[Type_Forfait],"Pas d'information")</f>
        <v>Pas d'information</v>
      </c>
      <c r="K1029" s="5" t="str">
        <f>IF(Logs_Reseau6[[#This Row],[Type_Forfait]]="Pro Monde","B2B","B2C")</f>
        <v>B2C</v>
      </c>
      <c r="L1029" s="5" t="str">
        <f>_xlfn.XLOOKUP(Logs_Reseau6[[#This Row],[Id_Client]],Clients_Churn[ID_Client],Clients_Churn[Duree_Cumulee_Panne_Min],"Non Trouvée")</f>
        <v>Non Trouvée</v>
      </c>
      <c r="M1029" s="5" t="str">
        <f>_xlfn.XLOOKUP(Logs_Reseau6[[#This Row],[Id_Client]],Clients_Churn[ID_Client],Clients_Churn[Anciennete_Mois],"Rien à signaler")</f>
        <v>Rien à signaler</v>
      </c>
      <c r="N1029" s="5" t="e">
        <f>Logs_Reseau6[[#This Row],[Anciennette]]/24</f>
        <v>#VALUE!</v>
      </c>
      <c r="O1029" s="5" t="e">
        <f>Logs_Reseau6[[#This Row],[Duree_Cumulée_Panne]]/1440</f>
        <v>#VALUE!</v>
      </c>
      <c r="P102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30" spans="1:16" hidden="1" x14ac:dyDescent="0.25">
      <c r="A1030" s="2">
        <v>45208</v>
      </c>
      <c r="B1030" s="1">
        <v>0.52986111111111112</v>
      </c>
      <c r="C1030" t="s">
        <v>1507</v>
      </c>
      <c r="D1030">
        <v>72</v>
      </c>
      <c r="E1030" t="s">
        <v>1305</v>
      </c>
      <c r="F1030" t="str">
        <f>_xlfn.XLOOKUP(Logs_Reseau6[[#This Row],[Cell_ID]],Registre[ID_Antenne],Registre[Province_RDC],"Non Trouvée")</f>
        <v>Non Trouvée</v>
      </c>
      <c r="G1030" t="str">
        <f>_xlfn.XLOOKUP(Logs_Reseau6[[#This Row],[Province]],Clients_Churn[Province_Client],Clients_Churn[ID_Client],"Aucun")</f>
        <v>Aucun</v>
      </c>
      <c r="H1030" t="str">
        <f>_xlfn.XLOOKUP(Logs_Reseau6[[#This Row],[Cell_ID]],Registre[ID_Antenne],Registre[Technologie],"Rien à signaler")</f>
        <v>Rien à signaler</v>
      </c>
      <c r="I1030" t="str">
        <f>_xlfn.XLOOKUP(Logs_Reseau6[[#This Row],[Cell_ID]],Registre[ID_Antenne],Registre[Equipementier],"Non Trouvée")</f>
        <v>Non Trouvée</v>
      </c>
      <c r="J1030" t="str">
        <f>_xlfn.XLOOKUP(Logs_Reseau6[[#This Row],[Id_Client]],Clients_Churn[ID_Client],Clients_Churn[Type_Forfait],"Pas d'information")</f>
        <v>Pas d'information</v>
      </c>
      <c r="K1030" s="5" t="str">
        <f>IF(Logs_Reseau6[[#This Row],[Type_Forfait]]="Pro Monde","B2B","B2C")</f>
        <v>B2C</v>
      </c>
      <c r="L1030" s="5" t="str">
        <f>_xlfn.XLOOKUP(Logs_Reseau6[[#This Row],[Id_Client]],Clients_Churn[ID_Client],Clients_Churn[Duree_Cumulee_Panne_Min],"Non Trouvée")</f>
        <v>Non Trouvée</v>
      </c>
      <c r="M1030" s="5" t="str">
        <f>_xlfn.XLOOKUP(Logs_Reseau6[[#This Row],[Id_Client]],Clients_Churn[ID_Client],Clients_Churn[Anciennete_Mois],"Rien à signaler")</f>
        <v>Rien à signaler</v>
      </c>
      <c r="N1030" s="5" t="e">
        <f>Logs_Reseau6[[#This Row],[Anciennette]]/24</f>
        <v>#VALUE!</v>
      </c>
      <c r="O1030" s="5" t="e">
        <f>Logs_Reseau6[[#This Row],[Duree_Cumulée_Panne]]/1440</f>
        <v>#VALUE!</v>
      </c>
      <c r="P103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31" spans="1:16" x14ac:dyDescent="0.25">
      <c r="A1031" s="2">
        <v>45230</v>
      </c>
      <c r="B1031" s="1">
        <v>0.63888888888888884</v>
      </c>
      <c r="C1031" t="s">
        <v>1050</v>
      </c>
      <c r="D1031">
        <v>77</v>
      </c>
      <c r="E1031" t="s">
        <v>1303</v>
      </c>
      <c r="F1031" t="str">
        <f>_xlfn.XLOOKUP(Logs_Reseau6[[#This Row],[Cell_ID]],Registre[ID_Antenne],Registre[Province_RDC],"Non Trouvée")</f>
        <v>Kinshasa</v>
      </c>
      <c r="G1031" t="str">
        <f>_xlfn.XLOOKUP(Logs_Reseau6[[#This Row],[Province]],Clients_Churn[Province_Client],Clients_Churn[ID_Client],"Aucun")</f>
        <v>CLI-00184</v>
      </c>
      <c r="H1031" t="str">
        <f>_xlfn.XLOOKUP(Logs_Reseau6[[#This Row],[Cell_ID]],Registre[ID_Antenne],Registre[Technologie],"Rien à signaler")</f>
        <v>5G</v>
      </c>
      <c r="I1031" t="str">
        <f>_xlfn.XLOOKUP(Logs_Reseau6[[#This Row],[Cell_ID]],Registre[ID_Antenne],Registre[Equipementier],"Non Trouvée")</f>
        <v>Nokia</v>
      </c>
      <c r="J1031" t="str">
        <f>_xlfn.XLOOKUP(Logs_Reseau6[[#This Row],[Id_Client]],Clients_Churn[ID_Client],Clients_Churn[Type_Forfait],"Pas d'information")</f>
        <v>Premium 5G 150Go</v>
      </c>
      <c r="K1031" s="5" t="str">
        <f>IF(Logs_Reseau6[[#This Row],[Type_Forfait]]="Pro Monde","B2B","B2C")</f>
        <v>B2C</v>
      </c>
      <c r="L1031" s="5">
        <f>_xlfn.XLOOKUP(Logs_Reseau6[[#This Row],[Id_Client]],Clients_Churn[ID_Client],Clients_Churn[Duree_Cumulee_Panne_Min],"Non Trouvée")</f>
        <v>191</v>
      </c>
      <c r="M1031" s="5">
        <f>_xlfn.XLOOKUP(Logs_Reseau6[[#This Row],[Id_Client]],Clients_Churn[ID_Client],Clients_Churn[Anciennete_Mois],"Rien à signaler")</f>
        <v>71</v>
      </c>
      <c r="N1031" s="11">
        <f>Logs_Reseau6[[#This Row],[Anciennette]]/24</f>
        <v>2.9583333333333335</v>
      </c>
      <c r="O1031" s="1">
        <f>Logs_Reseau6[[#This Row],[Duree_Cumulée_Panne]]/1440</f>
        <v>0.13263888888888889</v>
      </c>
      <c r="P103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32" spans="1:16" x14ac:dyDescent="0.25">
      <c r="A1032" s="2">
        <v>45211</v>
      </c>
      <c r="B1032" s="1">
        <v>0.33750000000000002</v>
      </c>
      <c r="C1032" t="s">
        <v>1078</v>
      </c>
      <c r="D1032">
        <v>88</v>
      </c>
      <c r="E1032" t="s">
        <v>1303</v>
      </c>
      <c r="F1032" t="str">
        <f>_xlfn.XLOOKUP(Logs_Reseau6[[#This Row],[Cell_ID]],Registre[ID_Antenne],Registre[Province_RDC],"Non Trouvée")</f>
        <v>Ituri</v>
      </c>
      <c r="G1032" t="str">
        <f>_xlfn.XLOOKUP(Logs_Reseau6[[#This Row],[Province]],Clients_Churn[Province_Client],Clients_Churn[ID_Client],"Aucun")</f>
        <v>CLI-00041</v>
      </c>
      <c r="H1032" t="str">
        <f>_xlfn.XLOOKUP(Logs_Reseau6[[#This Row],[Cell_ID]],Registre[ID_Antenne],Registre[Technologie],"Rien à signaler")</f>
        <v>3G</v>
      </c>
      <c r="I1032" t="str">
        <f>_xlfn.XLOOKUP(Logs_Reseau6[[#This Row],[Cell_ID]],Registre[ID_Antenne],Registre[Equipementier],"Non Trouvée")</f>
        <v>Nokia</v>
      </c>
      <c r="J1032" t="str">
        <f>_xlfn.XLOOKUP(Logs_Reseau6[[#This Row],[Id_Client]],Clients_Churn[ID_Client],Clients_Churn[Type_Forfait],"Pas d'information")</f>
        <v>Pro Monde</v>
      </c>
      <c r="K1032" s="5" t="str">
        <f>IF(Logs_Reseau6[[#This Row],[Type_Forfait]]="Pro Monde","B2B","B2C")</f>
        <v>B2B</v>
      </c>
      <c r="L1032" s="5">
        <f>_xlfn.XLOOKUP(Logs_Reseau6[[#This Row],[Id_Client]],Clients_Churn[ID_Client],Clients_Churn[Duree_Cumulee_Panne_Min],"Non Trouvée")</f>
        <v>105</v>
      </c>
      <c r="M1032" s="5">
        <f>_xlfn.XLOOKUP(Logs_Reseau6[[#This Row],[Id_Client]],Clients_Churn[ID_Client],Clients_Churn[Anciennete_Mois],"Rien à signaler")</f>
        <v>103</v>
      </c>
      <c r="N1032" s="11">
        <f>Logs_Reseau6[[#This Row],[Anciennette]]/24</f>
        <v>4.291666666666667</v>
      </c>
      <c r="O1032" s="1">
        <f>Logs_Reseau6[[#This Row],[Duree_Cumulée_Panne]]/1440</f>
        <v>7.2916666666666671E-2</v>
      </c>
      <c r="P103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33" spans="1:16" hidden="1" x14ac:dyDescent="0.25">
      <c r="A1033" s="2">
        <v>45205</v>
      </c>
      <c r="B1033" s="1">
        <v>0.10277777777777777</v>
      </c>
      <c r="C1033" t="s">
        <v>1416</v>
      </c>
      <c r="D1033">
        <v>84</v>
      </c>
      <c r="E1033" t="s">
        <v>1305</v>
      </c>
      <c r="F1033" t="str">
        <f>_xlfn.XLOOKUP(Logs_Reseau6[[#This Row],[Cell_ID]],Registre[ID_Antenne],Registre[Province_RDC],"Non Trouvée")</f>
        <v>Non Trouvée</v>
      </c>
      <c r="G1033" t="str">
        <f>_xlfn.XLOOKUP(Logs_Reseau6[[#This Row],[Province]],Clients_Churn[Province_Client],Clients_Churn[ID_Client],"Aucun")</f>
        <v>Aucun</v>
      </c>
      <c r="H1033" t="str">
        <f>_xlfn.XLOOKUP(Logs_Reseau6[[#This Row],[Cell_ID]],Registre[ID_Antenne],Registre[Technologie],"Rien à signaler")</f>
        <v>Rien à signaler</v>
      </c>
      <c r="I1033" t="str">
        <f>_xlfn.XLOOKUP(Logs_Reseau6[[#This Row],[Cell_ID]],Registre[ID_Antenne],Registre[Equipementier],"Non Trouvée")</f>
        <v>Non Trouvée</v>
      </c>
      <c r="J1033" t="str">
        <f>_xlfn.XLOOKUP(Logs_Reseau6[[#This Row],[Id_Client]],Clients_Churn[ID_Client],Clients_Churn[Type_Forfait],"Pas d'information")</f>
        <v>Pas d'information</v>
      </c>
      <c r="K1033" s="5" t="str">
        <f>IF(Logs_Reseau6[[#This Row],[Type_Forfait]]="Pro Monde","B2B","B2C")</f>
        <v>B2C</v>
      </c>
      <c r="L1033" s="5" t="str">
        <f>_xlfn.XLOOKUP(Logs_Reseau6[[#This Row],[Id_Client]],Clients_Churn[ID_Client],Clients_Churn[Duree_Cumulee_Panne_Min],"Non Trouvée")</f>
        <v>Non Trouvée</v>
      </c>
      <c r="M1033" s="5" t="str">
        <f>_xlfn.XLOOKUP(Logs_Reseau6[[#This Row],[Id_Client]],Clients_Churn[ID_Client],Clients_Churn[Anciennete_Mois],"Rien à signaler")</f>
        <v>Rien à signaler</v>
      </c>
      <c r="N1033" s="5" t="e">
        <f>Logs_Reseau6[[#This Row],[Anciennette]]/24</f>
        <v>#VALUE!</v>
      </c>
      <c r="O1033" s="5" t="e">
        <f>Logs_Reseau6[[#This Row],[Duree_Cumulée_Panne]]/1440</f>
        <v>#VALUE!</v>
      </c>
      <c r="P103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34" spans="1:16" hidden="1" x14ac:dyDescent="0.25">
      <c r="A1034" s="2">
        <v>45201</v>
      </c>
      <c r="B1034" s="1">
        <v>0.67013888888888884</v>
      </c>
      <c r="C1034" t="s">
        <v>1340</v>
      </c>
      <c r="D1034">
        <v>22</v>
      </c>
      <c r="E1034" t="s">
        <v>1305</v>
      </c>
      <c r="F1034" t="str">
        <f>_xlfn.XLOOKUP(Logs_Reseau6[[#This Row],[Cell_ID]],Registre[ID_Antenne],Registre[Province_RDC],"Non Trouvée")</f>
        <v>Non Trouvée</v>
      </c>
      <c r="G1034" t="str">
        <f>_xlfn.XLOOKUP(Logs_Reseau6[[#This Row],[Province]],Clients_Churn[Province_Client],Clients_Churn[ID_Client],"Aucun")</f>
        <v>Aucun</v>
      </c>
      <c r="H1034" t="str">
        <f>_xlfn.XLOOKUP(Logs_Reseau6[[#This Row],[Cell_ID]],Registre[ID_Antenne],Registre[Technologie],"Rien à signaler")</f>
        <v>Rien à signaler</v>
      </c>
      <c r="I1034" t="str">
        <f>_xlfn.XLOOKUP(Logs_Reseau6[[#This Row],[Cell_ID]],Registre[ID_Antenne],Registre[Equipementier],"Non Trouvée")</f>
        <v>Non Trouvée</v>
      </c>
      <c r="J1034" t="str">
        <f>_xlfn.XLOOKUP(Logs_Reseau6[[#This Row],[Id_Client]],Clients_Churn[ID_Client],Clients_Churn[Type_Forfait],"Pas d'information")</f>
        <v>Pas d'information</v>
      </c>
      <c r="K1034" s="5" t="str">
        <f>IF(Logs_Reseau6[[#This Row],[Type_Forfait]]="Pro Monde","B2B","B2C")</f>
        <v>B2C</v>
      </c>
      <c r="L1034" s="5" t="str">
        <f>_xlfn.XLOOKUP(Logs_Reseau6[[#This Row],[Id_Client]],Clients_Churn[ID_Client],Clients_Churn[Duree_Cumulee_Panne_Min],"Non Trouvée")</f>
        <v>Non Trouvée</v>
      </c>
      <c r="M1034" s="5" t="str">
        <f>_xlfn.XLOOKUP(Logs_Reseau6[[#This Row],[Id_Client]],Clients_Churn[ID_Client],Clients_Churn[Anciennete_Mois],"Rien à signaler")</f>
        <v>Rien à signaler</v>
      </c>
      <c r="N1034" s="5" t="e">
        <f>Logs_Reseau6[[#This Row],[Anciennette]]/24</f>
        <v>#VALUE!</v>
      </c>
      <c r="O1034" s="5" t="e">
        <f>Logs_Reseau6[[#This Row],[Duree_Cumulée_Panne]]/1440</f>
        <v>#VALUE!</v>
      </c>
      <c r="P103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35" spans="1:16" hidden="1" x14ac:dyDescent="0.25">
      <c r="A1035" s="2">
        <v>45219</v>
      </c>
      <c r="B1035" s="1">
        <v>0.99791666666666667</v>
      </c>
      <c r="C1035" t="s">
        <v>1340</v>
      </c>
      <c r="D1035">
        <v>102</v>
      </c>
      <c r="E1035" t="s">
        <v>1303</v>
      </c>
      <c r="F1035" t="str">
        <f>_xlfn.XLOOKUP(Logs_Reseau6[[#This Row],[Cell_ID]],Registre[ID_Antenne],Registre[Province_RDC],"Non Trouvée")</f>
        <v>Non Trouvée</v>
      </c>
      <c r="G1035" t="str">
        <f>_xlfn.XLOOKUP(Logs_Reseau6[[#This Row],[Province]],Clients_Churn[Province_Client],Clients_Churn[ID_Client],"Aucun")</f>
        <v>Aucun</v>
      </c>
      <c r="H1035" t="str">
        <f>_xlfn.XLOOKUP(Logs_Reseau6[[#This Row],[Cell_ID]],Registre[ID_Antenne],Registre[Technologie],"Rien à signaler")</f>
        <v>Rien à signaler</v>
      </c>
      <c r="I1035" t="str">
        <f>_xlfn.XLOOKUP(Logs_Reseau6[[#This Row],[Cell_ID]],Registre[ID_Antenne],Registre[Equipementier],"Non Trouvée")</f>
        <v>Non Trouvée</v>
      </c>
      <c r="J1035" t="str">
        <f>_xlfn.XLOOKUP(Logs_Reseau6[[#This Row],[Id_Client]],Clients_Churn[ID_Client],Clients_Churn[Type_Forfait],"Pas d'information")</f>
        <v>Pas d'information</v>
      </c>
      <c r="K1035" s="5" t="str">
        <f>IF(Logs_Reseau6[[#This Row],[Type_Forfait]]="Pro Monde","B2B","B2C")</f>
        <v>B2C</v>
      </c>
      <c r="L1035" s="5" t="str">
        <f>_xlfn.XLOOKUP(Logs_Reseau6[[#This Row],[Id_Client]],Clients_Churn[ID_Client],Clients_Churn[Duree_Cumulee_Panne_Min],"Non Trouvée")</f>
        <v>Non Trouvée</v>
      </c>
      <c r="M1035" s="5" t="str">
        <f>_xlfn.XLOOKUP(Logs_Reseau6[[#This Row],[Id_Client]],Clients_Churn[ID_Client],Clients_Churn[Anciennete_Mois],"Rien à signaler")</f>
        <v>Rien à signaler</v>
      </c>
      <c r="N1035" s="5" t="e">
        <f>Logs_Reseau6[[#This Row],[Anciennette]]/24</f>
        <v>#VALUE!</v>
      </c>
      <c r="O1035" s="5" t="e">
        <f>Logs_Reseau6[[#This Row],[Duree_Cumulée_Panne]]/1440</f>
        <v>#VALUE!</v>
      </c>
      <c r="P103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36" spans="1:16" hidden="1" x14ac:dyDescent="0.25">
      <c r="A1036" s="2">
        <v>45225</v>
      </c>
      <c r="B1036" s="1">
        <v>0.17708333333333334</v>
      </c>
      <c r="C1036" t="s">
        <v>1466</v>
      </c>
      <c r="D1036">
        <v>36</v>
      </c>
      <c r="E1036" t="s">
        <v>1305</v>
      </c>
      <c r="F1036" t="str">
        <f>_xlfn.XLOOKUP(Logs_Reseau6[[#This Row],[Cell_ID]],Registre[ID_Antenne],Registre[Province_RDC],"Non Trouvée")</f>
        <v>Non Trouvée</v>
      </c>
      <c r="G1036" t="str">
        <f>_xlfn.XLOOKUP(Logs_Reseau6[[#This Row],[Province]],Clients_Churn[Province_Client],Clients_Churn[ID_Client],"Aucun")</f>
        <v>Aucun</v>
      </c>
      <c r="H1036" t="str">
        <f>_xlfn.XLOOKUP(Logs_Reseau6[[#This Row],[Cell_ID]],Registre[ID_Antenne],Registre[Technologie],"Rien à signaler")</f>
        <v>Rien à signaler</v>
      </c>
      <c r="I1036" t="str">
        <f>_xlfn.XLOOKUP(Logs_Reseau6[[#This Row],[Cell_ID]],Registre[ID_Antenne],Registre[Equipementier],"Non Trouvée")</f>
        <v>Non Trouvée</v>
      </c>
      <c r="J1036" t="str">
        <f>_xlfn.XLOOKUP(Logs_Reseau6[[#This Row],[Id_Client]],Clients_Churn[ID_Client],Clients_Churn[Type_Forfait],"Pas d'information")</f>
        <v>Pas d'information</v>
      </c>
      <c r="K1036" s="5" t="str">
        <f>IF(Logs_Reseau6[[#This Row],[Type_Forfait]]="Pro Monde","B2B","B2C")</f>
        <v>B2C</v>
      </c>
      <c r="L1036" s="5" t="str">
        <f>_xlfn.XLOOKUP(Logs_Reseau6[[#This Row],[Id_Client]],Clients_Churn[ID_Client],Clients_Churn[Duree_Cumulee_Panne_Min],"Non Trouvée")</f>
        <v>Non Trouvée</v>
      </c>
      <c r="M1036" s="5" t="str">
        <f>_xlfn.XLOOKUP(Logs_Reseau6[[#This Row],[Id_Client]],Clients_Churn[ID_Client],Clients_Churn[Anciennete_Mois],"Rien à signaler")</f>
        <v>Rien à signaler</v>
      </c>
      <c r="N1036" s="5" t="e">
        <f>Logs_Reseau6[[#This Row],[Anciennette]]/24</f>
        <v>#VALUE!</v>
      </c>
      <c r="O1036" s="5" t="e">
        <f>Logs_Reseau6[[#This Row],[Duree_Cumulée_Panne]]/1440</f>
        <v>#VALUE!</v>
      </c>
      <c r="P1036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37" spans="1:16" x14ac:dyDescent="0.25">
      <c r="A1037" s="2">
        <v>45207</v>
      </c>
      <c r="B1037" s="1">
        <v>0.98263888888888884</v>
      </c>
      <c r="C1037" t="s">
        <v>1115</v>
      </c>
      <c r="D1037">
        <v>25</v>
      </c>
      <c r="E1037" t="s">
        <v>1305</v>
      </c>
      <c r="F1037" t="str">
        <f>_xlfn.XLOOKUP(Logs_Reseau6[[#This Row],[Cell_ID]],Registre[ID_Antenne],Registre[Province_RDC],"Non Trouvée")</f>
        <v>Nord-Kivu</v>
      </c>
      <c r="G1037" t="str">
        <f>_xlfn.XLOOKUP(Logs_Reseau6[[#This Row],[Province]],Clients_Churn[Province_Client],Clients_Churn[ID_Client],"Aucun")</f>
        <v>CLI-00043</v>
      </c>
      <c r="H1037" t="str">
        <f>_xlfn.XLOOKUP(Logs_Reseau6[[#This Row],[Cell_ID]],Registre[ID_Antenne],Registre[Technologie],"Rien à signaler")</f>
        <v>3G</v>
      </c>
      <c r="I1037" t="str">
        <f>_xlfn.XLOOKUP(Logs_Reseau6[[#This Row],[Cell_ID]],Registre[ID_Antenne],Registre[Equipementier],"Non Trouvée")</f>
        <v>Huawei</v>
      </c>
      <c r="J1037" t="str">
        <f>_xlfn.XLOOKUP(Logs_Reseau6[[#This Row],[Id_Client]],Clients_Churn[ID_Client],Clients_Churn[Type_Forfait],"Pas d'information")</f>
        <v>Pro Monde</v>
      </c>
      <c r="K1037" s="5" t="str">
        <f>IF(Logs_Reseau6[[#This Row],[Type_Forfait]]="Pro Monde","B2B","B2C")</f>
        <v>B2B</v>
      </c>
      <c r="L1037" s="5">
        <f>_xlfn.XLOOKUP(Logs_Reseau6[[#This Row],[Id_Client]],Clients_Churn[ID_Client],Clients_Churn[Duree_Cumulee_Panne_Min],"Non Trouvée")</f>
        <v>132</v>
      </c>
      <c r="M1037" s="5">
        <f>_xlfn.XLOOKUP(Logs_Reseau6[[#This Row],[Id_Client]],Clients_Churn[ID_Client],Clients_Churn[Anciennete_Mois],"Rien à signaler")</f>
        <v>118</v>
      </c>
      <c r="N1037" s="11">
        <f>Logs_Reseau6[[#This Row],[Anciennette]]/24</f>
        <v>4.916666666666667</v>
      </c>
      <c r="O1037" s="1">
        <f>Logs_Reseau6[[#This Row],[Duree_Cumulée_Panne]]/1440</f>
        <v>9.166666666666666E-2</v>
      </c>
      <c r="P103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38" spans="1:16" x14ac:dyDescent="0.25">
      <c r="A1038" s="2">
        <v>45215</v>
      </c>
      <c r="B1038" s="1">
        <v>0.67291666666666672</v>
      </c>
      <c r="C1038" t="s">
        <v>1115</v>
      </c>
      <c r="D1038">
        <v>117</v>
      </c>
      <c r="E1038" t="s">
        <v>1305</v>
      </c>
      <c r="F1038" t="str">
        <f>_xlfn.XLOOKUP(Logs_Reseau6[[#This Row],[Cell_ID]],Registre[ID_Antenne],Registre[Province_RDC],"Non Trouvée")</f>
        <v>Nord-Kivu</v>
      </c>
      <c r="G1038" t="str">
        <f>_xlfn.XLOOKUP(Logs_Reseau6[[#This Row],[Province]],Clients_Churn[Province_Client],Clients_Churn[ID_Client],"Aucun")</f>
        <v>CLI-00043</v>
      </c>
      <c r="H1038" t="str">
        <f>_xlfn.XLOOKUP(Logs_Reseau6[[#This Row],[Cell_ID]],Registre[ID_Antenne],Registre[Technologie],"Rien à signaler")</f>
        <v>3G</v>
      </c>
      <c r="I1038" t="str">
        <f>_xlfn.XLOOKUP(Logs_Reseau6[[#This Row],[Cell_ID]],Registre[ID_Antenne],Registre[Equipementier],"Non Trouvée")</f>
        <v>Huawei</v>
      </c>
      <c r="J1038" t="str">
        <f>_xlfn.XLOOKUP(Logs_Reseau6[[#This Row],[Id_Client]],Clients_Churn[ID_Client],Clients_Churn[Type_Forfait],"Pas d'information")</f>
        <v>Pro Monde</v>
      </c>
      <c r="K1038" s="5" t="str">
        <f>IF(Logs_Reseau6[[#This Row],[Type_Forfait]]="Pro Monde","B2B","B2C")</f>
        <v>B2B</v>
      </c>
      <c r="L1038" s="5">
        <f>_xlfn.XLOOKUP(Logs_Reseau6[[#This Row],[Id_Client]],Clients_Churn[ID_Client],Clients_Churn[Duree_Cumulee_Panne_Min],"Non Trouvée")</f>
        <v>132</v>
      </c>
      <c r="M1038" s="5">
        <f>_xlfn.XLOOKUP(Logs_Reseau6[[#This Row],[Id_Client]],Clients_Churn[ID_Client],Clients_Churn[Anciennete_Mois],"Rien à signaler")</f>
        <v>118</v>
      </c>
      <c r="N1038" s="11">
        <f>Logs_Reseau6[[#This Row],[Anciennette]]/24</f>
        <v>4.916666666666667</v>
      </c>
      <c r="O1038" s="1">
        <f>Logs_Reseau6[[#This Row],[Duree_Cumulée_Panne]]/1440</f>
        <v>9.166666666666666E-2</v>
      </c>
      <c r="P103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39" spans="1:16" hidden="1" x14ac:dyDescent="0.25">
      <c r="A1039" s="2">
        <v>45201</v>
      </c>
      <c r="B1039" s="1">
        <v>0.35</v>
      </c>
      <c r="C1039" t="s">
        <v>1364</v>
      </c>
      <c r="D1039">
        <v>73</v>
      </c>
      <c r="E1039" t="s">
        <v>1300</v>
      </c>
      <c r="F1039" t="str">
        <f>_xlfn.XLOOKUP(Logs_Reseau6[[#This Row],[Cell_ID]],Registre[ID_Antenne],Registre[Province_RDC],"Non Trouvée")</f>
        <v>Non Trouvée</v>
      </c>
      <c r="G1039" t="str">
        <f>_xlfn.XLOOKUP(Logs_Reseau6[[#This Row],[Province]],Clients_Churn[Province_Client],Clients_Churn[ID_Client],"Aucun")</f>
        <v>Aucun</v>
      </c>
      <c r="H1039" t="str">
        <f>_xlfn.XLOOKUP(Logs_Reseau6[[#This Row],[Cell_ID]],Registre[ID_Antenne],Registre[Technologie],"Rien à signaler")</f>
        <v>Rien à signaler</v>
      </c>
      <c r="I1039" t="str">
        <f>_xlfn.XLOOKUP(Logs_Reseau6[[#This Row],[Cell_ID]],Registre[ID_Antenne],Registre[Equipementier],"Non Trouvée")</f>
        <v>Non Trouvée</v>
      </c>
      <c r="J1039" t="str">
        <f>_xlfn.XLOOKUP(Logs_Reseau6[[#This Row],[Id_Client]],Clients_Churn[ID_Client],Clients_Churn[Type_Forfait],"Pas d'information")</f>
        <v>Pas d'information</v>
      </c>
      <c r="K1039" s="5" t="str">
        <f>IF(Logs_Reseau6[[#This Row],[Type_Forfait]]="Pro Monde","B2B","B2C")</f>
        <v>B2C</v>
      </c>
      <c r="L1039" s="5" t="str">
        <f>_xlfn.XLOOKUP(Logs_Reseau6[[#This Row],[Id_Client]],Clients_Churn[ID_Client],Clients_Churn[Duree_Cumulee_Panne_Min],"Non Trouvée")</f>
        <v>Non Trouvée</v>
      </c>
      <c r="M1039" s="5" t="str">
        <f>_xlfn.XLOOKUP(Logs_Reseau6[[#This Row],[Id_Client]],Clients_Churn[ID_Client],Clients_Churn[Anciennete_Mois],"Rien à signaler")</f>
        <v>Rien à signaler</v>
      </c>
      <c r="N1039" s="5" t="e">
        <f>Logs_Reseau6[[#This Row],[Anciennette]]/24</f>
        <v>#VALUE!</v>
      </c>
      <c r="O1039" s="5" t="e">
        <f>Logs_Reseau6[[#This Row],[Duree_Cumulée_Panne]]/1440</f>
        <v>#VALUE!</v>
      </c>
      <c r="P103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40" spans="1:16" hidden="1" x14ac:dyDescent="0.25">
      <c r="A1040" s="2">
        <v>45202</v>
      </c>
      <c r="B1040" s="1">
        <v>0.28958333333333336</v>
      </c>
      <c r="C1040" t="s">
        <v>1364</v>
      </c>
      <c r="D1040">
        <v>103</v>
      </c>
      <c r="E1040" t="s">
        <v>1303</v>
      </c>
      <c r="F1040" t="str">
        <f>_xlfn.XLOOKUP(Logs_Reseau6[[#This Row],[Cell_ID]],Registre[ID_Antenne],Registre[Province_RDC],"Non Trouvée")</f>
        <v>Non Trouvée</v>
      </c>
      <c r="G1040" t="str">
        <f>_xlfn.XLOOKUP(Logs_Reseau6[[#This Row],[Province]],Clients_Churn[Province_Client],Clients_Churn[ID_Client],"Aucun")</f>
        <v>Aucun</v>
      </c>
      <c r="H1040" t="str">
        <f>_xlfn.XLOOKUP(Logs_Reseau6[[#This Row],[Cell_ID]],Registre[ID_Antenne],Registre[Technologie],"Rien à signaler")</f>
        <v>Rien à signaler</v>
      </c>
      <c r="I1040" t="str">
        <f>_xlfn.XLOOKUP(Logs_Reseau6[[#This Row],[Cell_ID]],Registre[ID_Antenne],Registre[Equipementier],"Non Trouvée")</f>
        <v>Non Trouvée</v>
      </c>
      <c r="J1040" t="str">
        <f>_xlfn.XLOOKUP(Logs_Reseau6[[#This Row],[Id_Client]],Clients_Churn[ID_Client],Clients_Churn[Type_Forfait],"Pas d'information")</f>
        <v>Pas d'information</v>
      </c>
      <c r="K1040" s="5" t="str">
        <f>IF(Logs_Reseau6[[#This Row],[Type_Forfait]]="Pro Monde","B2B","B2C")</f>
        <v>B2C</v>
      </c>
      <c r="L1040" s="5" t="str">
        <f>_xlfn.XLOOKUP(Logs_Reseau6[[#This Row],[Id_Client]],Clients_Churn[ID_Client],Clients_Churn[Duree_Cumulee_Panne_Min],"Non Trouvée")</f>
        <v>Non Trouvée</v>
      </c>
      <c r="M1040" s="5" t="str">
        <f>_xlfn.XLOOKUP(Logs_Reseau6[[#This Row],[Id_Client]],Clients_Churn[ID_Client],Clients_Churn[Anciennete_Mois],"Rien à signaler")</f>
        <v>Rien à signaler</v>
      </c>
      <c r="N1040" s="5" t="e">
        <f>Logs_Reseau6[[#This Row],[Anciennette]]/24</f>
        <v>#VALUE!</v>
      </c>
      <c r="O1040" s="5" t="e">
        <f>Logs_Reseau6[[#This Row],[Duree_Cumulée_Panne]]/1440</f>
        <v>#VALUE!</v>
      </c>
      <c r="P104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41" spans="1:16" hidden="1" x14ac:dyDescent="0.25">
      <c r="A1041" s="2">
        <v>45217</v>
      </c>
      <c r="B1041" s="1">
        <v>0.81874999999999998</v>
      </c>
      <c r="C1041" t="s">
        <v>1364</v>
      </c>
      <c r="D1041">
        <v>100</v>
      </c>
      <c r="E1041" t="s">
        <v>1300</v>
      </c>
      <c r="F1041" t="str">
        <f>_xlfn.XLOOKUP(Logs_Reseau6[[#This Row],[Cell_ID]],Registre[ID_Antenne],Registre[Province_RDC],"Non Trouvée")</f>
        <v>Non Trouvée</v>
      </c>
      <c r="G1041" t="str">
        <f>_xlfn.XLOOKUP(Logs_Reseau6[[#This Row],[Province]],Clients_Churn[Province_Client],Clients_Churn[ID_Client],"Aucun")</f>
        <v>Aucun</v>
      </c>
      <c r="H1041" t="str">
        <f>_xlfn.XLOOKUP(Logs_Reseau6[[#This Row],[Cell_ID]],Registre[ID_Antenne],Registre[Technologie],"Rien à signaler")</f>
        <v>Rien à signaler</v>
      </c>
      <c r="I1041" t="str">
        <f>_xlfn.XLOOKUP(Logs_Reseau6[[#This Row],[Cell_ID]],Registre[ID_Antenne],Registre[Equipementier],"Non Trouvée")</f>
        <v>Non Trouvée</v>
      </c>
      <c r="J1041" t="str">
        <f>_xlfn.XLOOKUP(Logs_Reseau6[[#This Row],[Id_Client]],Clients_Churn[ID_Client],Clients_Churn[Type_Forfait],"Pas d'information")</f>
        <v>Pas d'information</v>
      </c>
      <c r="K1041" s="5" t="str">
        <f>IF(Logs_Reseau6[[#This Row],[Type_Forfait]]="Pro Monde","B2B","B2C")</f>
        <v>B2C</v>
      </c>
      <c r="L1041" s="5" t="str">
        <f>_xlfn.XLOOKUP(Logs_Reseau6[[#This Row],[Id_Client]],Clients_Churn[ID_Client],Clients_Churn[Duree_Cumulee_Panne_Min],"Non Trouvée")</f>
        <v>Non Trouvée</v>
      </c>
      <c r="M1041" s="5" t="str">
        <f>_xlfn.XLOOKUP(Logs_Reseau6[[#This Row],[Id_Client]],Clients_Churn[ID_Client],Clients_Churn[Anciennete_Mois],"Rien à signaler")</f>
        <v>Rien à signaler</v>
      </c>
      <c r="N1041" s="5" t="e">
        <f>Logs_Reseau6[[#This Row],[Anciennette]]/24</f>
        <v>#VALUE!</v>
      </c>
      <c r="O1041" s="5" t="e">
        <f>Logs_Reseau6[[#This Row],[Duree_Cumulée_Panne]]/1440</f>
        <v>#VALUE!</v>
      </c>
      <c r="P104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42" spans="1:16" hidden="1" x14ac:dyDescent="0.25">
      <c r="A1042" s="2">
        <v>45217</v>
      </c>
      <c r="B1042" s="1">
        <v>0.70138888888888884</v>
      </c>
      <c r="C1042" t="s">
        <v>1364</v>
      </c>
      <c r="D1042">
        <v>71</v>
      </c>
      <c r="E1042" t="s">
        <v>1303</v>
      </c>
      <c r="F1042" t="str">
        <f>_xlfn.XLOOKUP(Logs_Reseau6[[#This Row],[Cell_ID]],Registre[ID_Antenne],Registre[Province_RDC],"Non Trouvée")</f>
        <v>Non Trouvée</v>
      </c>
      <c r="G1042" t="str">
        <f>_xlfn.XLOOKUP(Logs_Reseau6[[#This Row],[Province]],Clients_Churn[Province_Client],Clients_Churn[ID_Client],"Aucun")</f>
        <v>Aucun</v>
      </c>
      <c r="H1042" t="str">
        <f>_xlfn.XLOOKUP(Logs_Reseau6[[#This Row],[Cell_ID]],Registre[ID_Antenne],Registre[Technologie],"Rien à signaler")</f>
        <v>Rien à signaler</v>
      </c>
      <c r="I1042" t="str">
        <f>_xlfn.XLOOKUP(Logs_Reseau6[[#This Row],[Cell_ID]],Registre[ID_Antenne],Registre[Equipementier],"Non Trouvée")</f>
        <v>Non Trouvée</v>
      </c>
      <c r="J1042" t="str">
        <f>_xlfn.XLOOKUP(Logs_Reseau6[[#This Row],[Id_Client]],Clients_Churn[ID_Client],Clients_Churn[Type_Forfait],"Pas d'information")</f>
        <v>Pas d'information</v>
      </c>
      <c r="K1042" s="5" t="str">
        <f>IF(Logs_Reseau6[[#This Row],[Type_Forfait]]="Pro Monde","B2B","B2C")</f>
        <v>B2C</v>
      </c>
      <c r="L1042" s="5" t="str">
        <f>_xlfn.XLOOKUP(Logs_Reseau6[[#This Row],[Id_Client]],Clients_Churn[ID_Client],Clients_Churn[Duree_Cumulee_Panne_Min],"Non Trouvée")</f>
        <v>Non Trouvée</v>
      </c>
      <c r="M1042" s="5" t="str">
        <f>_xlfn.XLOOKUP(Logs_Reseau6[[#This Row],[Id_Client]],Clients_Churn[ID_Client],Clients_Churn[Anciennete_Mois],"Rien à signaler")</f>
        <v>Rien à signaler</v>
      </c>
      <c r="N1042" s="5" t="e">
        <f>Logs_Reseau6[[#This Row],[Anciennette]]/24</f>
        <v>#VALUE!</v>
      </c>
      <c r="O1042" s="5" t="e">
        <f>Logs_Reseau6[[#This Row],[Duree_Cumulée_Panne]]/1440</f>
        <v>#VALUE!</v>
      </c>
      <c r="P104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43" spans="1:16" x14ac:dyDescent="0.25">
      <c r="A1043" s="2">
        <v>45205</v>
      </c>
      <c r="B1043" s="1">
        <v>0.76875000000000004</v>
      </c>
      <c r="C1043" t="s">
        <v>966</v>
      </c>
      <c r="D1043">
        <v>36</v>
      </c>
      <c r="E1043" t="s">
        <v>1300</v>
      </c>
      <c r="F1043" t="str">
        <f>_xlfn.XLOOKUP(Logs_Reseau6[[#This Row],[Cell_ID]],Registre[ID_Antenne],Registre[Province_RDC],"Non Trouvée")</f>
        <v>Kongo-Central</v>
      </c>
      <c r="G1043" t="str">
        <f>_xlfn.XLOOKUP(Logs_Reseau6[[#This Row],[Province]],Clients_Churn[Province_Client],Clients_Churn[ID_Client],"Aucun")</f>
        <v>CLI-00012</v>
      </c>
      <c r="H1043" t="str">
        <f>_xlfn.XLOOKUP(Logs_Reseau6[[#This Row],[Cell_ID]],Registre[ID_Antenne],Registre[Technologie],"Rien à signaler")</f>
        <v>3G</v>
      </c>
      <c r="I1043" t="str">
        <f>_xlfn.XLOOKUP(Logs_Reseau6[[#This Row],[Cell_ID]],Registre[ID_Antenne],Registre[Equipementier],"Non Trouvée")</f>
        <v>Ericsson</v>
      </c>
      <c r="J1043" t="str">
        <f>_xlfn.XLOOKUP(Logs_Reseau6[[#This Row],[Id_Client]],Clients_Churn[ID_Client],Clients_Churn[Type_Forfait],"Pas d'information")</f>
        <v>Illimité 50Go</v>
      </c>
      <c r="K1043" s="5" t="str">
        <f>IF(Logs_Reseau6[[#This Row],[Type_Forfait]]="Pro Monde","B2B","B2C")</f>
        <v>B2C</v>
      </c>
      <c r="L1043" s="5">
        <f>_xlfn.XLOOKUP(Logs_Reseau6[[#This Row],[Id_Client]],Clients_Churn[ID_Client],Clients_Churn[Duree_Cumulee_Panne_Min],"Non Trouvée")</f>
        <v>172</v>
      </c>
      <c r="M1043" s="5">
        <f>_xlfn.XLOOKUP(Logs_Reseau6[[#This Row],[Id_Client]],Clients_Churn[ID_Client],Clients_Churn[Anciennete_Mois],"Rien à signaler")</f>
        <v>105</v>
      </c>
      <c r="N1043" s="11">
        <f>Logs_Reseau6[[#This Row],[Anciennette]]/24</f>
        <v>4.375</v>
      </c>
      <c r="O1043" s="1">
        <f>Logs_Reseau6[[#This Row],[Duree_Cumulée_Panne]]/1440</f>
        <v>0.11944444444444445</v>
      </c>
      <c r="P104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44" spans="1:16" hidden="1" x14ac:dyDescent="0.25">
      <c r="A1044" s="2">
        <v>45203</v>
      </c>
      <c r="B1044" s="1">
        <v>0.81041666666666667</v>
      </c>
      <c r="C1044" t="s">
        <v>1348</v>
      </c>
      <c r="D1044">
        <v>78</v>
      </c>
      <c r="E1044" t="s">
        <v>1305</v>
      </c>
      <c r="F1044" t="str">
        <f>_xlfn.XLOOKUP(Logs_Reseau6[[#This Row],[Cell_ID]],Registre[ID_Antenne],Registre[Province_RDC],"Non Trouvée")</f>
        <v>Non Trouvée</v>
      </c>
      <c r="G1044" t="str">
        <f>_xlfn.XLOOKUP(Logs_Reseau6[[#This Row],[Province]],Clients_Churn[Province_Client],Clients_Churn[ID_Client],"Aucun")</f>
        <v>Aucun</v>
      </c>
      <c r="H1044" t="str">
        <f>_xlfn.XLOOKUP(Logs_Reseau6[[#This Row],[Cell_ID]],Registre[ID_Antenne],Registre[Technologie],"Rien à signaler")</f>
        <v>Rien à signaler</v>
      </c>
      <c r="I1044" t="str">
        <f>_xlfn.XLOOKUP(Logs_Reseau6[[#This Row],[Cell_ID]],Registre[ID_Antenne],Registre[Equipementier],"Non Trouvée")</f>
        <v>Non Trouvée</v>
      </c>
      <c r="J1044" t="str">
        <f>_xlfn.XLOOKUP(Logs_Reseau6[[#This Row],[Id_Client]],Clients_Churn[ID_Client],Clients_Churn[Type_Forfait],"Pas d'information")</f>
        <v>Pas d'information</v>
      </c>
      <c r="K1044" s="5" t="str">
        <f>IF(Logs_Reseau6[[#This Row],[Type_Forfait]]="Pro Monde","B2B","B2C")</f>
        <v>B2C</v>
      </c>
      <c r="L1044" s="5" t="str">
        <f>_xlfn.XLOOKUP(Logs_Reseau6[[#This Row],[Id_Client]],Clients_Churn[ID_Client],Clients_Churn[Duree_Cumulee_Panne_Min],"Non Trouvée")</f>
        <v>Non Trouvée</v>
      </c>
      <c r="M1044" s="5" t="str">
        <f>_xlfn.XLOOKUP(Logs_Reseau6[[#This Row],[Id_Client]],Clients_Churn[ID_Client],Clients_Churn[Anciennete_Mois],"Rien à signaler")</f>
        <v>Rien à signaler</v>
      </c>
      <c r="N1044" s="5" t="e">
        <f>Logs_Reseau6[[#This Row],[Anciennette]]/24</f>
        <v>#VALUE!</v>
      </c>
      <c r="O1044" s="5" t="e">
        <f>Logs_Reseau6[[#This Row],[Duree_Cumulée_Panne]]/1440</f>
        <v>#VALUE!</v>
      </c>
      <c r="P104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45" spans="1:16" hidden="1" x14ac:dyDescent="0.25">
      <c r="A1045" s="2">
        <v>45213</v>
      </c>
      <c r="B1045" s="1">
        <v>0.58472222222222225</v>
      </c>
      <c r="C1045" t="s">
        <v>1616</v>
      </c>
      <c r="D1045">
        <v>35</v>
      </c>
      <c r="E1045" t="s">
        <v>1303</v>
      </c>
      <c r="F1045" t="str">
        <f>_xlfn.XLOOKUP(Logs_Reseau6[[#This Row],[Cell_ID]],Registre[ID_Antenne],Registre[Province_RDC],"Non Trouvée")</f>
        <v>Non Trouvée</v>
      </c>
      <c r="G1045" t="str">
        <f>_xlfn.XLOOKUP(Logs_Reseau6[[#This Row],[Province]],Clients_Churn[Province_Client],Clients_Churn[ID_Client],"Aucun")</f>
        <v>Aucun</v>
      </c>
      <c r="H1045" t="str">
        <f>_xlfn.XLOOKUP(Logs_Reseau6[[#This Row],[Cell_ID]],Registre[ID_Antenne],Registre[Technologie],"Rien à signaler")</f>
        <v>Rien à signaler</v>
      </c>
      <c r="I1045" t="str">
        <f>_xlfn.XLOOKUP(Logs_Reseau6[[#This Row],[Cell_ID]],Registre[ID_Antenne],Registre[Equipementier],"Non Trouvée")</f>
        <v>Non Trouvée</v>
      </c>
      <c r="J1045" t="str">
        <f>_xlfn.XLOOKUP(Logs_Reseau6[[#This Row],[Id_Client]],Clients_Churn[ID_Client],Clients_Churn[Type_Forfait],"Pas d'information")</f>
        <v>Pas d'information</v>
      </c>
      <c r="K1045" s="5" t="str">
        <f>IF(Logs_Reseau6[[#This Row],[Type_Forfait]]="Pro Monde","B2B","B2C")</f>
        <v>B2C</v>
      </c>
      <c r="L1045" s="5" t="str">
        <f>_xlfn.XLOOKUP(Logs_Reseau6[[#This Row],[Id_Client]],Clients_Churn[ID_Client],Clients_Churn[Duree_Cumulee_Panne_Min],"Non Trouvée")</f>
        <v>Non Trouvée</v>
      </c>
      <c r="M1045" s="5" t="str">
        <f>_xlfn.XLOOKUP(Logs_Reseau6[[#This Row],[Id_Client]],Clients_Churn[ID_Client],Clients_Churn[Anciennete_Mois],"Rien à signaler")</f>
        <v>Rien à signaler</v>
      </c>
      <c r="N1045" s="5" t="e">
        <f>Logs_Reseau6[[#This Row],[Anciennette]]/24</f>
        <v>#VALUE!</v>
      </c>
      <c r="O1045" s="5" t="e">
        <f>Logs_Reseau6[[#This Row],[Duree_Cumulée_Panne]]/1440</f>
        <v>#VALUE!</v>
      </c>
      <c r="P104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46" spans="1:16" x14ac:dyDescent="0.25">
      <c r="A1046" s="2">
        <v>45225</v>
      </c>
      <c r="B1046" s="1">
        <v>0.8881944444444444</v>
      </c>
      <c r="C1046" t="s">
        <v>910</v>
      </c>
      <c r="D1046">
        <v>87</v>
      </c>
      <c r="E1046" t="s">
        <v>1305</v>
      </c>
      <c r="F1046" t="str">
        <f>_xlfn.XLOOKUP(Logs_Reseau6[[#This Row],[Cell_ID]],Registre[ID_Antenne],Registre[Province_RDC],"Non Trouvée")</f>
        <v>Haut-Lomami</v>
      </c>
      <c r="G1046" t="str">
        <f>_xlfn.XLOOKUP(Logs_Reseau6[[#This Row],[Province]],Clients_Churn[Province_Client],Clients_Churn[ID_Client],"Aucun")</f>
        <v>CLI-00022</v>
      </c>
      <c r="H1046" t="str">
        <f>_xlfn.XLOOKUP(Logs_Reseau6[[#This Row],[Cell_ID]],Registre[ID_Antenne],Registre[Technologie],"Rien à signaler")</f>
        <v>5G</v>
      </c>
      <c r="I1046" t="str">
        <f>_xlfn.XLOOKUP(Logs_Reseau6[[#This Row],[Cell_ID]],Registre[ID_Antenne],Registre[Equipementier],"Non Trouvée")</f>
        <v>Huawei</v>
      </c>
      <c r="J1046" t="str">
        <f>_xlfn.XLOOKUP(Logs_Reseau6[[#This Row],[Id_Client]],Clients_Churn[ID_Client],Clients_Churn[Type_Forfait],"Pas d'information")</f>
        <v>Premium 5G 150Go</v>
      </c>
      <c r="K1046" s="5" t="str">
        <f>IF(Logs_Reseau6[[#This Row],[Type_Forfait]]="Pro Monde","B2B","B2C")</f>
        <v>B2C</v>
      </c>
      <c r="L1046" s="5">
        <f>_xlfn.XLOOKUP(Logs_Reseau6[[#This Row],[Id_Client]],Clients_Churn[ID_Client],Clients_Churn[Duree_Cumulee_Panne_Min],"Non Trouvée")</f>
        <v>488</v>
      </c>
      <c r="M1046" s="5">
        <f>_xlfn.XLOOKUP(Logs_Reseau6[[#This Row],[Id_Client]],Clients_Churn[ID_Client],Clients_Churn[Anciennete_Mois],"Rien à signaler")</f>
        <v>77</v>
      </c>
      <c r="N1046" s="11">
        <f>Logs_Reseau6[[#This Row],[Anciennette]]/24</f>
        <v>3.2083333333333335</v>
      </c>
      <c r="O1046" s="1">
        <f>Logs_Reseau6[[#This Row],[Duree_Cumulée_Panne]]/1440</f>
        <v>0.33888888888888891</v>
      </c>
      <c r="P104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47" spans="1:16" hidden="1" x14ac:dyDescent="0.25">
      <c r="A1047" s="2">
        <v>45208</v>
      </c>
      <c r="B1047" s="1">
        <v>0.49444444444444446</v>
      </c>
      <c r="C1047" t="s">
        <v>1457</v>
      </c>
      <c r="D1047">
        <v>59</v>
      </c>
      <c r="E1047" t="s">
        <v>1303</v>
      </c>
      <c r="F1047" t="str">
        <f>_xlfn.XLOOKUP(Logs_Reseau6[[#This Row],[Cell_ID]],Registre[ID_Antenne],Registre[Province_RDC],"Non Trouvée")</f>
        <v>Non Trouvée</v>
      </c>
      <c r="G1047" t="str">
        <f>_xlfn.XLOOKUP(Logs_Reseau6[[#This Row],[Province]],Clients_Churn[Province_Client],Clients_Churn[ID_Client],"Aucun")</f>
        <v>Aucun</v>
      </c>
      <c r="H1047" t="str">
        <f>_xlfn.XLOOKUP(Logs_Reseau6[[#This Row],[Cell_ID]],Registre[ID_Antenne],Registre[Technologie],"Rien à signaler")</f>
        <v>Rien à signaler</v>
      </c>
      <c r="I1047" t="str">
        <f>_xlfn.XLOOKUP(Logs_Reseau6[[#This Row],[Cell_ID]],Registre[ID_Antenne],Registre[Equipementier],"Non Trouvée")</f>
        <v>Non Trouvée</v>
      </c>
      <c r="J1047" t="str">
        <f>_xlfn.XLOOKUP(Logs_Reseau6[[#This Row],[Id_Client]],Clients_Churn[ID_Client],Clients_Churn[Type_Forfait],"Pas d'information")</f>
        <v>Pas d'information</v>
      </c>
      <c r="K1047" s="5" t="str">
        <f>IF(Logs_Reseau6[[#This Row],[Type_Forfait]]="Pro Monde","B2B","B2C")</f>
        <v>B2C</v>
      </c>
      <c r="L1047" s="5" t="str">
        <f>_xlfn.XLOOKUP(Logs_Reseau6[[#This Row],[Id_Client]],Clients_Churn[ID_Client],Clients_Churn[Duree_Cumulee_Panne_Min],"Non Trouvée")</f>
        <v>Non Trouvée</v>
      </c>
      <c r="M1047" s="5" t="str">
        <f>_xlfn.XLOOKUP(Logs_Reseau6[[#This Row],[Id_Client]],Clients_Churn[ID_Client],Clients_Churn[Anciennete_Mois],"Rien à signaler")</f>
        <v>Rien à signaler</v>
      </c>
      <c r="N1047" s="5" t="e">
        <f>Logs_Reseau6[[#This Row],[Anciennette]]/24</f>
        <v>#VALUE!</v>
      </c>
      <c r="O1047" s="5" t="e">
        <f>Logs_Reseau6[[#This Row],[Duree_Cumulée_Panne]]/1440</f>
        <v>#VALUE!</v>
      </c>
      <c r="P104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48" spans="1:16" hidden="1" x14ac:dyDescent="0.25">
      <c r="A1048" s="2">
        <v>45223</v>
      </c>
      <c r="B1048" s="1">
        <v>0.51388888888888884</v>
      </c>
      <c r="C1048" t="s">
        <v>1457</v>
      </c>
      <c r="D1048">
        <v>109</v>
      </c>
      <c r="E1048" t="s">
        <v>1303</v>
      </c>
      <c r="F1048" t="str">
        <f>_xlfn.XLOOKUP(Logs_Reseau6[[#This Row],[Cell_ID]],Registre[ID_Antenne],Registre[Province_RDC],"Non Trouvée")</f>
        <v>Non Trouvée</v>
      </c>
      <c r="G1048" t="str">
        <f>_xlfn.XLOOKUP(Logs_Reseau6[[#This Row],[Province]],Clients_Churn[Province_Client],Clients_Churn[ID_Client],"Aucun")</f>
        <v>Aucun</v>
      </c>
      <c r="H1048" t="str">
        <f>_xlfn.XLOOKUP(Logs_Reseau6[[#This Row],[Cell_ID]],Registre[ID_Antenne],Registre[Technologie],"Rien à signaler")</f>
        <v>Rien à signaler</v>
      </c>
      <c r="I1048" t="str">
        <f>_xlfn.XLOOKUP(Logs_Reseau6[[#This Row],[Cell_ID]],Registre[ID_Antenne],Registre[Equipementier],"Non Trouvée")</f>
        <v>Non Trouvée</v>
      </c>
      <c r="J1048" t="str">
        <f>_xlfn.XLOOKUP(Logs_Reseau6[[#This Row],[Id_Client]],Clients_Churn[ID_Client],Clients_Churn[Type_Forfait],"Pas d'information")</f>
        <v>Pas d'information</v>
      </c>
      <c r="K1048" s="5" t="str">
        <f>IF(Logs_Reseau6[[#This Row],[Type_Forfait]]="Pro Monde","B2B","B2C")</f>
        <v>B2C</v>
      </c>
      <c r="L1048" s="5" t="str">
        <f>_xlfn.XLOOKUP(Logs_Reseau6[[#This Row],[Id_Client]],Clients_Churn[ID_Client],Clients_Churn[Duree_Cumulee_Panne_Min],"Non Trouvée")</f>
        <v>Non Trouvée</v>
      </c>
      <c r="M1048" s="5" t="str">
        <f>_xlfn.XLOOKUP(Logs_Reseau6[[#This Row],[Id_Client]],Clients_Churn[ID_Client],Clients_Churn[Anciennete_Mois],"Rien à signaler")</f>
        <v>Rien à signaler</v>
      </c>
      <c r="N1048" s="5" t="e">
        <f>Logs_Reseau6[[#This Row],[Anciennette]]/24</f>
        <v>#VALUE!</v>
      </c>
      <c r="O1048" s="5" t="e">
        <f>Logs_Reseau6[[#This Row],[Duree_Cumulée_Panne]]/1440</f>
        <v>#VALUE!</v>
      </c>
      <c r="P1048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49" spans="1:16" hidden="1" x14ac:dyDescent="0.25">
      <c r="A1049" s="2">
        <v>45226</v>
      </c>
      <c r="B1049" s="1">
        <v>0.89513888888888893</v>
      </c>
      <c r="C1049" t="s">
        <v>1457</v>
      </c>
      <c r="D1049">
        <v>42</v>
      </c>
      <c r="E1049" t="s">
        <v>1300</v>
      </c>
      <c r="F1049" t="str">
        <f>_xlfn.XLOOKUP(Logs_Reseau6[[#This Row],[Cell_ID]],Registre[ID_Antenne],Registre[Province_RDC],"Non Trouvée")</f>
        <v>Non Trouvée</v>
      </c>
      <c r="G1049" t="str">
        <f>_xlfn.XLOOKUP(Logs_Reseau6[[#This Row],[Province]],Clients_Churn[Province_Client],Clients_Churn[ID_Client],"Aucun")</f>
        <v>Aucun</v>
      </c>
      <c r="H1049" t="str">
        <f>_xlfn.XLOOKUP(Logs_Reseau6[[#This Row],[Cell_ID]],Registre[ID_Antenne],Registre[Technologie],"Rien à signaler")</f>
        <v>Rien à signaler</v>
      </c>
      <c r="I1049" t="str">
        <f>_xlfn.XLOOKUP(Logs_Reseau6[[#This Row],[Cell_ID]],Registre[ID_Antenne],Registre[Equipementier],"Non Trouvée")</f>
        <v>Non Trouvée</v>
      </c>
      <c r="J1049" t="str">
        <f>_xlfn.XLOOKUP(Logs_Reseau6[[#This Row],[Id_Client]],Clients_Churn[ID_Client],Clients_Churn[Type_Forfait],"Pas d'information")</f>
        <v>Pas d'information</v>
      </c>
      <c r="K1049" s="5" t="str">
        <f>IF(Logs_Reseau6[[#This Row],[Type_Forfait]]="Pro Monde","B2B","B2C")</f>
        <v>B2C</v>
      </c>
      <c r="L1049" s="5" t="str">
        <f>_xlfn.XLOOKUP(Logs_Reseau6[[#This Row],[Id_Client]],Clients_Churn[ID_Client],Clients_Churn[Duree_Cumulee_Panne_Min],"Non Trouvée")</f>
        <v>Non Trouvée</v>
      </c>
      <c r="M1049" s="5" t="str">
        <f>_xlfn.XLOOKUP(Logs_Reseau6[[#This Row],[Id_Client]],Clients_Churn[ID_Client],Clients_Churn[Anciennete_Mois],"Rien à signaler")</f>
        <v>Rien à signaler</v>
      </c>
      <c r="N1049" s="5" t="e">
        <f>Logs_Reseau6[[#This Row],[Anciennette]]/24</f>
        <v>#VALUE!</v>
      </c>
      <c r="O1049" s="5" t="e">
        <f>Logs_Reseau6[[#This Row],[Duree_Cumulée_Panne]]/1440</f>
        <v>#VALUE!</v>
      </c>
      <c r="P1049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50" spans="1:16" hidden="1" x14ac:dyDescent="0.25">
      <c r="A1050" s="2">
        <v>45204</v>
      </c>
      <c r="B1050" s="1">
        <v>0.96250000000000002</v>
      </c>
      <c r="C1050" t="s">
        <v>1302</v>
      </c>
      <c r="D1050">
        <v>100</v>
      </c>
      <c r="E1050" t="s">
        <v>1303</v>
      </c>
      <c r="F1050" t="str">
        <f>_xlfn.XLOOKUP(Logs_Reseau6[[#This Row],[Cell_ID]],Registre[ID_Antenne],Registre[Province_RDC],"Non Trouvée")</f>
        <v>Non Trouvée</v>
      </c>
      <c r="G1050" t="str">
        <f>_xlfn.XLOOKUP(Logs_Reseau6[[#This Row],[Province]],Clients_Churn[Province_Client],Clients_Churn[ID_Client],"Aucun")</f>
        <v>Aucun</v>
      </c>
      <c r="H1050" t="str">
        <f>_xlfn.XLOOKUP(Logs_Reseau6[[#This Row],[Cell_ID]],Registre[ID_Antenne],Registre[Technologie],"Rien à signaler")</f>
        <v>Rien à signaler</v>
      </c>
      <c r="I1050" t="str">
        <f>_xlfn.XLOOKUP(Logs_Reseau6[[#This Row],[Cell_ID]],Registre[ID_Antenne],Registre[Equipementier],"Non Trouvée")</f>
        <v>Non Trouvée</v>
      </c>
      <c r="J1050" t="str">
        <f>_xlfn.XLOOKUP(Logs_Reseau6[[#This Row],[Id_Client]],Clients_Churn[ID_Client],Clients_Churn[Type_Forfait],"Pas d'information")</f>
        <v>Pas d'information</v>
      </c>
      <c r="K1050" s="5" t="str">
        <f>IF(Logs_Reseau6[[#This Row],[Type_Forfait]]="Pro Monde","B2B","B2C")</f>
        <v>B2C</v>
      </c>
      <c r="L1050" s="5" t="str">
        <f>_xlfn.XLOOKUP(Logs_Reseau6[[#This Row],[Id_Client]],Clients_Churn[ID_Client],Clients_Churn[Duree_Cumulee_Panne_Min],"Non Trouvée")</f>
        <v>Non Trouvée</v>
      </c>
      <c r="M1050" s="5" t="str">
        <f>_xlfn.XLOOKUP(Logs_Reseau6[[#This Row],[Id_Client]],Clients_Churn[ID_Client],Clients_Churn[Anciennete_Mois],"Rien à signaler")</f>
        <v>Rien à signaler</v>
      </c>
      <c r="N1050" s="5" t="e">
        <f>Logs_Reseau6[[#This Row],[Anciennette]]/24</f>
        <v>#VALUE!</v>
      </c>
      <c r="O1050" s="5" t="e">
        <f>Logs_Reseau6[[#This Row],[Duree_Cumulée_Panne]]/1440</f>
        <v>#VALUE!</v>
      </c>
      <c r="P1050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51" spans="1:16" hidden="1" x14ac:dyDescent="0.25">
      <c r="A1051" s="2">
        <v>45224</v>
      </c>
      <c r="B1051" s="1">
        <v>0.37847222222222221</v>
      </c>
      <c r="C1051" t="s">
        <v>1302</v>
      </c>
      <c r="D1051">
        <v>53</v>
      </c>
      <c r="E1051" t="s">
        <v>1305</v>
      </c>
      <c r="F1051" t="str">
        <f>_xlfn.XLOOKUP(Logs_Reseau6[[#This Row],[Cell_ID]],Registre[ID_Antenne],Registre[Province_RDC],"Non Trouvée")</f>
        <v>Non Trouvée</v>
      </c>
      <c r="G1051" t="str">
        <f>_xlfn.XLOOKUP(Logs_Reseau6[[#This Row],[Province]],Clients_Churn[Province_Client],Clients_Churn[ID_Client],"Aucun")</f>
        <v>Aucun</v>
      </c>
      <c r="H1051" t="str">
        <f>_xlfn.XLOOKUP(Logs_Reseau6[[#This Row],[Cell_ID]],Registre[ID_Antenne],Registre[Technologie],"Rien à signaler")</f>
        <v>Rien à signaler</v>
      </c>
      <c r="I1051" t="str">
        <f>_xlfn.XLOOKUP(Logs_Reseau6[[#This Row],[Cell_ID]],Registre[ID_Antenne],Registre[Equipementier],"Non Trouvée")</f>
        <v>Non Trouvée</v>
      </c>
      <c r="J1051" t="str">
        <f>_xlfn.XLOOKUP(Logs_Reseau6[[#This Row],[Id_Client]],Clients_Churn[ID_Client],Clients_Churn[Type_Forfait],"Pas d'information")</f>
        <v>Pas d'information</v>
      </c>
      <c r="K1051" s="5" t="str">
        <f>IF(Logs_Reseau6[[#This Row],[Type_Forfait]]="Pro Monde","B2B","B2C")</f>
        <v>B2C</v>
      </c>
      <c r="L1051" s="5" t="str">
        <f>_xlfn.XLOOKUP(Logs_Reseau6[[#This Row],[Id_Client]],Clients_Churn[ID_Client],Clients_Churn[Duree_Cumulee_Panne_Min],"Non Trouvée")</f>
        <v>Non Trouvée</v>
      </c>
      <c r="M1051" s="5" t="str">
        <f>_xlfn.XLOOKUP(Logs_Reseau6[[#This Row],[Id_Client]],Clients_Churn[ID_Client],Clients_Churn[Anciennete_Mois],"Rien à signaler")</f>
        <v>Rien à signaler</v>
      </c>
      <c r="N1051" s="5" t="e">
        <f>Logs_Reseau6[[#This Row],[Anciennette]]/24</f>
        <v>#VALUE!</v>
      </c>
      <c r="O1051" s="5" t="e">
        <f>Logs_Reseau6[[#This Row],[Duree_Cumulée_Panne]]/1440</f>
        <v>#VALUE!</v>
      </c>
      <c r="P1051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52" spans="1:16" hidden="1" x14ac:dyDescent="0.25">
      <c r="A1052" s="2">
        <v>45202</v>
      </c>
      <c r="B1052" s="1">
        <v>0.48749999999999999</v>
      </c>
      <c r="C1052" t="s">
        <v>1546</v>
      </c>
      <c r="D1052">
        <v>22</v>
      </c>
      <c r="E1052" t="s">
        <v>1305</v>
      </c>
      <c r="F1052" t="str">
        <f>_xlfn.XLOOKUP(Logs_Reseau6[[#This Row],[Cell_ID]],Registre[ID_Antenne],Registre[Province_RDC],"Non Trouvée")</f>
        <v>Non Trouvée</v>
      </c>
      <c r="G1052" t="str">
        <f>_xlfn.XLOOKUP(Logs_Reseau6[[#This Row],[Province]],Clients_Churn[Province_Client],Clients_Churn[ID_Client],"Aucun")</f>
        <v>Aucun</v>
      </c>
      <c r="H1052" t="str">
        <f>_xlfn.XLOOKUP(Logs_Reseau6[[#This Row],[Cell_ID]],Registre[ID_Antenne],Registre[Technologie],"Rien à signaler")</f>
        <v>Rien à signaler</v>
      </c>
      <c r="I1052" t="str">
        <f>_xlfn.XLOOKUP(Logs_Reseau6[[#This Row],[Cell_ID]],Registre[ID_Antenne],Registre[Equipementier],"Non Trouvée")</f>
        <v>Non Trouvée</v>
      </c>
      <c r="J1052" t="str">
        <f>_xlfn.XLOOKUP(Logs_Reseau6[[#This Row],[Id_Client]],Clients_Churn[ID_Client],Clients_Churn[Type_Forfait],"Pas d'information")</f>
        <v>Pas d'information</v>
      </c>
      <c r="K1052" s="5" t="str">
        <f>IF(Logs_Reseau6[[#This Row],[Type_Forfait]]="Pro Monde","B2B","B2C")</f>
        <v>B2C</v>
      </c>
      <c r="L1052" s="5" t="str">
        <f>_xlfn.XLOOKUP(Logs_Reseau6[[#This Row],[Id_Client]],Clients_Churn[ID_Client],Clients_Churn[Duree_Cumulee_Panne_Min],"Non Trouvée")</f>
        <v>Non Trouvée</v>
      </c>
      <c r="M1052" s="5" t="str">
        <f>_xlfn.XLOOKUP(Logs_Reseau6[[#This Row],[Id_Client]],Clients_Churn[ID_Client],Clients_Churn[Anciennete_Mois],"Rien à signaler")</f>
        <v>Rien à signaler</v>
      </c>
      <c r="N1052" s="5" t="e">
        <f>Logs_Reseau6[[#This Row],[Anciennette]]/24</f>
        <v>#VALUE!</v>
      </c>
      <c r="O1052" s="5" t="e">
        <f>Logs_Reseau6[[#This Row],[Duree_Cumulée_Panne]]/1440</f>
        <v>#VALUE!</v>
      </c>
      <c r="P105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53" spans="1:16" hidden="1" x14ac:dyDescent="0.25">
      <c r="A1053" s="2">
        <v>45219</v>
      </c>
      <c r="B1053" s="1">
        <v>0.90763888888888888</v>
      </c>
      <c r="C1053" t="s">
        <v>1631</v>
      </c>
      <c r="D1053">
        <v>92</v>
      </c>
      <c r="E1053" t="s">
        <v>1303</v>
      </c>
      <c r="F1053" t="str">
        <f>_xlfn.XLOOKUP(Logs_Reseau6[[#This Row],[Cell_ID]],Registre[ID_Antenne],Registre[Province_RDC],"Non Trouvée")</f>
        <v>Non Trouvée</v>
      </c>
      <c r="G1053" t="str">
        <f>_xlfn.XLOOKUP(Logs_Reseau6[[#This Row],[Province]],Clients_Churn[Province_Client],Clients_Churn[ID_Client],"Aucun")</f>
        <v>Aucun</v>
      </c>
      <c r="H1053" t="str">
        <f>_xlfn.XLOOKUP(Logs_Reseau6[[#This Row],[Cell_ID]],Registre[ID_Antenne],Registre[Technologie],"Rien à signaler")</f>
        <v>Rien à signaler</v>
      </c>
      <c r="I1053" t="str">
        <f>_xlfn.XLOOKUP(Logs_Reseau6[[#This Row],[Cell_ID]],Registre[ID_Antenne],Registre[Equipementier],"Non Trouvée")</f>
        <v>Non Trouvée</v>
      </c>
      <c r="J1053" t="str">
        <f>_xlfn.XLOOKUP(Logs_Reseau6[[#This Row],[Id_Client]],Clients_Churn[ID_Client],Clients_Churn[Type_Forfait],"Pas d'information")</f>
        <v>Pas d'information</v>
      </c>
      <c r="K1053" s="5" t="str">
        <f>IF(Logs_Reseau6[[#This Row],[Type_Forfait]]="Pro Monde","B2B","B2C")</f>
        <v>B2C</v>
      </c>
      <c r="L1053" s="5" t="str">
        <f>_xlfn.XLOOKUP(Logs_Reseau6[[#This Row],[Id_Client]],Clients_Churn[ID_Client],Clients_Churn[Duree_Cumulee_Panne_Min],"Non Trouvée")</f>
        <v>Non Trouvée</v>
      </c>
      <c r="M1053" s="5" t="str">
        <f>_xlfn.XLOOKUP(Logs_Reseau6[[#This Row],[Id_Client]],Clients_Churn[ID_Client],Clients_Churn[Anciennete_Mois],"Rien à signaler")</f>
        <v>Rien à signaler</v>
      </c>
      <c r="N1053" s="5" t="e">
        <f>Logs_Reseau6[[#This Row],[Anciennette]]/24</f>
        <v>#VALUE!</v>
      </c>
      <c r="O1053" s="5" t="e">
        <f>Logs_Reseau6[[#This Row],[Duree_Cumulée_Panne]]/1440</f>
        <v>#VALUE!</v>
      </c>
      <c r="P105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54" spans="1:16" hidden="1" x14ac:dyDescent="0.25">
      <c r="A1054" s="2">
        <v>45206</v>
      </c>
      <c r="B1054" s="1">
        <v>0.47222222222222221</v>
      </c>
      <c r="C1054" t="s">
        <v>1512</v>
      </c>
      <c r="D1054">
        <v>69</v>
      </c>
      <c r="E1054" t="s">
        <v>1305</v>
      </c>
      <c r="F1054" t="str">
        <f>_xlfn.XLOOKUP(Logs_Reseau6[[#This Row],[Cell_ID]],Registre[ID_Antenne],Registre[Province_RDC],"Non Trouvée")</f>
        <v>Non Trouvée</v>
      </c>
      <c r="G1054" t="str">
        <f>_xlfn.XLOOKUP(Logs_Reseau6[[#This Row],[Province]],Clients_Churn[Province_Client],Clients_Churn[ID_Client],"Aucun")</f>
        <v>Aucun</v>
      </c>
      <c r="H1054" t="str">
        <f>_xlfn.XLOOKUP(Logs_Reseau6[[#This Row],[Cell_ID]],Registre[ID_Antenne],Registre[Technologie],"Rien à signaler")</f>
        <v>Rien à signaler</v>
      </c>
      <c r="I1054" t="str">
        <f>_xlfn.XLOOKUP(Logs_Reseau6[[#This Row],[Cell_ID]],Registre[ID_Antenne],Registre[Equipementier],"Non Trouvée")</f>
        <v>Non Trouvée</v>
      </c>
      <c r="J1054" t="str">
        <f>_xlfn.XLOOKUP(Logs_Reseau6[[#This Row],[Id_Client]],Clients_Churn[ID_Client],Clients_Churn[Type_Forfait],"Pas d'information")</f>
        <v>Pas d'information</v>
      </c>
      <c r="K1054" s="5" t="str">
        <f>IF(Logs_Reseau6[[#This Row],[Type_Forfait]]="Pro Monde","B2B","B2C")</f>
        <v>B2C</v>
      </c>
      <c r="L1054" s="5" t="str">
        <f>_xlfn.XLOOKUP(Logs_Reseau6[[#This Row],[Id_Client]],Clients_Churn[ID_Client],Clients_Churn[Duree_Cumulee_Panne_Min],"Non Trouvée")</f>
        <v>Non Trouvée</v>
      </c>
      <c r="M1054" s="5" t="str">
        <f>_xlfn.XLOOKUP(Logs_Reseau6[[#This Row],[Id_Client]],Clients_Churn[ID_Client],Clients_Churn[Anciennete_Mois],"Rien à signaler")</f>
        <v>Rien à signaler</v>
      </c>
      <c r="N1054" s="5" t="e">
        <f>Logs_Reseau6[[#This Row],[Anciennette]]/24</f>
        <v>#VALUE!</v>
      </c>
      <c r="O1054" s="5" t="e">
        <f>Logs_Reseau6[[#This Row],[Duree_Cumulée_Panne]]/1440</f>
        <v>#VALUE!</v>
      </c>
      <c r="P1054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55" spans="1:16" x14ac:dyDescent="0.25">
      <c r="A1055" s="2">
        <v>45209</v>
      </c>
      <c r="B1055" s="1">
        <v>0.90763888888888888</v>
      </c>
      <c r="C1055" t="s">
        <v>1156</v>
      </c>
      <c r="D1055">
        <v>99</v>
      </c>
      <c r="E1055" t="s">
        <v>1305</v>
      </c>
      <c r="F1055" t="str">
        <f>_xlfn.XLOOKUP(Logs_Reseau6[[#This Row],[Cell_ID]],Registre[ID_Antenne],Registre[Province_RDC],"Non Trouvée")</f>
        <v>Kasai</v>
      </c>
      <c r="G1055" t="str">
        <f>_xlfn.XLOOKUP(Logs_Reseau6[[#This Row],[Province]],Clients_Churn[Province_Client],Clients_Churn[ID_Client],"Aucun")</f>
        <v>CLI-00057</v>
      </c>
      <c r="H1055" t="str">
        <f>_xlfn.XLOOKUP(Logs_Reseau6[[#This Row],[Cell_ID]],Registre[ID_Antenne],Registre[Technologie],"Rien à signaler")</f>
        <v>5G</v>
      </c>
      <c r="I1055" t="str">
        <f>_xlfn.XLOOKUP(Logs_Reseau6[[#This Row],[Cell_ID]],Registre[ID_Antenne],Registre[Equipementier],"Non Trouvée")</f>
        <v>Ericsson</v>
      </c>
      <c r="J1055" t="str">
        <f>_xlfn.XLOOKUP(Logs_Reseau6[[#This Row],[Id_Client]],Clients_Churn[ID_Client],Clients_Churn[Type_Forfait],"Pas d'information")</f>
        <v>Bloqué 5Go</v>
      </c>
      <c r="K1055" s="5" t="str">
        <f>IF(Logs_Reseau6[[#This Row],[Type_Forfait]]="Pro Monde","B2B","B2C")</f>
        <v>B2C</v>
      </c>
      <c r="L1055" s="5">
        <f>_xlfn.XLOOKUP(Logs_Reseau6[[#This Row],[Id_Client]],Clients_Churn[ID_Client],Clients_Churn[Duree_Cumulee_Panne_Min],"Non Trouvée")</f>
        <v>182</v>
      </c>
      <c r="M1055" s="5">
        <f>_xlfn.XLOOKUP(Logs_Reseau6[[#This Row],[Id_Client]],Clients_Churn[ID_Client],Clients_Churn[Anciennete_Mois],"Rien à signaler")</f>
        <v>4</v>
      </c>
      <c r="N1055" s="11">
        <f>Logs_Reseau6[[#This Row],[Anciennette]]/24</f>
        <v>0.16666666666666666</v>
      </c>
      <c r="O1055" s="1">
        <f>Logs_Reseau6[[#This Row],[Duree_Cumulée_Panne]]/1440</f>
        <v>0.12638888888888888</v>
      </c>
      <c r="P105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56" spans="1:16" x14ac:dyDescent="0.25">
      <c r="A1056" s="2">
        <v>45209</v>
      </c>
      <c r="B1056" s="1">
        <v>0.53125</v>
      </c>
      <c r="C1056" t="s">
        <v>941</v>
      </c>
      <c r="D1056">
        <v>63</v>
      </c>
      <c r="E1056" t="s">
        <v>1300</v>
      </c>
      <c r="F1056" t="str">
        <f>_xlfn.XLOOKUP(Logs_Reseau6[[#This Row],[Cell_ID]],Registre[ID_Antenne],Registre[Province_RDC],"Non Trouvée")</f>
        <v>Maniema</v>
      </c>
      <c r="G1056" t="str">
        <f>_xlfn.XLOOKUP(Logs_Reseau6[[#This Row],[Province]],Clients_Churn[Province_Client],Clients_Churn[ID_Client],"Aucun")</f>
        <v>CLI-00039</v>
      </c>
      <c r="H1056" t="str">
        <f>_xlfn.XLOOKUP(Logs_Reseau6[[#This Row],[Cell_ID]],Registre[ID_Antenne],Registre[Technologie],"Rien à signaler")</f>
        <v>4G</v>
      </c>
      <c r="I1056" t="str">
        <f>_xlfn.XLOOKUP(Logs_Reseau6[[#This Row],[Cell_ID]],Registre[ID_Antenne],Registre[Equipementier],"Non Trouvée")</f>
        <v>Huawei</v>
      </c>
      <c r="J1056" t="str">
        <f>_xlfn.XLOOKUP(Logs_Reseau6[[#This Row],[Id_Client]],Clients_Churn[ID_Client],Clients_Churn[Type_Forfait],"Pas d'information")</f>
        <v>Pro Monde</v>
      </c>
      <c r="K1056" s="5" t="str">
        <f>IF(Logs_Reseau6[[#This Row],[Type_Forfait]]="Pro Monde","B2B","B2C")</f>
        <v>B2B</v>
      </c>
      <c r="L1056" s="5">
        <f>_xlfn.XLOOKUP(Logs_Reseau6[[#This Row],[Id_Client]],Clients_Churn[ID_Client],Clients_Churn[Duree_Cumulee_Panne_Min],"Non Trouvée")</f>
        <v>31</v>
      </c>
      <c r="M1056" s="5">
        <f>_xlfn.XLOOKUP(Logs_Reseau6[[#This Row],[Id_Client]],Clients_Churn[ID_Client],Clients_Churn[Anciennete_Mois],"Rien à signaler")</f>
        <v>119</v>
      </c>
      <c r="N1056" s="11">
        <f>Logs_Reseau6[[#This Row],[Anciennette]]/24</f>
        <v>4.958333333333333</v>
      </c>
      <c r="O1056" s="1">
        <f>Logs_Reseau6[[#This Row],[Duree_Cumulée_Panne]]/1440</f>
        <v>2.1527777777777778E-2</v>
      </c>
      <c r="P105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57" spans="1:16" hidden="1" x14ac:dyDescent="0.25">
      <c r="A1057" s="2">
        <v>45225</v>
      </c>
      <c r="B1057" s="1">
        <v>0.21319444444444444</v>
      </c>
      <c r="C1057" t="s">
        <v>1610</v>
      </c>
      <c r="D1057">
        <v>35</v>
      </c>
      <c r="E1057" t="s">
        <v>1305</v>
      </c>
      <c r="F1057" t="str">
        <f>_xlfn.XLOOKUP(Logs_Reseau6[[#This Row],[Cell_ID]],Registre[ID_Antenne],Registre[Province_RDC],"Non Trouvée")</f>
        <v>Non Trouvée</v>
      </c>
      <c r="G1057" t="str">
        <f>_xlfn.XLOOKUP(Logs_Reseau6[[#This Row],[Province]],Clients_Churn[Province_Client],Clients_Churn[ID_Client],"Aucun")</f>
        <v>Aucun</v>
      </c>
      <c r="H1057" t="str">
        <f>_xlfn.XLOOKUP(Logs_Reseau6[[#This Row],[Cell_ID]],Registre[ID_Antenne],Registre[Technologie],"Rien à signaler")</f>
        <v>Rien à signaler</v>
      </c>
      <c r="I1057" t="str">
        <f>_xlfn.XLOOKUP(Logs_Reseau6[[#This Row],[Cell_ID]],Registre[ID_Antenne],Registre[Equipementier],"Non Trouvée")</f>
        <v>Non Trouvée</v>
      </c>
      <c r="J1057" t="str">
        <f>_xlfn.XLOOKUP(Logs_Reseau6[[#This Row],[Id_Client]],Clients_Churn[ID_Client],Clients_Churn[Type_Forfait],"Pas d'information")</f>
        <v>Pas d'information</v>
      </c>
      <c r="K1057" s="5" t="str">
        <f>IF(Logs_Reseau6[[#This Row],[Type_Forfait]]="Pro Monde","B2B","B2C")</f>
        <v>B2C</v>
      </c>
      <c r="L1057" s="5" t="str">
        <f>_xlfn.XLOOKUP(Logs_Reseau6[[#This Row],[Id_Client]],Clients_Churn[ID_Client],Clients_Churn[Duree_Cumulee_Panne_Min],"Non Trouvée")</f>
        <v>Non Trouvée</v>
      </c>
      <c r="M1057" s="5" t="str">
        <f>_xlfn.XLOOKUP(Logs_Reseau6[[#This Row],[Id_Client]],Clients_Churn[ID_Client],Clients_Churn[Anciennete_Mois],"Rien à signaler")</f>
        <v>Rien à signaler</v>
      </c>
      <c r="N1057" s="5" t="e">
        <f>Logs_Reseau6[[#This Row],[Anciennette]]/24</f>
        <v>#VALUE!</v>
      </c>
      <c r="O1057" s="5" t="e">
        <f>Logs_Reseau6[[#This Row],[Duree_Cumulée_Panne]]/1440</f>
        <v>#VALUE!</v>
      </c>
      <c r="P1057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58" spans="1:16" x14ac:dyDescent="0.25">
      <c r="A1058" s="2">
        <v>45216</v>
      </c>
      <c r="B1058" s="1">
        <v>0.27430555555555558</v>
      </c>
      <c r="C1058" t="s">
        <v>1262</v>
      </c>
      <c r="D1058">
        <v>30</v>
      </c>
      <c r="E1058" t="s">
        <v>1303</v>
      </c>
      <c r="F1058" t="str">
        <f>_xlfn.XLOOKUP(Logs_Reseau6[[#This Row],[Cell_ID]],Registre[ID_Antenne],Registre[Province_RDC],"Non Trouvée")</f>
        <v>Equateur</v>
      </c>
      <c r="G1058" t="str">
        <f>_xlfn.XLOOKUP(Logs_Reseau6[[#This Row],[Province]],Clients_Churn[Province_Client],Clients_Churn[ID_Client],"Aucun")</f>
        <v>CLI-00091</v>
      </c>
      <c r="H1058" t="str">
        <f>_xlfn.XLOOKUP(Logs_Reseau6[[#This Row],[Cell_ID]],Registre[ID_Antenne],Registre[Technologie],"Rien à signaler")</f>
        <v>5G</v>
      </c>
      <c r="I1058" t="str">
        <f>_xlfn.XLOOKUP(Logs_Reseau6[[#This Row],[Cell_ID]],Registre[ID_Antenne],Registre[Equipementier],"Non Trouvée")</f>
        <v>ZTE</v>
      </c>
      <c r="J1058" t="str">
        <f>_xlfn.XLOOKUP(Logs_Reseau6[[#This Row],[Id_Client]],Clients_Churn[ID_Client],Clients_Churn[Type_Forfait],"Pas d'information")</f>
        <v>Bloqué 5Go</v>
      </c>
      <c r="K1058" s="5" t="str">
        <f>IF(Logs_Reseau6[[#This Row],[Type_Forfait]]="Pro Monde","B2B","B2C")</f>
        <v>B2C</v>
      </c>
      <c r="L1058" s="5">
        <f>_xlfn.XLOOKUP(Logs_Reseau6[[#This Row],[Id_Client]],Clients_Churn[ID_Client],Clients_Churn[Duree_Cumulee_Panne_Min],"Non Trouvée")</f>
        <v>435</v>
      </c>
      <c r="M1058" s="5">
        <f>_xlfn.XLOOKUP(Logs_Reseau6[[#This Row],[Id_Client]],Clients_Churn[ID_Client],Clients_Churn[Anciennete_Mois],"Rien à signaler")</f>
        <v>50</v>
      </c>
      <c r="N1058" s="11">
        <f>Logs_Reseau6[[#This Row],[Anciennette]]/24</f>
        <v>2.0833333333333335</v>
      </c>
      <c r="O1058" s="1">
        <f>Logs_Reseau6[[#This Row],[Duree_Cumulée_Panne]]/1440</f>
        <v>0.30208333333333331</v>
      </c>
      <c r="P105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59" spans="1:16" x14ac:dyDescent="0.25">
      <c r="A1059" s="2">
        <v>45224</v>
      </c>
      <c r="B1059" s="1">
        <v>0.77500000000000002</v>
      </c>
      <c r="C1059" t="s">
        <v>1262</v>
      </c>
      <c r="D1059">
        <v>107</v>
      </c>
      <c r="E1059" t="s">
        <v>1305</v>
      </c>
      <c r="F1059" t="str">
        <f>_xlfn.XLOOKUP(Logs_Reseau6[[#This Row],[Cell_ID]],Registre[ID_Antenne],Registre[Province_RDC],"Non Trouvée")</f>
        <v>Equateur</v>
      </c>
      <c r="G1059" t="str">
        <f>_xlfn.XLOOKUP(Logs_Reseau6[[#This Row],[Province]],Clients_Churn[Province_Client],Clients_Churn[ID_Client],"Aucun")</f>
        <v>CLI-00091</v>
      </c>
      <c r="H1059" t="str">
        <f>_xlfn.XLOOKUP(Logs_Reseau6[[#This Row],[Cell_ID]],Registre[ID_Antenne],Registre[Technologie],"Rien à signaler")</f>
        <v>5G</v>
      </c>
      <c r="I1059" t="str">
        <f>_xlfn.XLOOKUP(Logs_Reseau6[[#This Row],[Cell_ID]],Registre[ID_Antenne],Registre[Equipementier],"Non Trouvée")</f>
        <v>ZTE</v>
      </c>
      <c r="J1059" t="str">
        <f>_xlfn.XLOOKUP(Logs_Reseau6[[#This Row],[Id_Client]],Clients_Churn[ID_Client],Clients_Churn[Type_Forfait],"Pas d'information")</f>
        <v>Bloqué 5Go</v>
      </c>
      <c r="K1059" s="5" t="str">
        <f>IF(Logs_Reseau6[[#This Row],[Type_Forfait]]="Pro Monde","B2B","B2C")</f>
        <v>B2C</v>
      </c>
      <c r="L1059" s="5">
        <f>_xlfn.XLOOKUP(Logs_Reseau6[[#This Row],[Id_Client]],Clients_Churn[ID_Client],Clients_Churn[Duree_Cumulee_Panne_Min],"Non Trouvée")</f>
        <v>435</v>
      </c>
      <c r="M1059" s="5">
        <f>_xlfn.XLOOKUP(Logs_Reseau6[[#This Row],[Id_Client]],Clients_Churn[ID_Client],Clients_Churn[Anciennete_Mois],"Rien à signaler")</f>
        <v>50</v>
      </c>
      <c r="N1059" s="11">
        <f>Logs_Reseau6[[#This Row],[Anciennette]]/24</f>
        <v>2.0833333333333335</v>
      </c>
      <c r="O1059" s="1">
        <f>Logs_Reseau6[[#This Row],[Duree_Cumulée_Panne]]/1440</f>
        <v>0.30208333333333331</v>
      </c>
      <c r="P105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60" spans="1:16" x14ac:dyDescent="0.25">
      <c r="A1060" s="2">
        <v>45230</v>
      </c>
      <c r="B1060" s="1">
        <v>0.50277777777777777</v>
      </c>
      <c r="C1060" t="s">
        <v>1262</v>
      </c>
      <c r="D1060">
        <v>99</v>
      </c>
      <c r="E1060" t="s">
        <v>1300</v>
      </c>
      <c r="F1060" t="str">
        <f>_xlfn.XLOOKUP(Logs_Reseau6[[#This Row],[Cell_ID]],Registre[ID_Antenne],Registre[Province_RDC],"Non Trouvée")</f>
        <v>Equateur</v>
      </c>
      <c r="G1060" t="str">
        <f>_xlfn.XLOOKUP(Logs_Reseau6[[#This Row],[Province]],Clients_Churn[Province_Client],Clients_Churn[ID_Client],"Aucun")</f>
        <v>CLI-00091</v>
      </c>
      <c r="H1060" t="str">
        <f>_xlfn.XLOOKUP(Logs_Reseau6[[#This Row],[Cell_ID]],Registre[ID_Antenne],Registre[Technologie],"Rien à signaler")</f>
        <v>5G</v>
      </c>
      <c r="I1060" t="str">
        <f>_xlfn.XLOOKUP(Logs_Reseau6[[#This Row],[Cell_ID]],Registre[ID_Antenne],Registre[Equipementier],"Non Trouvée")</f>
        <v>ZTE</v>
      </c>
      <c r="J1060" t="str">
        <f>_xlfn.XLOOKUP(Logs_Reseau6[[#This Row],[Id_Client]],Clients_Churn[ID_Client],Clients_Churn[Type_Forfait],"Pas d'information")</f>
        <v>Bloqué 5Go</v>
      </c>
      <c r="K1060" s="5" t="str">
        <f>IF(Logs_Reseau6[[#This Row],[Type_Forfait]]="Pro Monde","B2B","B2C")</f>
        <v>B2C</v>
      </c>
      <c r="L1060" s="5">
        <f>_xlfn.XLOOKUP(Logs_Reseau6[[#This Row],[Id_Client]],Clients_Churn[ID_Client],Clients_Churn[Duree_Cumulee_Panne_Min],"Non Trouvée")</f>
        <v>435</v>
      </c>
      <c r="M1060" s="5">
        <f>_xlfn.XLOOKUP(Logs_Reseau6[[#This Row],[Id_Client]],Clients_Churn[ID_Client],Clients_Churn[Anciennete_Mois],"Rien à signaler")</f>
        <v>50</v>
      </c>
      <c r="N1060" s="11">
        <f>Logs_Reseau6[[#This Row],[Anciennette]]/24</f>
        <v>2.0833333333333335</v>
      </c>
      <c r="O1060" s="1">
        <f>Logs_Reseau6[[#This Row],[Duree_Cumulée_Panne]]/1440</f>
        <v>0.30208333333333331</v>
      </c>
      <c r="P106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61" spans="1:16" x14ac:dyDescent="0.25">
      <c r="A1061" s="2">
        <v>45201</v>
      </c>
      <c r="B1061" s="1">
        <v>5.7638888888888892E-2</v>
      </c>
      <c r="C1061" t="s">
        <v>1063</v>
      </c>
      <c r="D1061">
        <v>103</v>
      </c>
      <c r="E1061" t="s">
        <v>1300</v>
      </c>
      <c r="F1061" t="str">
        <f>_xlfn.XLOOKUP(Logs_Reseau6[[#This Row],[Cell_ID]],Registre[ID_Antenne],Registre[Province_RDC],"Non Trouvée")</f>
        <v>Haut-Katanga</v>
      </c>
      <c r="G1061" t="str">
        <f>_xlfn.XLOOKUP(Logs_Reseau6[[#This Row],[Province]],Clients_Churn[Province_Client],Clients_Churn[ID_Client],"Aucun")</f>
        <v>CLI-00059</v>
      </c>
      <c r="H1061" t="str">
        <f>_xlfn.XLOOKUP(Logs_Reseau6[[#This Row],[Cell_ID]],Registre[ID_Antenne],Registre[Technologie],"Rien à signaler")</f>
        <v>3G</v>
      </c>
      <c r="I1061" t="str">
        <f>_xlfn.XLOOKUP(Logs_Reseau6[[#This Row],[Cell_ID]],Registre[ID_Antenne],Registre[Equipementier],"Non Trouvée")</f>
        <v>ZTE</v>
      </c>
      <c r="J1061" t="str">
        <f>_xlfn.XLOOKUP(Logs_Reseau6[[#This Row],[Id_Client]],Clients_Churn[ID_Client],Clients_Churn[Type_Forfait],"Pas d'information")</f>
        <v>Pro Monde</v>
      </c>
      <c r="K1061" s="5" t="str">
        <f>IF(Logs_Reseau6[[#This Row],[Type_Forfait]]="Pro Monde","B2B","B2C")</f>
        <v>B2B</v>
      </c>
      <c r="L1061" s="5">
        <f>_xlfn.XLOOKUP(Logs_Reseau6[[#This Row],[Id_Client]],Clients_Churn[ID_Client],Clients_Churn[Duree_Cumulee_Panne_Min],"Non Trouvée")</f>
        <v>76</v>
      </c>
      <c r="M1061" s="5">
        <f>_xlfn.XLOOKUP(Logs_Reseau6[[#This Row],[Id_Client]],Clients_Churn[ID_Client],Clients_Churn[Anciennete_Mois],"Rien à signaler")</f>
        <v>69</v>
      </c>
      <c r="N1061" s="11">
        <f>Logs_Reseau6[[#This Row],[Anciennette]]/24</f>
        <v>2.875</v>
      </c>
      <c r="O1061" s="1">
        <f>Logs_Reseau6[[#This Row],[Duree_Cumulée_Panne]]/1440</f>
        <v>5.2777777777777778E-2</v>
      </c>
      <c r="P106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62" spans="1:16" x14ac:dyDescent="0.25">
      <c r="A1062" s="2">
        <v>45226</v>
      </c>
      <c r="B1062" s="1">
        <v>0.65972222222222221</v>
      </c>
      <c r="C1062" t="s">
        <v>1063</v>
      </c>
      <c r="D1062">
        <v>65</v>
      </c>
      <c r="E1062" t="s">
        <v>1303</v>
      </c>
      <c r="F1062" t="str">
        <f>_xlfn.XLOOKUP(Logs_Reseau6[[#This Row],[Cell_ID]],Registre[ID_Antenne],Registre[Province_RDC],"Non Trouvée")</f>
        <v>Haut-Katanga</v>
      </c>
      <c r="G1062" t="str">
        <f>_xlfn.XLOOKUP(Logs_Reseau6[[#This Row],[Province]],Clients_Churn[Province_Client],Clients_Churn[ID_Client],"Aucun")</f>
        <v>CLI-00059</v>
      </c>
      <c r="H1062" t="str">
        <f>_xlfn.XLOOKUP(Logs_Reseau6[[#This Row],[Cell_ID]],Registre[ID_Antenne],Registre[Technologie],"Rien à signaler")</f>
        <v>3G</v>
      </c>
      <c r="I1062" t="str">
        <f>_xlfn.XLOOKUP(Logs_Reseau6[[#This Row],[Cell_ID]],Registre[ID_Antenne],Registre[Equipementier],"Non Trouvée")</f>
        <v>ZTE</v>
      </c>
      <c r="J1062" t="str">
        <f>_xlfn.XLOOKUP(Logs_Reseau6[[#This Row],[Id_Client]],Clients_Churn[ID_Client],Clients_Churn[Type_Forfait],"Pas d'information")</f>
        <v>Pro Monde</v>
      </c>
      <c r="K1062" s="5" t="str">
        <f>IF(Logs_Reseau6[[#This Row],[Type_Forfait]]="Pro Monde","B2B","B2C")</f>
        <v>B2B</v>
      </c>
      <c r="L1062" s="5">
        <f>_xlfn.XLOOKUP(Logs_Reseau6[[#This Row],[Id_Client]],Clients_Churn[ID_Client],Clients_Churn[Duree_Cumulee_Panne_Min],"Non Trouvée")</f>
        <v>76</v>
      </c>
      <c r="M1062" s="5">
        <f>_xlfn.XLOOKUP(Logs_Reseau6[[#This Row],[Id_Client]],Clients_Churn[ID_Client],Clients_Churn[Anciennete_Mois],"Rien à signaler")</f>
        <v>69</v>
      </c>
      <c r="N1062" s="11">
        <f>Logs_Reseau6[[#This Row],[Anciennette]]/24</f>
        <v>2.875</v>
      </c>
      <c r="O1062" s="1">
        <f>Logs_Reseau6[[#This Row],[Duree_Cumulée_Panne]]/1440</f>
        <v>5.2777777777777778E-2</v>
      </c>
      <c r="P1062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0.1</v>
      </c>
    </row>
    <row r="1063" spans="1:16" x14ac:dyDescent="0.25">
      <c r="A1063" s="2">
        <v>45201</v>
      </c>
      <c r="B1063" s="1">
        <v>0.86736111111111114</v>
      </c>
      <c r="C1063" t="s">
        <v>909</v>
      </c>
      <c r="D1063">
        <v>18</v>
      </c>
      <c r="E1063" t="s">
        <v>1300</v>
      </c>
      <c r="F1063" t="str">
        <f>_xlfn.XLOOKUP(Logs_Reseau6[[#This Row],[Cell_ID]],Registre[ID_Antenne],Registre[Province_RDC],"Non Trouvée")</f>
        <v>Kongo-Central</v>
      </c>
      <c r="G1063" t="str">
        <f>_xlfn.XLOOKUP(Logs_Reseau6[[#This Row],[Province]],Clients_Churn[Province_Client],Clients_Churn[ID_Client],"Aucun")</f>
        <v>CLI-00012</v>
      </c>
      <c r="H1063" t="str">
        <f>_xlfn.XLOOKUP(Logs_Reseau6[[#This Row],[Cell_ID]],Registre[ID_Antenne],Registre[Technologie],"Rien à signaler")</f>
        <v>4G</v>
      </c>
      <c r="I1063" t="str">
        <f>_xlfn.XLOOKUP(Logs_Reseau6[[#This Row],[Cell_ID]],Registre[ID_Antenne],Registre[Equipementier],"Non Trouvée")</f>
        <v>Nokia</v>
      </c>
      <c r="J1063" t="str">
        <f>_xlfn.XLOOKUP(Logs_Reseau6[[#This Row],[Id_Client]],Clients_Churn[ID_Client],Clients_Churn[Type_Forfait],"Pas d'information")</f>
        <v>Illimité 50Go</v>
      </c>
      <c r="K1063" s="5" t="str">
        <f>IF(Logs_Reseau6[[#This Row],[Type_Forfait]]="Pro Monde","B2B","B2C")</f>
        <v>B2C</v>
      </c>
      <c r="L1063" s="5">
        <f>_xlfn.XLOOKUP(Logs_Reseau6[[#This Row],[Id_Client]],Clients_Churn[ID_Client],Clients_Churn[Duree_Cumulee_Panne_Min],"Non Trouvée")</f>
        <v>172</v>
      </c>
      <c r="M1063" s="5">
        <f>_xlfn.XLOOKUP(Logs_Reseau6[[#This Row],[Id_Client]],Clients_Churn[ID_Client],Clients_Churn[Anciennete_Mois],"Rien à signaler")</f>
        <v>105</v>
      </c>
      <c r="N1063" s="11">
        <f>Logs_Reseau6[[#This Row],[Anciennette]]/24</f>
        <v>4.375</v>
      </c>
      <c r="O1063" s="1">
        <f>Logs_Reseau6[[#This Row],[Duree_Cumulée_Panne]]/1440</f>
        <v>0.11944444444444445</v>
      </c>
      <c r="P1063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64" spans="1:16" x14ac:dyDescent="0.25">
      <c r="A1064" s="2">
        <v>45207</v>
      </c>
      <c r="B1064" s="1">
        <v>0.14027777777777778</v>
      </c>
      <c r="C1064" t="s">
        <v>909</v>
      </c>
      <c r="D1064">
        <v>46</v>
      </c>
      <c r="E1064" t="s">
        <v>1303</v>
      </c>
      <c r="F1064" t="str">
        <f>_xlfn.XLOOKUP(Logs_Reseau6[[#This Row],[Cell_ID]],Registre[ID_Antenne],Registre[Province_RDC],"Non Trouvée")</f>
        <v>Kongo-Central</v>
      </c>
      <c r="G1064" t="str">
        <f>_xlfn.XLOOKUP(Logs_Reseau6[[#This Row],[Province]],Clients_Churn[Province_Client],Clients_Churn[ID_Client],"Aucun")</f>
        <v>CLI-00012</v>
      </c>
      <c r="H1064" t="str">
        <f>_xlfn.XLOOKUP(Logs_Reseau6[[#This Row],[Cell_ID]],Registre[ID_Antenne],Registre[Technologie],"Rien à signaler")</f>
        <v>4G</v>
      </c>
      <c r="I1064" t="str">
        <f>_xlfn.XLOOKUP(Logs_Reseau6[[#This Row],[Cell_ID]],Registre[ID_Antenne],Registre[Equipementier],"Non Trouvée")</f>
        <v>Nokia</v>
      </c>
      <c r="J1064" t="str">
        <f>_xlfn.XLOOKUP(Logs_Reseau6[[#This Row],[Id_Client]],Clients_Churn[ID_Client],Clients_Churn[Type_Forfait],"Pas d'information")</f>
        <v>Illimité 50Go</v>
      </c>
      <c r="K1064" s="5" t="str">
        <f>IF(Logs_Reseau6[[#This Row],[Type_Forfait]]="Pro Monde","B2B","B2C")</f>
        <v>B2C</v>
      </c>
      <c r="L1064" s="5">
        <f>_xlfn.XLOOKUP(Logs_Reseau6[[#This Row],[Id_Client]],Clients_Churn[ID_Client],Clients_Churn[Duree_Cumulee_Panne_Min],"Non Trouvée")</f>
        <v>172</v>
      </c>
      <c r="M1064" s="5">
        <f>_xlfn.XLOOKUP(Logs_Reseau6[[#This Row],[Id_Client]],Clients_Churn[ID_Client],Clients_Churn[Anciennete_Mois],"Rien à signaler")</f>
        <v>105</v>
      </c>
      <c r="N1064" s="11">
        <f>Logs_Reseau6[[#This Row],[Anciennette]]/24</f>
        <v>4.375</v>
      </c>
      <c r="O1064" s="1">
        <f>Logs_Reseau6[[#This Row],[Duree_Cumulée_Panne]]/1440</f>
        <v>0.11944444444444445</v>
      </c>
      <c r="P106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65" spans="1:16" x14ac:dyDescent="0.25">
      <c r="A1065" s="2">
        <v>45215</v>
      </c>
      <c r="B1065" s="1">
        <v>0.37291666666666667</v>
      </c>
      <c r="C1065" t="s">
        <v>909</v>
      </c>
      <c r="D1065">
        <v>70</v>
      </c>
      <c r="E1065" t="s">
        <v>1303</v>
      </c>
      <c r="F1065" t="str">
        <f>_xlfn.XLOOKUP(Logs_Reseau6[[#This Row],[Cell_ID]],Registre[ID_Antenne],Registre[Province_RDC],"Non Trouvée")</f>
        <v>Kongo-Central</v>
      </c>
      <c r="G1065" t="str">
        <f>_xlfn.XLOOKUP(Logs_Reseau6[[#This Row],[Province]],Clients_Churn[Province_Client],Clients_Churn[ID_Client],"Aucun")</f>
        <v>CLI-00012</v>
      </c>
      <c r="H1065" t="str">
        <f>_xlfn.XLOOKUP(Logs_Reseau6[[#This Row],[Cell_ID]],Registre[ID_Antenne],Registre[Technologie],"Rien à signaler")</f>
        <v>4G</v>
      </c>
      <c r="I1065" t="str">
        <f>_xlfn.XLOOKUP(Logs_Reseau6[[#This Row],[Cell_ID]],Registre[ID_Antenne],Registre[Equipementier],"Non Trouvée")</f>
        <v>Nokia</v>
      </c>
      <c r="J1065" t="str">
        <f>_xlfn.XLOOKUP(Logs_Reseau6[[#This Row],[Id_Client]],Clients_Churn[ID_Client],Clients_Churn[Type_Forfait],"Pas d'information")</f>
        <v>Illimité 50Go</v>
      </c>
      <c r="K1065" s="5" t="str">
        <f>IF(Logs_Reseau6[[#This Row],[Type_Forfait]]="Pro Monde","B2B","B2C")</f>
        <v>B2C</v>
      </c>
      <c r="L1065" s="5">
        <f>_xlfn.XLOOKUP(Logs_Reseau6[[#This Row],[Id_Client]],Clients_Churn[ID_Client],Clients_Churn[Duree_Cumulee_Panne_Min],"Non Trouvée")</f>
        <v>172</v>
      </c>
      <c r="M1065" s="5">
        <f>_xlfn.XLOOKUP(Logs_Reseau6[[#This Row],[Id_Client]],Clients_Churn[ID_Client],Clients_Churn[Anciennete_Mois],"Rien à signaler")</f>
        <v>105</v>
      </c>
      <c r="N1065" s="11">
        <f>Logs_Reseau6[[#This Row],[Anciennette]]/24</f>
        <v>4.375</v>
      </c>
      <c r="O1065" s="1">
        <f>Logs_Reseau6[[#This Row],[Duree_Cumulée_Panne]]/1440</f>
        <v>0.11944444444444445</v>
      </c>
      <c r="P1065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66" spans="1:16" x14ac:dyDescent="0.25">
      <c r="A1066" s="2">
        <v>45220</v>
      </c>
      <c r="B1066" s="1">
        <v>0.84791666666666665</v>
      </c>
      <c r="C1066" t="s">
        <v>909</v>
      </c>
      <c r="D1066">
        <v>103</v>
      </c>
      <c r="E1066" t="s">
        <v>1300</v>
      </c>
      <c r="F1066" t="str">
        <f>_xlfn.XLOOKUP(Logs_Reseau6[[#This Row],[Cell_ID]],Registre[ID_Antenne],Registre[Province_RDC],"Non Trouvée")</f>
        <v>Kongo-Central</v>
      </c>
      <c r="G1066" t="str">
        <f>_xlfn.XLOOKUP(Logs_Reseau6[[#This Row],[Province]],Clients_Churn[Province_Client],Clients_Churn[ID_Client],"Aucun")</f>
        <v>CLI-00012</v>
      </c>
      <c r="H1066" t="str">
        <f>_xlfn.XLOOKUP(Logs_Reseau6[[#This Row],[Cell_ID]],Registre[ID_Antenne],Registre[Technologie],"Rien à signaler")</f>
        <v>4G</v>
      </c>
      <c r="I1066" t="str">
        <f>_xlfn.XLOOKUP(Logs_Reseau6[[#This Row],[Cell_ID]],Registre[ID_Antenne],Registre[Equipementier],"Non Trouvée")</f>
        <v>Nokia</v>
      </c>
      <c r="J1066" t="str">
        <f>_xlfn.XLOOKUP(Logs_Reseau6[[#This Row],[Id_Client]],Clients_Churn[ID_Client],Clients_Churn[Type_Forfait],"Pas d'information")</f>
        <v>Illimité 50Go</v>
      </c>
      <c r="K1066" s="5" t="str">
        <f>IF(Logs_Reseau6[[#This Row],[Type_Forfait]]="Pro Monde","B2B","B2C")</f>
        <v>B2C</v>
      </c>
      <c r="L1066" s="5">
        <f>_xlfn.XLOOKUP(Logs_Reseau6[[#This Row],[Id_Client]],Clients_Churn[ID_Client],Clients_Churn[Duree_Cumulee_Panne_Min],"Non Trouvée")</f>
        <v>172</v>
      </c>
      <c r="M1066" s="5">
        <f>_xlfn.XLOOKUP(Logs_Reseau6[[#This Row],[Id_Client]],Clients_Churn[ID_Client],Clients_Churn[Anciennete_Mois],"Rien à signaler")</f>
        <v>105</v>
      </c>
      <c r="N1066" s="11">
        <f>Logs_Reseau6[[#This Row],[Anciennette]]/24</f>
        <v>4.375</v>
      </c>
      <c r="O1066" s="1">
        <f>Logs_Reseau6[[#This Row],[Duree_Cumulée_Panne]]/1440</f>
        <v>0.11944444444444445</v>
      </c>
      <c r="P1066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67" spans="1:16" x14ac:dyDescent="0.25">
      <c r="A1067" s="2">
        <v>45209</v>
      </c>
      <c r="B1067" s="1">
        <v>0.8520833333333333</v>
      </c>
      <c r="C1067" t="s">
        <v>1292</v>
      </c>
      <c r="D1067">
        <v>91</v>
      </c>
      <c r="E1067" t="s">
        <v>1305</v>
      </c>
      <c r="F1067" t="str">
        <f>_xlfn.XLOOKUP(Logs_Reseau6[[#This Row],[Cell_ID]],Registre[ID_Antenne],Registre[Province_RDC],"Non Trouvée")</f>
        <v>Kwango</v>
      </c>
      <c r="G1067" t="str">
        <f>_xlfn.XLOOKUP(Logs_Reseau6[[#This Row],[Province]],Clients_Churn[Province_Client],Clients_Churn[ID_Client],"Aucun")</f>
        <v>CLI-00094</v>
      </c>
      <c r="H1067" t="str">
        <f>_xlfn.XLOOKUP(Logs_Reseau6[[#This Row],[Cell_ID]],Registre[ID_Antenne],Registre[Technologie],"Rien à signaler")</f>
        <v>5G</v>
      </c>
      <c r="I1067" t="str">
        <f>_xlfn.XLOOKUP(Logs_Reseau6[[#This Row],[Cell_ID]],Registre[ID_Antenne],Registre[Equipementier],"Non Trouvée")</f>
        <v>Huawei</v>
      </c>
      <c r="J1067" t="str">
        <f>_xlfn.XLOOKUP(Logs_Reseau6[[#This Row],[Id_Client]],Clients_Churn[ID_Client],Clients_Churn[Type_Forfait],"Pas d'information")</f>
        <v>Pro Monde</v>
      </c>
      <c r="K1067" s="5" t="str">
        <f>IF(Logs_Reseau6[[#This Row],[Type_Forfait]]="Pro Monde","B2B","B2C")</f>
        <v>B2B</v>
      </c>
      <c r="L1067" s="5">
        <f>_xlfn.XLOOKUP(Logs_Reseau6[[#This Row],[Id_Client]],Clients_Churn[ID_Client],Clients_Churn[Duree_Cumulee_Panne_Min],"Non Trouvée")</f>
        <v>493</v>
      </c>
      <c r="M1067" s="5">
        <f>_xlfn.XLOOKUP(Logs_Reseau6[[#This Row],[Id_Client]],Clients_Churn[ID_Client],Clients_Churn[Anciennete_Mois],"Rien à signaler")</f>
        <v>29</v>
      </c>
      <c r="N1067" s="11">
        <f>Logs_Reseau6[[#This Row],[Anciennette]]/24</f>
        <v>1.2083333333333333</v>
      </c>
      <c r="O1067" s="1">
        <f>Logs_Reseau6[[#This Row],[Duree_Cumulée_Panne]]/1440</f>
        <v>0.34236111111111112</v>
      </c>
      <c r="P1067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68" spans="1:16" x14ac:dyDescent="0.25">
      <c r="A1068" s="2">
        <v>45205</v>
      </c>
      <c r="B1068" s="1">
        <v>0.34513888888888888</v>
      </c>
      <c r="C1068" t="s">
        <v>866</v>
      </c>
      <c r="D1068">
        <v>109</v>
      </c>
      <c r="E1068" t="s">
        <v>1303</v>
      </c>
      <c r="F1068" t="str">
        <f>_xlfn.XLOOKUP(Logs_Reseau6[[#This Row],[Cell_ID]],Registre[ID_Antenne],Registre[Province_RDC],"Non Trouvée")</f>
        <v>Lomami</v>
      </c>
      <c r="G1068" t="str">
        <f>_xlfn.XLOOKUP(Logs_Reseau6[[#This Row],[Province]],Clients_Churn[Province_Client],Clients_Churn[ID_Client],"Aucun")</f>
        <v>CLI-00044</v>
      </c>
      <c r="H1068" t="str">
        <f>_xlfn.XLOOKUP(Logs_Reseau6[[#This Row],[Cell_ID]],Registre[ID_Antenne],Registre[Technologie],"Rien à signaler")</f>
        <v>3G</v>
      </c>
      <c r="I1068" t="str">
        <f>_xlfn.XLOOKUP(Logs_Reseau6[[#This Row],[Cell_ID]],Registre[ID_Antenne],Registre[Equipementier],"Non Trouvée")</f>
        <v>ZTE</v>
      </c>
      <c r="J1068" t="str">
        <f>_xlfn.XLOOKUP(Logs_Reseau6[[#This Row],[Id_Client]],Clients_Churn[ID_Client],Clients_Churn[Type_Forfait],"Pas d'information")</f>
        <v>Illimité 50Go</v>
      </c>
      <c r="K1068" s="5" t="str">
        <f>IF(Logs_Reseau6[[#This Row],[Type_Forfait]]="Pro Monde","B2B","B2C")</f>
        <v>B2C</v>
      </c>
      <c r="L1068" s="5">
        <f>_xlfn.XLOOKUP(Logs_Reseau6[[#This Row],[Id_Client]],Clients_Churn[ID_Client],Clients_Churn[Duree_Cumulee_Panne_Min],"Non Trouvée")</f>
        <v>345</v>
      </c>
      <c r="M1068" s="5">
        <f>_xlfn.XLOOKUP(Logs_Reseau6[[#This Row],[Id_Client]],Clients_Churn[ID_Client],Clients_Churn[Anciennete_Mois],"Rien à signaler")</f>
        <v>53</v>
      </c>
      <c r="N1068" s="11">
        <f>Logs_Reseau6[[#This Row],[Anciennette]]/24</f>
        <v>2.2083333333333335</v>
      </c>
      <c r="O1068" s="1">
        <f>Logs_Reseau6[[#This Row],[Duree_Cumulée_Panne]]/1440</f>
        <v>0.23958333333333334</v>
      </c>
      <c r="P1068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69" spans="1:16" x14ac:dyDescent="0.25">
      <c r="A1069" s="2">
        <v>45226</v>
      </c>
      <c r="B1069" s="1">
        <v>0.10069444444444445</v>
      </c>
      <c r="C1069" t="s">
        <v>866</v>
      </c>
      <c r="D1069">
        <v>110</v>
      </c>
      <c r="E1069" t="s">
        <v>1303</v>
      </c>
      <c r="F1069" t="str">
        <f>_xlfn.XLOOKUP(Logs_Reseau6[[#This Row],[Cell_ID]],Registre[ID_Antenne],Registre[Province_RDC],"Non Trouvée")</f>
        <v>Lomami</v>
      </c>
      <c r="G1069" t="str">
        <f>_xlfn.XLOOKUP(Logs_Reseau6[[#This Row],[Province]],Clients_Churn[Province_Client],Clients_Churn[ID_Client],"Aucun")</f>
        <v>CLI-00044</v>
      </c>
      <c r="H1069" t="str">
        <f>_xlfn.XLOOKUP(Logs_Reseau6[[#This Row],[Cell_ID]],Registre[ID_Antenne],Registre[Technologie],"Rien à signaler")</f>
        <v>3G</v>
      </c>
      <c r="I1069" t="str">
        <f>_xlfn.XLOOKUP(Logs_Reseau6[[#This Row],[Cell_ID]],Registre[ID_Antenne],Registre[Equipementier],"Non Trouvée")</f>
        <v>ZTE</v>
      </c>
      <c r="J1069" t="str">
        <f>_xlfn.XLOOKUP(Logs_Reseau6[[#This Row],[Id_Client]],Clients_Churn[ID_Client],Clients_Churn[Type_Forfait],"Pas d'information")</f>
        <v>Illimité 50Go</v>
      </c>
      <c r="K1069" s="5" t="str">
        <f>IF(Logs_Reseau6[[#This Row],[Type_Forfait]]="Pro Monde","B2B","B2C")</f>
        <v>B2C</v>
      </c>
      <c r="L1069" s="5">
        <f>_xlfn.XLOOKUP(Logs_Reseau6[[#This Row],[Id_Client]],Clients_Churn[ID_Client],Clients_Churn[Duree_Cumulee_Panne_Min],"Non Trouvée")</f>
        <v>345</v>
      </c>
      <c r="M1069" s="5">
        <f>_xlfn.XLOOKUP(Logs_Reseau6[[#This Row],[Id_Client]],Clients_Churn[ID_Client],Clients_Churn[Anciennete_Mois],"Rien à signaler")</f>
        <v>53</v>
      </c>
      <c r="N1069" s="11">
        <f>Logs_Reseau6[[#This Row],[Anciennette]]/24</f>
        <v>2.2083333333333335</v>
      </c>
      <c r="O1069" s="1">
        <f>Logs_Reseau6[[#This Row],[Duree_Cumulée_Panne]]/1440</f>
        <v>0.23958333333333334</v>
      </c>
      <c r="P1069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70" spans="1:16" x14ac:dyDescent="0.25">
      <c r="A1070" s="2">
        <v>45213</v>
      </c>
      <c r="B1070" s="1">
        <v>0.77986111111111112</v>
      </c>
      <c r="C1070" t="s">
        <v>1229</v>
      </c>
      <c r="D1070">
        <v>120</v>
      </c>
      <c r="E1070" t="s">
        <v>1300</v>
      </c>
      <c r="F1070" t="str">
        <f>_xlfn.XLOOKUP(Logs_Reseau6[[#This Row],[Cell_ID]],Registre[ID_Antenne],Registre[Province_RDC],"Non Trouvée")</f>
        <v>Sankuru</v>
      </c>
      <c r="G1070" t="str">
        <f>_xlfn.XLOOKUP(Logs_Reseau6[[#This Row],[Province]],Clients_Churn[Province_Client],Clients_Churn[ID_Client],"Aucun")</f>
        <v>CLI-00197</v>
      </c>
      <c r="H1070" t="str">
        <f>_xlfn.XLOOKUP(Logs_Reseau6[[#This Row],[Cell_ID]],Registre[ID_Antenne],Registre[Technologie],"Rien à signaler")</f>
        <v>3G</v>
      </c>
      <c r="I1070" t="str">
        <f>_xlfn.XLOOKUP(Logs_Reseau6[[#This Row],[Cell_ID]],Registre[ID_Antenne],Registre[Equipementier],"Non Trouvée")</f>
        <v>Ericsson</v>
      </c>
      <c r="J1070" t="str">
        <f>_xlfn.XLOOKUP(Logs_Reseau6[[#This Row],[Id_Client]],Clients_Churn[ID_Client],Clients_Churn[Type_Forfait],"Pas d'information")</f>
        <v>Illimité 50Go</v>
      </c>
      <c r="K1070" s="5" t="str">
        <f>IF(Logs_Reseau6[[#This Row],[Type_Forfait]]="Pro Monde","B2B","B2C")</f>
        <v>B2C</v>
      </c>
      <c r="L1070" s="5">
        <f>_xlfn.XLOOKUP(Logs_Reseau6[[#This Row],[Id_Client]],Clients_Churn[ID_Client],Clients_Churn[Duree_Cumulee_Panne_Min],"Non Trouvée")</f>
        <v>84</v>
      </c>
      <c r="M1070" s="5">
        <f>_xlfn.XLOOKUP(Logs_Reseau6[[#This Row],[Id_Client]],Clients_Churn[ID_Client],Clients_Churn[Anciennete_Mois],"Rien à signaler")</f>
        <v>109</v>
      </c>
      <c r="N1070" s="11">
        <f>Logs_Reseau6[[#This Row],[Anciennette]]/24</f>
        <v>4.541666666666667</v>
      </c>
      <c r="O1070" s="1">
        <f>Logs_Reseau6[[#This Row],[Duree_Cumulée_Panne]]/1440</f>
        <v>5.8333333333333334E-2</v>
      </c>
      <c r="P1070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71" spans="1:16" x14ac:dyDescent="0.25">
      <c r="A1071" s="2">
        <v>45222</v>
      </c>
      <c r="B1071" s="1">
        <v>0.90277777777777779</v>
      </c>
      <c r="C1071" t="s">
        <v>1229</v>
      </c>
      <c r="D1071">
        <v>31</v>
      </c>
      <c r="E1071" t="s">
        <v>1305</v>
      </c>
      <c r="F1071" t="str">
        <f>_xlfn.XLOOKUP(Logs_Reseau6[[#This Row],[Cell_ID]],Registre[ID_Antenne],Registre[Province_RDC],"Non Trouvée")</f>
        <v>Sankuru</v>
      </c>
      <c r="G1071" t="str">
        <f>_xlfn.XLOOKUP(Logs_Reseau6[[#This Row],[Province]],Clients_Churn[Province_Client],Clients_Churn[ID_Client],"Aucun")</f>
        <v>CLI-00197</v>
      </c>
      <c r="H1071" t="str">
        <f>_xlfn.XLOOKUP(Logs_Reseau6[[#This Row],[Cell_ID]],Registre[ID_Antenne],Registre[Technologie],"Rien à signaler")</f>
        <v>3G</v>
      </c>
      <c r="I1071" t="str">
        <f>_xlfn.XLOOKUP(Logs_Reseau6[[#This Row],[Cell_ID]],Registre[ID_Antenne],Registre[Equipementier],"Non Trouvée")</f>
        <v>Ericsson</v>
      </c>
      <c r="J1071" t="str">
        <f>_xlfn.XLOOKUP(Logs_Reseau6[[#This Row],[Id_Client]],Clients_Churn[ID_Client],Clients_Churn[Type_Forfait],"Pas d'information")</f>
        <v>Illimité 50Go</v>
      </c>
      <c r="K1071" s="5" t="str">
        <f>IF(Logs_Reseau6[[#This Row],[Type_Forfait]]="Pro Monde","B2B","B2C")</f>
        <v>B2C</v>
      </c>
      <c r="L1071" s="5">
        <f>_xlfn.XLOOKUP(Logs_Reseau6[[#This Row],[Id_Client]],Clients_Churn[ID_Client],Clients_Churn[Duree_Cumulee_Panne_Min],"Non Trouvée")</f>
        <v>84</v>
      </c>
      <c r="M1071" s="5">
        <f>_xlfn.XLOOKUP(Logs_Reseau6[[#This Row],[Id_Client]],Clients_Churn[ID_Client],Clients_Churn[Anciennete_Mois],"Rien à signaler")</f>
        <v>109</v>
      </c>
      <c r="N1071" s="11">
        <f>Logs_Reseau6[[#This Row],[Anciennette]]/24</f>
        <v>4.541666666666667</v>
      </c>
      <c r="O1071" s="1">
        <f>Logs_Reseau6[[#This Row],[Duree_Cumulée_Panne]]/1440</f>
        <v>5.8333333333333334E-2</v>
      </c>
      <c r="P1071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</v>
      </c>
    </row>
    <row r="1072" spans="1:16" hidden="1" x14ac:dyDescent="0.25">
      <c r="A1072" s="2">
        <v>45203</v>
      </c>
      <c r="B1072" s="1">
        <v>3.125E-2</v>
      </c>
      <c r="C1072" t="s">
        <v>1307</v>
      </c>
      <c r="D1072">
        <v>36</v>
      </c>
      <c r="E1072" t="s">
        <v>1305</v>
      </c>
      <c r="F1072" t="str">
        <f>_xlfn.XLOOKUP(Logs_Reseau6[[#This Row],[Cell_ID]],Registre[ID_Antenne],Registre[Province_RDC],"Non Trouvée")</f>
        <v>Non Trouvée</v>
      </c>
      <c r="G1072" t="str">
        <f>_xlfn.XLOOKUP(Logs_Reseau6[[#This Row],[Province]],Clients_Churn[Province_Client],Clients_Churn[ID_Client],"Aucun")</f>
        <v>Aucun</v>
      </c>
      <c r="H1072" t="str">
        <f>_xlfn.XLOOKUP(Logs_Reseau6[[#This Row],[Cell_ID]],Registre[ID_Antenne],Registre[Technologie],"Rien à signaler")</f>
        <v>Rien à signaler</v>
      </c>
      <c r="I1072" t="str">
        <f>_xlfn.XLOOKUP(Logs_Reseau6[[#This Row],[Cell_ID]],Registre[ID_Antenne],Registre[Equipementier],"Non Trouvée")</f>
        <v>Non Trouvée</v>
      </c>
      <c r="J1072" t="str">
        <f>_xlfn.XLOOKUP(Logs_Reseau6[[#This Row],[Id_Client]],Clients_Churn[ID_Client],Clients_Churn[Type_Forfait],"Pas d'information")</f>
        <v>Pas d'information</v>
      </c>
      <c r="K1072" s="5" t="str">
        <f>IF(Logs_Reseau6[[#This Row],[Type_Forfait]]="Pro Monde","B2B","B2C")</f>
        <v>B2C</v>
      </c>
      <c r="L1072" s="5" t="str">
        <f>_xlfn.XLOOKUP(Logs_Reseau6[[#This Row],[Id_Client]],Clients_Churn[ID_Client],Clients_Churn[Duree_Cumulee_Panne_Min],"Non Trouvée")</f>
        <v>Non Trouvée</v>
      </c>
      <c r="M1072" s="5" t="str">
        <f>_xlfn.XLOOKUP(Logs_Reseau6[[#This Row],[Id_Client]],Clients_Churn[ID_Client],Clients_Churn[Anciennete_Mois],"Rien à signaler")</f>
        <v>Rien à signaler</v>
      </c>
      <c r="N1072" s="5" t="e">
        <f>Logs_Reseau6[[#This Row],[Anciennette]]/24</f>
        <v>#VALUE!</v>
      </c>
      <c r="O1072" s="5" t="e">
        <f>Logs_Reseau6[[#This Row],[Duree_Cumulée_Panne]]/1440</f>
        <v>#VALUE!</v>
      </c>
      <c r="P1072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73" spans="1:16" hidden="1" x14ac:dyDescent="0.25">
      <c r="A1073" s="2">
        <v>45216</v>
      </c>
      <c r="B1073" s="1">
        <v>0.79236111111111107</v>
      </c>
      <c r="C1073" t="s">
        <v>1307</v>
      </c>
      <c r="D1073">
        <v>56</v>
      </c>
      <c r="E1073" t="s">
        <v>1300</v>
      </c>
      <c r="F1073" t="str">
        <f>_xlfn.XLOOKUP(Logs_Reseau6[[#This Row],[Cell_ID]],Registre[ID_Antenne],Registre[Province_RDC],"Non Trouvée")</f>
        <v>Non Trouvée</v>
      </c>
      <c r="G1073" t="str">
        <f>_xlfn.XLOOKUP(Logs_Reseau6[[#This Row],[Province]],Clients_Churn[Province_Client],Clients_Churn[ID_Client],"Aucun")</f>
        <v>Aucun</v>
      </c>
      <c r="H1073" t="str">
        <f>_xlfn.XLOOKUP(Logs_Reseau6[[#This Row],[Cell_ID]],Registre[ID_Antenne],Registre[Technologie],"Rien à signaler")</f>
        <v>Rien à signaler</v>
      </c>
      <c r="I1073" t="str">
        <f>_xlfn.XLOOKUP(Logs_Reseau6[[#This Row],[Cell_ID]],Registre[ID_Antenne],Registre[Equipementier],"Non Trouvée")</f>
        <v>Non Trouvée</v>
      </c>
      <c r="J1073" t="str">
        <f>_xlfn.XLOOKUP(Logs_Reseau6[[#This Row],[Id_Client]],Clients_Churn[ID_Client],Clients_Churn[Type_Forfait],"Pas d'information")</f>
        <v>Pas d'information</v>
      </c>
      <c r="K1073" s="5" t="str">
        <f>IF(Logs_Reseau6[[#This Row],[Type_Forfait]]="Pro Monde","B2B","B2C")</f>
        <v>B2C</v>
      </c>
      <c r="L1073" s="5" t="str">
        <f>_xlfn.XLOOKUP(Logs_Reseau6[[#This Row],[Id_Client]],Clients_Churn[ID_Client],Clients_Churn[Duree_Cumulee_Panne_Min],"Non Trouvée")</f>
        <v>Non Trouvée</v>
      </c>
      <c r="M1073" s="5" t="str">
        <f>_xlfn.XLOOKUP(Logs_Reseau6[[#This Row],[Id_Client]],Clients_Churn[ID_Client],Clients_Churn[Anciennete_Mois],"Rien à signaler")</f>
        <v>Rien à signaler</v>
      </c>
      <c r="N1073" s="5" t="e">
        <f>Logs_Reseau6[[#This Row],[Anciennette]]/24</f>
        <v>#VALUE!</v>
      </c>
      <c r="O1073" s="5" t="e">
        <f>Logs_Reseau6[[#This Row],[Duree_Cumulée_Panne]]/1440</f>
        <v>#VALUE!</v>
      </c>
      <c r="P1073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  <row r="1074" spans="1:16" x14ac:dyDescent="0.25">
      <c r="A1074" s="2">
        <v>45216</v>
      </c>
      <c r="B1074" s="1">
        <v>0.72986111111111107</v>
      </c>
      <c r="C1074" t="s">
        <v>944</v>
      </c>
      <c r="D1074">
        <v>109</v>
      </c>
      <c r="E1074" t="s">
        <v>1305</v>
      </c>
      <c r="F1074" t="str">
        <f>_xlfn.XLOOKUP(Logs_Reseau6[[#This Row],[Cell_ID]],Registre[ID_Antenne],Registre[Province_RDC],"Non Trouvée")</f>
        <v>Kasai-Oriental</v>
      </c>
      <c r="G1074" t="str">
        <f>_xlfn.XLOOKUP(Logs_Reseau6[[#This Row],[Province]],Clients_Churn[Province_Client],Clients_Churn[ID_Client],"Aucun")</f>
        <v>CLI-00107</v>
      </c>
      <c r="H1074" t="str">
        <f>_xlfn.XLOOKUP(Logs_Reseau6[[#This Row],[Cell_ID]],Registre[ID_Antenne],Registre[Technologie],"Rien à signaler")</f>
        <v>4G</v>
      </c>
      <c r="I1074" t="str">
        <f>_xlfn.XLOOKUP(Logs_Reseau6[[#This Row],[Cell_ID]],Registre[ID_Antenne],Registre[Equipementier],"Non Trouvée")</f>
        <v>Huawei</v>
      </c>
      <c r="J1074" t="str">
        <f>_xlfn.XLOOKUP(Logs_Reseau6[[#This Row],[Id_Client]],Clients_Churn[ID_Client],Clients_Churn[Type_Forfait],"Pas d'information")</f>
        <v>Premium 5G 150Go</v>
      </c>
      <c r="K1074" s="5" t="str">
        <f>IF(Logs_Reseau6[[#This Row],[Type_Forfait]]="Pro Monde","B2B","B2C")</f>
        <v>B2C</v>
      </c>
      <c r="L1074" s="5">
        <f>_xlfn.XLOOKUP(Logs_Reseau6[[#This Row],[Id_Client]],Clients_Churn[ID_Client],Clients_Churn[Duree_Cumulee_Panne_Min],"Non Trouvée")</f>
        <v>88</v>
      </c>
      <c r="M1074" s="5">
        <f>_xlfn.XLOOKUP(Logs_Reseau6[[#This Row],[Id_Client]],Clients_Churn[ID_Client],Clients_Churn[Anciennete_Mois],"Rien à signaler")</f>
        <v>82</v>
      </c>
      <c r="N1074" s="11">
        <f>Logs_Reseau6[[#This Row],[Anciennette]]/24</f>
        <v>3.4166666666666665</v>
      </c>
      <c r="O1074" s="1">
        <f>Logs_Reseau6[[#This Row],[Duree_Cumulée_Panne]]/1440</f>
        <v>6.1111111111111109E-2</v>
      </c>
      <c r="P1074" s="9">
        <f>IF(AND(Logs_Reseau6[[#This Row],[Duree_Cumulée_Panne]]&gt;TIME(12,0,0),Logs_Reseau6[[#This Row],[Anciennette_Par_An]]&gt;5),0.7, IF(OR(AND(Logs_Reseau6[[#This Row],[Duree par heure]]&gt;=TIME(4,0,0),Logs_Reseau6[[#This Row],[Duree par heure]]&lt;=TIME(12,0,0)),AND(Logs_Reseau6[[#This Row],[Anciennette_Par_An]]&lt;5,Logs_Reseau6[[#This Row],[Type_Forfait]]="Premium 5G 150Go")),0.45,IF(Logs_Reseau6[[#This Row],[Type_Client]]="B2B",0.1,0)))</f>
        <v>0.45</v>
      </c>
    </row>
    <row r="1075" spans="1:16" hidden="1" x14ac:dyDescent="0.25">
      <c r="A1075" s="2">
        <v>45224</v>
      </c>
      <c r="B1075" s="1">
        <v>0.16458333333333333</v>
      </c>
      <c r="C1075" t="s">
        <v>1559</v>
      </c>
      <c r="D1075">
        <v>57</v>
      </c>
      <c r="E1075" t="s">
        <v>1303</v>
      </c>
      <c r="F1075" t="str">
        <f>_xlfn.XLOOKUP(Logs_Reseau6[[#This Row],[Cell_ID]],Registre[ID_Antenne],Registre[Province_RDC],"Non Trouvée")</f>
        <v>Non Trouvée</v>
      </c>
      <c r="G1075" t="str">
        <f>_xlfn.XLOOKUP(Logs_Reseau6[[#This Row],[Province]],Clients_Churn[Province_Client],Clients_Churn[ID_Client],"Aucun")</f>
        <v>Aucun</v>
      </c>
      <c r="H1075" t="str">
        <f>_xlfn.XLOOKUP(Logs_Reseau6[[#This Row],[Cell_ID]],Registre[ID_Antenne],Registre[Technologie],"Rien à signaler")</f>
        <v>Rien à signaler</v>
      </c>
      <c r="I1075" t="str">
        <f>_xlfn.XLOOKUP(Logs_Reseau6[[#This Row],[Cell_ID]],Registre[ID_Antenne],Registre[Equipementier],"Non Trouvée")</f>
        <v>Non Trouvée</v>
      </c>
      <c r="J1075" t="str">
        <f>_xlfn.XLOOKUP(Logs_Reseau6[[#This Row],[Id_Client]],Clients_Churn[ID_Client],Clients_Churn[Type_Forfait],"Pas d'information")</f>
        <v>Pas d'information</v>
      </c>
      <c r="K1075" s="5" t="str">
        <f>IF(Logs_Reseau6[[#This Row],[Type_Forfait]]="Pro Monde","B2B","B2C")</f>
        <v>B2C</v>
      </c>
      <c r="L1075" s="5" t="str">
        <f>_xlfn.XLOOKUP(Logs_Reseau6[[#This Row],[Id_Client]],Clients_Churn[ID_Client],Clients_Churn[Duree_Cumulee_Panne_Min],"Non Trouvée")</f>
        <v>Non Trouvée</v>
      </c>
      <c r="M1075" s="5" t="str">
        <f>_xlfn.XLOOKUP(Logs_Reseau6[[#This Row],[Id_Client]],Clients_Churn[ID_Client],Clients_Churn[Anciennete_Mois],"Rien à signaler")</f>
        <v>Rien à signaler</v>
      </c>
      <c r="N1075" s="5" t="e">
        <f>Logs_Reseau6[[#This Row],[Anciennette]]/24</f>
        <v>#VALUE!</v>
      </c>
      <c r="O1075" s="5" t="e">
        <f>Logs_Reseau6[[#This Row],[Duree_Cumulée_Panne]]/1440</f>
        <v>#VALUE!</v>
      </c>
      <c r="P1075" s="5" t="e">
        <f>IF(AND(Logs_Reseau6[[#This Row],[Duree par heure]]&gt;TIME(12,0,0),Logs_Reseau6[[#This Row],[Anciennette]]&gt;5),0.7,IF(OR(AND(Logs_Reseau6[[#This Row],[Duree_Cumulée_Panne]]&gt;=TIME(12,0,0)),AND(Logs_Reseau6[[#This Row],[Duree par heure]]&lt;5,Logs_Reseau6[[#This Row],[Type_Forfait]]="Premium 5G 150Go")),0.45,IF(Logs_Reseau6[[#This Row],[Type_Client]]="B2B",0.1,0)))</f>
        <v>#VALUE!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CEA4-E7A6-469D-8086-9F8321428391}">
  <sheetPr>
    <tabColor theme="8" tint="0.39997558519241921"/>
  </sheetPr>
  <dimension ref="A3:B31"/>
  <sheetViews>
    <sheetView tabSelected="1" workbookViewId="0">
      <selection activeCell="B3" sqref="B3"/>
    </sheetView>
  </sheetViews>
  <sheetFormatPr baseColWidth="10" defaultRowHeight="15" x14ac:dyDescent="0.25"/>
  <cols>
    <col min="1" max="1" width="21.42578125" bestFit="1" customWidth="1"/>
    <col min="2" max="2" width="30.140625" bestFit="1" customWidth="1"/>
  </cols>
  <sheetData>
    <row r="3" spans="1:2" x14ac:dyDescent="0.25">
      <c r="A3" s="6" t="s">
        <v>1648</v>
      </c>
      <c r="B3" t="s">
        <v>1647</v>
      </c>
    </row>
    <row r="4" spans="1:2" x14ac:dyDescent="0.25">
      <c r="A4" s="7" t="s">
        <v>24</v>
      </c>
      <c r="B4" s="1">
        <v>13.838194444444447</v>
      </c>
    </row>
    <row r="5" spans="1:2" x14ac:dyDescent="0.25">
      <c r="A5" s="7" t="s">
        <v>61</v>
      </c>
      <c r="B5" s="1">
        <v>9.0659722222222232</v>
      </c>
    </row>
    <row r="6" spans="1:2" x14ac:dyDescent="0.25">
      <c r="A6" s="7" t="s">
        <v>46</v>
      </c>
      <c r="B6" s="1">
        <v>15.892361111111111</v>
      </c>
    </row>
    <row r="7" spans="1:2" x14ac:dyDescent="0.25">
      <c r="A7" s="7" t="s">
        <v>20</v>
      </c>
      <c r="B7" s="1">
        <v>10.869444444444445</v>
      </c>
    </row>
    <row r="8" spans="1:2" x14ac:dyDescent="0.25">
      <c r="A8" s="7" t="s">
        <v>42</v>
      </c>
      <c r="B8" s="1">
        <v>14.604861111111111</v>
      </c>
    </row>
    <row r="9" spans="1:2" x14ac:dyDescent="0.25">
      <c r="A9" s="7" t="s">
        <v>32</v>
      </c>
      <c r="B9" s="1">
        <v>8.6361111111111111</v>
      </c>
    </row>
    <row r="10" spans="1:2" x14ac:dyDescent="0.25">
      <c r="A10" s="7" t="s">
        <v>44</v>
      </c>
      <c r="B10" s="1">
        <v>7.7701388888888898</v>
      </c>
    </row>
    <row r="11" spans="1:2" x14ac:dyDescent="0.25">
      <c r="A11" s="7" t="s">
        <v>48</v>
      </c>
      <c r="B11" s="1">
        <v>9.3597222222222207</v>
      </c>
    </row>
    <row r="12" spans="1:2" x14ac:dyDescent="0.25">
      <c r="A12" s="7" t="s">
        <v>71</v>
      </c>
      <c r="B12" s="1">
        <v>5.8923611111111107</v>
      </c>
    </row>
    <row r="13" spans="1:2" x14ac:dyDescent="0.25">
      <c r="A13" s="7" t="s">
        <v>99</v>
      </c>
      <c r="B13" s="1">
        <v>9.3069444444444454</v>
      </c>
    </row>
    <row r="14" spans="1:2" x14ac:dyDescent="0.25">
      <c r="A14" s="7" t="s">
        <v>17</v>
      </c>
      <c r="B14" s="1">
        <v>14.045833333333333</v>
      </c>
    </row>
    <row r="15" spans="1:2" x14ac:dyDescent="0.25">
      <c r="A15" s="7" t="s">
        <v>64</v>
      </c>
      <c r="B15" s="1">
        <v>7.1430555555555557</v>
      </c>
    </row>
    <row r="16" spans="1:2" x14ac:dyDescent="0.25">
      <c r="A16" s="7" t="s">
        <v>11</v>
      </c>
      <c r="B16" s="1">
        <v>11.072916666666666</v>
      </c>
    </row>
    <row r="17" spans="1:2" x14ac:dyDescent="0.25">
      <c r="A17" s="7" t="s">
        <v>36</v>
      </c>
      <c r="B17" s="1">
        <v>7.1104166666666675</v>
      </c>
    </row>
    <row r="18" spans="1:2" x14ac:dyDescent="0.25">
      <c r="A18" s="7" t="s">
        <v>158</v>
      </c>
      <c r="B18" s="1">
        <v>11.923611111111112</v>
      </c>
    </row>
    <row r="19" spans="1:2" x14ac:dyDescent="0.25">
      <c r="A19" s="7" t="s">
        <v>59</v>
      </c>
      <c r="B19" s="1">
        <v>8.2638888888888893</v>
      </c>
    </row>
    <row r="20" spans="1:2" x14ac:dyDescent="0.25">
      <c r="A20" s="7" t="s">
        <v>30</v>
      </c>
      <c r="B20" s="1">
        <v>7.9631944444444462</v>
      </c>
    </row>
    <row r="21" spans="1:2" x14ac:dyDescent="0.25">
      <c r="A21" s="7" t="s">
        <v>14</v>
      </c>
      <c r="B21" s="1">
        <v>6.3173611111111123</v>
      </c>
    </row>
    <row r="22" spans="1:2" x14ac:dyDescent="0.25">
      <c r="A22" s="7" t="s">
        <v>34</v>
      </c>
      <c r="B22" s="1">
        <v>21.262500000000003</v>
      </c>
    </row>
    <row r="23" spans="1:2" x14ac:dyDescent="0.25">
      <c r="A23" s="7" t="s">
        <v>74</v>
      </c>
      <c r="B23" s="1">
        <v>11.540277777777778</v>
      </c>
    </row>
    <row r="24" spans="1:2" x14ac:dyDescent="0.25">
      <c r="A24" s="7" t="s">
        <v>1646</v>
      </c>
      <c r="B24" s="1">
        <v>278.5645833333333</v>
      </c>
    </row>
    <row r="25" spans="1:2" x14ac:dyDescent="0.25">
      <c r="A25" s="7" t="s">
        <v>107</v>
      </c>
      <c r="B25" s="1">
        <v>8.6930555555555546</v>
      </c>
    </row>
    <row r="26" spans="1:2" x14ac:dyDescent="0.25">
      <c r="A26" s="7" t="s">
        <v>40</v>
      </c>
      <c r="B26" s="1">
        <v>12.407638888888886</v>
      </c>
    </row>
    <row r="27" spans="1:2" x14ac:dyDescent="0.25">
      <c r="A27" s="7" t="s">
        <v>50</v>
      </c>
      <c r="B27" s="1">
        <v>10.283333333333335</v>
      </c>
    </row>
    <row r="28" spans="1:2" x14ac:dyDescent="0.25">
      <c r="A28" s="7" t="s">
        <v>8</v>
      </c>
      <c r="B28" s="1">
        <v>13.268750000000001</v>
      </c>
    </row>
    <row r="29" spans="1:2" x14ac:dyDescent="0.25">
      <c r="A29" s="7" t="s">
        <v>67</v>
      </c>
      <c r="B29" s="1">
        <v>9.4652777777777768</v>
      </c>
    </row>
    <row r="30" spans="1:2" x14ac:dyDescent="0.25">
      <c r="A30" s="7" t="s">
        <v>26</v>
      </c>
      <c r="B30" s="1">
        <v>10.94097222222222</v>
      </c>
    </row>
    <row r="31" spans="1:2" x14ac:dyDescent="0.25">
      <c r="A31" s="7" t="s">
        <v>1645</v>
      </c>
      <c r="B31" s="1">
        <v>555.50277777777774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4C48-72C5-4AFA-BC10-EB2AC9C6770B}">
  <dimension ref="B3:C7"/>
  <sheetViews>
    <sheetView topLeftCell="B1" workbookViewId="0">
      <selection activeCell="E5" sqref="E5"/>
    </sheetView>
  </sheetViews>
  <sheetFormatPr baseColWidth="10" defaultRowHeight="15" x14ac:dyDescent="0.25"/>
  <cols>
    <col min="2" max="2" width="21.42578125" bestFit="1" customWidth="1"/>
    <col min="3" max="3" width="18.140625" bestFit="1" customWidth="1"/>
    <col min="6" max="6" width="21.42578125" bestFit="1" customWidth="1"/>
    <col min="7" max="7" width="18.140625" bestFit="1" customWidth="1"/>
  </cols>
  <sheetData>
    <row r="3" spans="2:3" x14ac:dyDescent="0.25">
      <c r="B3" s="6" t="s">
        <v>1644</v>
      </c>
      <c r="C3" t="s">
        <v>1649</v>
      </c>
    </row>
    <row r="4" spans="2:3" x14ac:dyDescent="0.25">
      <c r="B4" s="7" t="s">
        <v>798</v>
      </c>
      <c r="C4" s="5">
        <v>167</v>
      </c>
    </row>
    <row r="5" spans="2:3" x14ac:dyDescent="0.25">
      <c r="B5" s="7" t="s">
        <v>795</v>
      </c>
      <c r="C5" s="5">
        <v>185</v>
      </c>
    </row>
    <row r="6" spans="2:3" x14ac:dyDescent="0.25">
      <c r="B6" s="7" t="s">
        <v>792</v>
      </c>
      <c r="C6" s="5">
        <v>195</v>
      </c>
    </row>
    <row r="7" spans="2:3" x14ac:dyDescent="0.25">
      <c r="B7" s="7" t="s">
        <v>1645</v>
      </c>
      <c r="C7" s="5">
        <v>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04A1-A713-4F07-AFB1-7C0D1584A5FD}">
  <dimension ref="A3:C86"/>
  <sheetViews>
    <sheetView workbookViewId="0">
      <selection activeCell="A30" sqref="A30"/>
    </sheetView>
  </sheetViews>
  <sheetFormatPr baseColWidth="10" defaultRowHeight="15" x14ac:dyDescent="0.25"/>
  <cols>
    <col min="1" max="1" width="21.42578125" bestFit="1" customWidth="1"/>
    <col min="2" max="2" width="28" bestFit="1" customWidth="1"/>
    <col min="3" max="3" width="9.28515625" bestFit="1" customWidth="1"/>
  </cols>
  <sheetData>
    <row r="3" spans="1:3" x14ac:dyDescent="0.25">
      <c r="A3" s="6" t="s">
        <v>1644</v>
      </c>
      <c r="B3" t="s">
        <v>1655</v>
      </c>
      <c r="C3" t="s">
        <v>1657</v>
      </c>
    </row>
    <row r="4" spans="1:3" x14ac:dyDescent="0.25">
      <c r="A4" s="7" t="s">
        <v>24</v>
      </c>
      <c r="B4" s="5">
        <v>15</v>
      </c>
      <c r="C4" s="10">
        <v>0.57692307692307687</v>
      </c>
    </row>
    <row r="5" spans="1:3" x14ac:dyDescent="0.25">
      <c r="A5" s="7" t="s">
        <v>61</v>
      </c>
      <c r="B5" s="5">
        <v>14</v>
      </c>
      <c r="C5" s="10">
        <v>0.53846153846153844</v>
      </c>
    </row>
    <row r="6" spans="1:3" x14ac:dyDescent="0.25">
      <c r="A6" s="7" t="s">
        <v>46</v>
      </c>
      <c r="B6" s="5">
        <v>19</v>
      </c>
      <c r="C6" s="10">
        <v>0.73076923076923073</v>
      </c>
    </row>
    <row r="7" spans="1:3" x14ac:dyDescent="0.25">
      <c r="A7" s="7" t="s">
        <v>20</v>
      </c>
      <c r="B7" s="5">
        <v>16</v>
      </c>
      <c r="C7" s="10">
        <v>0.61538461538461542</v>
      </c>
    </row>
    <row r="8" spans="1:3" x14ac:dyDescent="0.25">
      <c r="A8" s="7" t="s">
        <v>42</v>
      </c>
      <c r="B8" s="5">
        <v>12</v>
      </c>
      <c r="C8" s="10">
        <v>0.46153846153846156</v>
      </c>
    </row>
    <row r="9" spans="1:3" x14ac:dyDescent="0.25">
      <c r="A9" s="7" t="s">
        <v>32</v>
      </c>
      <c r="B9" s="5">
        <v>9</v>
      </c>
      <c r="C9" s="10">
        <v>0.34615384615384615</v>
      </c>
    </row>
    <row r="10" spans="1:3" x14ac:dyDescent="0.25">
      <c r="A10" s="7" t="s">
        <v>44</v>
      </c>
      <c r="B10" s="5">
        <v>12</v>
      </c>
      <c r="C10" s="10">
        <v>0.46153846153846156</v>
      </c>
    </row>
    <row r="11" spans="1:3" x14ac:dyDescent="0.25">
      <c r="A11" s="7" t="s">
        <v>48</v>
      </c>
      <c r="B11" s="5">
        <v>12</v>
      </c>
      <c r="C11" s="10">
        <v>0.46153846153846156</v>
      </c>
    </row>
    <row r="12" spans="1:3" x14ac:dyDescent="0.25">
      <c r="A12" s="7" t="s">
        <v>71</v>
      </c>
      <c r="B12" s="5">
        <v>10</v>
      </c>
      <c r="C12" s="10">
        <v>0.38461538461538464</v>
      </c>
    </row>
    <row r="13" spans="1:3" x14ac:dyDescent="0.25">
      <c r="A13" s="7" t="s">
        <v>99</v>
      </c>
      <c r="B13" s="5">
        <v>14</v>
      </c>
      <c r="C13" s="10">
        <v>0.53846153846153844</v>
      </c>
    </row>
    <row r="14" spans="1:3" x14ac:dyDescent="0.25">
      <c r="A14" s="7" t="s">
        <v>17</v>
      </c>
      <c r="B14" s="5">
        <v>17</v>
      </c>
      <c r="C14" s="10">
        <v>0.65384615384615385</v>
      </c>
    </row>
    <row r="15" spans="1:3" x14ac:dyDescent="0.25">
      <c r="A15" s="7" t="s">
        <v>64</v>
      </c>
      <c r="B15" s="5">
        <v>8</v>
      </c>
      <c r="C15" s="10">
        <v>0.30769230769230771</v>
      </c>
    </row>
    <row r="16" spans="1:3" x14ac:dyDescent="0.25">
      <c r="A16" s="7" t="s">
        <v>11</v>
      </c>
      <c r="B16" s="5">
        <v>15</v>
      </c>
      <c r="C16" s="10">
        <v>0.57692307692307687</v>
      </c>
    </row>
    <row r="17" spans="1:3" x14ac:dyDescent="0.25">
      <c r="A17" s="7" t="s">
        <v>36</v>
      </c>
      <c r="B17" s="5">
        <v>15</v>
      </c>
      <c r="C17" s="10">
        <v>0.57692307692307687</v>
      </c>
    </row>
    <row r="18" spans="1:3" x14ac:dyDescent="0.25">
      <c r="A18" s="7" t="s">
        <v>158</v>
      </c>
      <c r="B18" s="5">
        <v>16</v>
      </c>
      <c r="C18" s="10">
        <v>0.61538461538461542</v>
      </c>
    </row>
    <row r="19" spans="1:3" x14ac:dyDescent="0.25">
      <c r="A19" s="7" t="s">
        <v>59</v>
      </c>
      <c r="B19" s="5">
        <v>9</v>
      </c>
      <c r="C19" s="10">
        <v>0.34615384615384615</v>
      </c>
    </row>
    <row r="20" spans="1:3" x14ac:dyDescent="0.25">
      <c r="A20" s="7" t="s">
        <v>30</v>
      </c>
      <c r="B20" s="5">
        <v>12</v>
      </c>
      <c r="C20" s="10">
        <v>0.46153846153846156</v>
      </c>
    </row>
    <row r="21" spans="1:3" x14ac:dyDescent="0.25">
      <c r="A21" s="7" t="s">
        <v>14</v>
      </c>
      <c r="B21" s="5">
        <v>8</v>
      </c>
      <c r="C21" s="10">
        <v>0.30769230769230771</v>
      </c>
    </row>
    <row r="22" spans="1:3" x14ac:dyDescent="0.25">
      <c r="A22" s="7" t="s">
        <v>34</v>
      </c>
      <c r="B22" s="5">
        <v>27</v>
      </c>
      <c r="C22" s="10">
        <v>1.0384615384615385</v>
      </c>
    </row>
    <row r="23" spans="1:3" x14ac:dyDescent="0.25">
      <c r="A23" s="7" t="s">
        <v>74</v>
      </c>
      <c r="B23" s="5">
        <v>22</v>
      </c>
      <c r="C23" s="10">
        <v>0.84615384615384615</v>
      </c>
    </row>
    <row r="24" spans="1:3" x14ac:dyDescent="0.25">
      <c r="A24" s="7" t="s">
        <v>107</v>
      </c>
      <c r="B24" s="5">
        <v>8</v>
      </c>
      <c r="C24" s="10">
        <v>0.30769230769230771</v>
      </c>
    </row>
    <row r="25" spans="1:3" x14ac:dyDescent="0.25">
      <c r="A25" s="7" t="s">
        <v>40</v>
      </c>
      <c r="B25" s="5">
        <v>20</v>
      </c>
      <c r="C25" s="10">
        <v>0.76923076923076927</v>
      </c>
    </row>
    <row r="26" spans="1:3" x14ac:dyDescent="0.25">
      <c r="A26" s="7" t="s">
        <v>50</v>
      </c>
      <c r="B26" s="5">
        <v>15</v>
      </c>
      <c r="C26" s="10">
        <v>0.57692307692307687</v>
      </c>
    </row>
    <row r="27" spans="1:3" x14ac:dyDescent="0.25">
      <c r="A27" s="7" t="s">
        <v>8</v>
      </c>
      <c r="B27" s="5">
        <v>12</v>
      </c>
      <c r="C27" s="10">
        <v>0.46153846153846156</v>
      </c>
    </row>
    <row r="28" spans="1:3" x14ac:dyDescent="0.25">
      <c r="A28" s="7" t="s">
        <v>67</v>
      </c>
      <c r="B28" s="5">
        <v>12</v>
      </c>
      <c r="C28" s="10">
        <v>0.46153846153846156</v>
      </c>
    </row>
    <row r="29" spans="1:3" x14ac:dyDescent="0.25">
      <c r="A29" s="7" t="s">
        <v>26</v>
      </c>
      <c r="B29" s="5">
        <v>13</v>
      </c>
      <c r="C29" s="10">
        <v>0.5</v>
      </c>
    </row>
    <row r="30" spans="1:3" x14ac:dyDescent="0.25">
      <c r="A30" s="7" t="s">
        <v>1645</v>
      </c>
      <c r="B30" s="5">
        <v>362</v>
      </c>
      <c r="C30" s="10">
        <v>13.923076923076923</v>
      </c>
    </row>
    <row r="86" spans="1:1" x14ac:dyDescent="0.25">
      <c r="A86" s="8" t="s">
        <v>1656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02895A-1572-4919-AD93-7ED3698EB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CLIENT_CHURN</vt:lpstr>
      <vt:lpstr>LOGS</vt:lpstr>
      <vt:lpstr>REGISTRE</vt:lpstr>
      <vt:lpstr>MASTER</vt:lpstr>
      <vt:lpstr>TCD_Ind.Par.Region</vt:lpstr>
      <vt:lpstr>TCD_Technologie</vt:lpstr>
      <vt:lpstr>TCD_ClientImpacté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Barick KINZENI</dc:creator>
  <cp:lastModifiedBy>Barick KINZENI</cp:lastModifiedBy>
  <dcterms:created xsi:type="dcterms:W3CDTF">2026-03-26T17:11:36Z</dcterms:created>
  <dcterms:modified xsi:type="dcterms:W3CDTF">2026-03-31T20:59:42Z</dcterms:modified>
</cp:coreProperties>
</file>